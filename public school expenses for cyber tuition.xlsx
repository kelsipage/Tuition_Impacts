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sipage/Desktop/public school tuition to charter schools/"/>
    </mc:Choice>
  </mc:AlternateContent>
  <xr:revisionPtr revIDLastSave="0" documentId="13_ncr:1_{2B72A666-70BD-0A43-99B5-DFD01E5AD254}" xr6:coauthVersionLast="47" xr6:coauthVersionMax="47" xr10:uidLastSave="{00000000-0000-0000-0000-000000000000}"/>
  <bookViews>
    <workbookView xWindow="0" yWindow="500" windowWidth="33600" windowHeight="18940" activeTab="2" xr2:uid="{89A0D683-19D3-4D40-B034-15BB18BD13DD}"/>
  </bookViews>
  <sheets>
    <sheet name="EDA" sheetId="5" r:id="rId1"/>
    <sheet name="pivot table" sheetId="3" r:id="rId2"/>
    <sheet name="data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8" i="5" l="1" a="1"/>
  <c r="AZ8" i="5" s="1"/>
  <c r="BA8" i="5" a="1"/>
  <c r="BA8" i="5" s="1"/>
  <c r="BB8" i="5" a="1"/>
  <c r="BB8" i="5" s="1"/>
  <c r="AZ9" i="5" a="1"/>
  <c r="AZ9" i="5"/>
  <c r="BA9" i="5" a="1"/>
  <c r="BA9" i="5" s="1"/>
  <c r="BB9" i="5" a="1"/>
  <c r="BB9" i="5" s="1"/>
  <c r="AZ10" i="5" a="1"/>
  <c r="AZ10" i="5" s="1"/>
  <c r="BA10" i="5" a="1"/>
  <c r="BA10" i="5" s="1"/>
  <c r="BB10" i="5" a="1"/>
  <c r="BB10" i="5" s="1"/>
  <c r="AZ11" i="5" a="1"/>
  <c r="AZ11" i="5"/>
  <c r="BA11" i="5" a="1"/>
  <c r="BA11" i="5" s="1"/>
  <c r="BB11" i="5" a="1"/>
  <c r="BB11" i="5" s="1"/>
  <c r="AZ12" i="5" a="1"/>
  <c r="AZ12" i="5" s="1"/>
  <c r="BA12" i="5" a="1"/>
  <c r="BA12" i="5" s="1"/>
  <c r="BB12" i="5" a="1"/>
  <c r="BB12" i="5" s="1"/>
  <c r="AZ13" i="5" a="1"/>
  <c r="AZ13" i="5"/>
  <c r="BA13" i="5" a="1"/>
  <c r="BA13" i="5" s="1"/>
  <c r="BB13" i="5" a="1"/>
  <c r="BB13" i="5" s="1"/>
  <c r="AZ14" i="5" a="1"/>
  <c r="AZ14" i="5" s="1"/>
  <c r="BA14" i="5" a="1"/>
  <c r="BA14" i="5" s="1"/>
  <c r="BB14" i="5" a="1"/>
  <c r="BB14" i="5" s="1"/>
  <c r="AZ15" i="5" a="1"/>
  <c r="AZ15" i="5" s="1"/>
  <c r="BA15" i="5" a="1"/>
  <c r="BA15" i="5" s="1"/>
  <c r="BB15" i="5" a="1"/>
  <c r="BB15" i="5" s="1"/>
  <c r="AZ16" i="5" a="1"/>
  <c r="AZ16" i="5" s="1"/>
  <c r="BA16" i="5" a="1"/>
  <c r="BA16" i="5" s="1"/>
  <c r="BB16" i="5" a="1"/>
  <c r="BB16" i="5" s="1"/>
  <c r="AZ17" i="5" a="1"/>
  <c r="AZ17" i="5" s="1"/>
  <c r="BA17" i="5" a="1"/>
  <c r="BA17" i="5" s="1"/>
  <c r="BB17" i="5" a="1"/>
  <c r="BB17" i="5" s="1"/>
  <c r="AZ18" i="5" a="1"/>
  <c r="AZ18" i="5" s="1"/>
  <c r="BA18" i="5" a="1"/>
  <c r="BA18" i="5" s="1"/>
  <c r="BB18" i="5" a="1"/>
  <c r="BB18" i="5" s="1"/>
  <c r="AZ19" i="5" a="1"/>
  <c r="AZ19" i="5" s="1"/>
  <c r="BA19" i="5" a="1"/>
  <c r="BA19" i="5" s="1"/>
  <c r="BB19" i="5" a="1"/>
  <c r="BB19" i="5" s="1"/>
  <c r="AZ20" i="5" a="1"/>
  <c r="AZ20" i="5" s="1"/>
  <c r="BA20" i="5" a="1"/>
  <c r="BA20" i="5" s="1"/>
  <c r="BB20" i="5" a="1"/>
  <c r="BB20" i="5" s="1"/>
  <c r="AZ21" i="5" a="1"/>
  <c r="AZ21" i="5" s="1"/>
  <c r="BA21" i="5" a="1"/>
  <c r="BA21" i="5" s="1"/>
  <c r="BB21" i="5" a="1"/>
  <c r="BB21" i="5" s="1"/>
  <c r="AZ22" i="5" a="1"/>
  <c r="AZ22" i="5" s="1"/>
  <c r="BA22" i="5" a="1"/>
  <c r="BA22" i="5" s="1"/>
  <c r="BB22" i="5" a="1"/>
  <c r="BB22" i="5" s="1"/>
  <c r="AZ23" i="5" a="1"/>
  <c r="AZ23" i="5" s="1"/>
  <c r="BA23" i="5" a="1"/>
  <c r="BA23" i="5" s="1"/>
  <c r="BB23" i="5" a="1"/>
  <c r="BB23" i="5" s="1"/>
  <c r="AZ24" i="5" a="1"/>
  <c r="AZ24" i="5" s="1"/>
  <c r="BA24" i="5" a="1"/>
  <c r="BA24" i="5" s="1"/>
  <c r="BB24" i="5" a="1"/>
  <c r="BB24" i="5" s="1"/>
  <c r="AZ25" i="5" a="1"/>
  <c r="AZ25" i="5" s="1"/>
  <c r="BA25" i="5" a="1"/>
  <c r="BA25" i="5" s="1"/>
  <c r="BB25" i="5" a="1"/>
  <c r="BB25" i="5" s="1"/>
  <c r="AZ26" i="5" a="1"/>
  <c r="AZ26" i="5" s="1"/>
  <c r="BA26" i="5" a="1"/>
  <c r="BA26" i="5" s="1"/>
  <c r="BB26" i="5" a="1"/>
  <c r="BB26" i="5" s="1"/>
  <c r="AZ27" i="5" a="1"/>
  <c r="AZ27" i="5" s="1"/>
  <c r="BA27" i="5" a="1"/>
  <c r="BA27" i="5" s="1"/>
  <c r="BB27" i="5" a="1"/>
  <c r="BB27" i="5" s="1"/>
  <c r="AZ28" i="5" a="1"/>
  <c r="AZ28" i="5" s="1"/>
  <c r="BA28" i="5" a="1"/>
  <c r="BA28" i="5" s="1"/>
  <c r="BB28" i="5" a="1"/>
  <c r="BB28" i="5" s="1"/>
  <c r="AZ29" i="5" a="1"/>
  <c r="AZ29" i="5" s="1"/>
  <c r="BA29" i="5" a="1"/>
  <c r="BA29" i="5" s="1"/>
  <c r="BB29" i="5" a="1"/>
  <c r="BB29" i="5" s="1"/>
  <c r="AZ30" i="5" a="1"/>
  <c r="AZ30" i="5" s="1"/>
  <c r="BA30" i="5" a="1"/>
  <c r="BA30" i="5" s="1"/>
  <c r="BB30" i="5" a="1"/>
  <c r="BB30" i="5" s="1"/>
  <c r="AZ31" i="5" a="1"/>
  <c r="AZ31" i="5" s="1"/>
  <c r="BA31" i="5" a="1"/>
  <c r="BA31" i="5" s="1"/>
  <c r="BB31" i="5" a="1"/>
  <c r="BB31" i="5" s="1"/>
  <c r="AZ32" i="5" a="1"/>
  <c r="AZ32" i="5" s="1"/>
  <c r="BA32" i="5" a="1"/>
  <c r="BA32" i="5" s="1"/>
  <c r="BB32" i="5" a="1"/>
  <c r="BB32" i="5" s="1"/>
  <c r="AZ33" i="5" a="1"/>
  <c r="AZ33" i="5" s="1"/>
  <c r="BA33" i="5" a="1"/>
  <c r="BA33" i="5" s="1"/>
  <c r="BB33" i="5" a="1"/>
  <c r="BB33" i="5" s="1"/>
  <c r="AZ34" i="5" a="1"/>
  <c r="AZ34" i="5" s="1"/>
  <c r="BA34" i="5" a="1"/>
  <c r="BA34" i="5" s="1"/>
  <c r="BB34" i="5" a="1"/>
  <c r="BB34" i="5" s="1"/>
  <c r="AZ35" i="5" a="1"/>
  <c r="AZ35" i="5" s="1"/>
  <c r="BA35" i="5" a="1"/>
  <c r="BA35" i="5" s="1"/>
  <c r="BB35" i="5" a="1"/>
  <c r="BB35" i="5" s="1"/>
  <c r="AZ36" i="5" a="1"/>
  <c r="AZ36" i="5" s="1"/>
  <c r="BA36" i="5" a="1"/>
  <c r="BA36" i="5" s="1"/>
  <c r="BB36" i="5" a="1"/>
  <c r="BB36" i="5" s="1"/>
  <c r="AZ37" i="5" a="1"/>
  <c r="AZ37" i="5" s="1"/>
  <c r="BA37" i="5" a="1"/>
  <c r="BA37" i="5" s="1"/>
  <c r="BB37" i="5" a="1"/>
  <c r="BB37" i="5" s="1"/>
  <c r="AZ38" i="5" a="1"/>
  <c r="AZ38" i="5" s="1"/>
  <c r="BA38" i="5" a="1"/>
  <c r="BA38" i="5" s="1"/>
  <c r="BB38" i="5" a="1"/>
  <c r="BB38" i="5" s="1"/>
  <c r="AZ39" i="5" a="1"/>
  <c r="AZ39" i="5" s="1"/>
  <c r="BA39" i="5" a="1"/>
  <c r="BA39" i="5" s="1"/>
  <c r="BB39" i="5" a="1"/>
  <c r="BB39" i="5" s="1"/>
  <c r="AZ40" i="5" a="1"/>
  <c r="AZ40" i="5" s="1"/>
  <c r="BA40" i="5" a="1"/>
  <c r="BA40" i="5" s="1"/>
  <c r="BB40" i="5" a="1"/>
  <c r="BB40" i="5" s="1"/>
  <c r="AZ41" i="5" a="1"/>
  <c r="AZ41" i="5" s="1"/>
  <c r="BA41" i="5" a="1"/>
  <c r="BA41" i="5" s="1"/>
  <c r="BB41" i="5" a="1"/>
  <c r="BB41" i="5" s="1"/>
  <c r="AZ42" i="5" a="1"/>
  <c r="AZ42" i="5" s="1"/>
  <c r="BA42" i="5" a="1"/>
  <c r="BA42" i="5" s="1"/>
  <c r="BB42" i="5" a="1"/>
  <c r="BB42" i="5" s="1"/>
  <c r="AZ43" i="5" a="1"/>
  <c r="AZ43" i="5" s="1"/>
  <c r="BA43" i="5" a="1"/>
  <c r="BA43" i="5" s="1"/>
  <c r="BB43" i="5" a="1"/>
  <c r="BB43" i="5" s="1"/>
  <c r="AZ44" i="5" a="1"/>
  <c r="AZ44" i="5" s="1"/>
  <c r="BA44" i="5" a="1"/>
  <c r="BA44" i="5" s="1"/>
  <c r="BB44" i="5" a="1"/>
  <c r="BB44" i="5" s="1"/>
  <c r="AZ45" i="5" a="1"/>
  <c r="AZ45" i="5" s="1"/>
  <c r="BA45" i="5" a="1"/>
  <c r="BA45" i="5" s="1"/>
  <c r="BB45" i="5" a="1"/>
  <c r="BB45" i="5" s="1"/>
  <c r="AZ46" i="5" a="1"/>
  <c r="AZ46" i="5" s="1"/>
  <c r="BA46" i="5" a="1"/>
  <c r="BA46" i="5" s="1"/>
  <c r="BB46" i="5" a="1"/>
  <c r="BB46" i="5" s="1"/>
  <c r="AZ47" i="5" a="1"/>
  <c r="AZ47" i="5" s="1"/>
  <c r="BA47" i="5" a="1"/>
  <c r="BA47" i="5" s="1"/>
  <c r="BB47" i="5" a="1"/>
  <c r="BB47" i="5" s="1"/>
  <c r="AZ48" i="5" a="1"/>
  <c r="AZ48" i="5" s="1"/>
  <c r="BA48" i="5" a="1"/>
  <c r="BA48" i="5" s="1"/>
  <c r="BB48" i="5" a="1"/>
  <c r="BB48" i="5" s="1"/>
  <c r="AZ49" i="5" a="1"/>
  <c r="AZ49" i="5" s="1"/>
  <c r="BA49" i="5" a="1"/>
  <c r="BA49" i="5" s="1"/>
  <c r="BB49" i="5" a="1"/>
  <c r="BB49" i="5" s="1"/>
  <c r="AZ50" i="5" a="1"/>
  <c r="AZ50" i="5" s="1"/>
  <c r="BA50" i="5" a="1"/>
  <c r="BA50" i="5" s="1"/>
  <c r="BB50" i="5" a="1"/>
  <c r="BB50" i="5" s="1"/>
  <c r="AZ51" i="5" a="1"/>
  <c r="AZ51" i="5" s="1"/>
  <c r="BA51" i="5" a="1"/>
  <c r="BA51" i="5" s="1"/>
  <c r="BB51" i="5" a="1"/>
  <c r="BB51" i="5" s="1"/>
  <c r="AZ52" i="5" a="1"/>
  <c r="AZ52" i="5" s="1"/>
  <c r="BA52" i="5" a="1"/>
  <c r="BA52" i="5" s="1"/>
  <c r="BB52" i="5" a="1"/>
  <c r="BB52" i="5" s="1"/>
  <c r="AZ53" i="5" a="1"/>
  <c r="AZ53" i="5" s="1"/>
  <c r="BA53" i="5" a="1"/>
  <c r="BA53" i="5" s="1"/>
  <c r="BB53" i="5" a="1"/>
  <c r="BB53" i="5" s="1"/>
  <c r="AZ54" i="5" a="1"/>
  <c r="AZ54" i="5" s="1"/>
  <c r="BA54" i="5" a="1"/>
  <c r="BA54" i="5" s="1"/>
  <c r="BB54" i="5" a="1"/>
  <c r="BB54" i="5" s="1"/>
  <c r="AZ55" i="5" a="1"/>
  <c r="AZ55" i="5" s="1"/>
  <c r="BA55" i="5" a="1"/>
  <c r="BA55" i="5" s="1"/>
  <c r="BB55" i="5" a="1"/>
  <c r="BB55" i="5" s="1"/>
  <c r="AZ56" i="5" a="1"/>
  <c r="AZ56" i="5" s="1"/>
  <c r="BA56" i="5" a="1"/>
  <c r="BA56" i="5" s="1"/>
  <c r="BB56" i="5" a="1"/>
  <c r="BB56" i="5" s="1"/>
  <c r="AZ57" i="5" a="1"/>
  <c r="AZ57" i="5" s="1"/>
  <c r="BA57" i="5" a="1"/>
  <c r="BA57" i="5" s="1"/>
  <c r="BB57" i="5" a="1"/>
  <c r="BB57" i="5" s="1"/>
  <c r="AZ58" i="5" a="1"/>
  <c r="AZ58" i="5" s="1"/>
  <c r="BA58" i="5" a="1"/>
  <c r="BA58" i="5" s="1"/>
  <c r="BB58" i="5" a="1"/>
  <c r="BB58" i="5" s="1"/>
  <c r="AZ59" i="5" a="1"/>
  <c r="AZ59" i="5" s="1"/>
  <c r="BA59" i="5" a="1"/>
  <c r="BA59" i="5" s="1"/>
  <c r="BB59" i="5" a="1"/>
  <c r="BB59" i="5" s="1"/>
  <c r="AZ60" i="5" a="1"/>
  <c r="AZ60" i="5" s="1"/>
  <c r="BA60" i="5" a="1"/>
  <c r="BA60" i="5" s="1"/>
  <c r="BB60" i="5" a="1"/>
  <c r="BB60" i="5" s="1"/>
  <c r="AZ61" i="5" a="1"/>
  <c r="AZ61" i="5" s="1"/>
  <c r="BA61" i="5" a="1"/>
  <c r="BA61" i="5" s="1"/>
  <c r="BB61" i="5" a="1"/>
  <c r="BB61" i="5" s="1"/>
  <c r="AZ62" i="5" a="1"/>
  <c r="AZ62" i="5" s="1"/>
  <c r="BA62" i="5" a="1"/>
  <c r="BA62" i="5" s="1"/>
  <c r="BB62" i="5" a="1"/>
  <c r="BB62" i="5" s="1"/>
  <c r="AZ63" i="5" a="1"/>
  <c r="AZ63" i="5" s="1"/>
  <c r="BA63" i="5" a="1"/>
  <c r="BA63" i="5" s="1"/>
  <c r="BB63" i="5" a="1"/>
  <c r="BB63" i="5" s="1"/>
  <c r="AZ64" i="5" a="1"/>
  <c r="AZ64" i="5" s="1"/>
  <c r="BA64" i="5" a="1"/>
  <c r="BA64" i="5" s="1"/>
  <c r="BB64" i="5" a="1"/>
  <c r="BB64" i="5" s="1"/>
  <c r="AZ65" i="5" a="1"/>
  <c r="AZ65" i="5" s="1"/>
  <c r="BA65" i="5" a="1"/>
  <c r="BA65" i="5" s="1"/>
  <c r="BB65" i="5" a="1"/>
  <c r="BB65" i="5" s="1"/>
  <c r="AZ66" i="5" a="1"/>
  <c r="AZ66" i="5" s="1"/>
  <c r="BA66" i="5" a="1"/>
  <c r="BA66" i="5" s="1"/>
  <c r="BB66" i="5" a="1"/>
  <c r="BB66" i="5" s="1"/>
  <c r="AZ67" i="5" a="1"/>
  <c r="AZ67" i="5" s="1"/>
  <c r="BA67" i="5" a="1"/>
  <c r="BA67" i="5" s="1"/>
  <c r="BB67" i="5" a="1"/>
  <c r="BB67" i="5" s="1"/>
  <c r="AZ68" i="5" a="1"/>
  <c r="AZ68" i="5" s="1"/>
  <c r="BA68" i="5" a="1"/>
  <c r="BA68" i="5" s="1"/>
  <c r="BB68" i="5" a="1"/>
  <c r="BB68" i="5" s="1"/>
  <c r="AZ69" i="5" a="1"/>
  <c r="AZ69" i="5" s="1"/>
  <c r="BA69" i="5" a="1"/>
  <c r="BA69" i="5" s="1"/>
  <c r="BB69" i="5" a="1"/>
  <c r="BB69" i="5" s="1"/>
  <c r="AZ70" i="5" a="1"/>
  <c r="AZ70" i="5" s="1"/>
  <c r="BA70" i="5" a="1"/>
  <c r="BA70" i="5" s="1"/>
  <c r="BB70" i="5" a="1"/>
  <c r="BB70" i="5" s="1"/>
  <c r="AZ71" i="5" a="1"/>
  <c r="AZ71" i="5" s="1"/>
  <c r="BA71" i="5" a="1"/>
  <c r="BA71" i="5" s="1"/>
  <c r="BB71" i="5" a="1"/>
  <c r="BB71" i="5" s="1"/>
  <c r="AZ72" i="5" a="1"/>
  <c r="AZ72" i="5" s="1"/>
  <c r="BA72" i="5" a="1"/>
  <c r="BA72" i="5" s="1"/>
  <c r="BB72" i="5" a="1"/>
  <c r="BB72" i="5" s="1"/>
  <c r="AZ73" i="5" a="1"/>
  <c r="AZ73" i="5" s="1"/>
  <c r="BA73" i="5" a="1"/>
  <c r="BA73" i="5" s="1"/>
  <c r="BB73" i="5" a="1"/>
  <c r="BB73" i="5" s="1"/>
  <c r="AZ74" i="5" a="1"/>
  <c r="AZ74" i="5" s="1"/>
  <c r="BA74" i="5" a="1"/>
  <c r="BA74" i="5" s="1"/>
  <c r="BB74" i="5" a="1"/>
  <c r="BB74" i="5" s="1"/>
  <c r="AZ75" i="5" a="1"/>
  <c r="AZ75" i="5" s="1"/>
  <c r="BA75" i="5" a="1"/>
  <c r="BA75" i="5" s="1"/>
  <c r="BB75" i="5" a="1"/>
  <c r="BB75" i="5" s="1"/>
  <c r="AZ76" i="5" a="1"/>
  <c r="AZ76" i="5" s="1"/>
  <c r="BA76" i="5" a="1"/>
  <c r="BA76" i="5" s="1"/>
  <c r="BB76" i="5" a="1"/>
  <c r="BB76" i="5" s="1"/>
  <c r="AZ77" i="5" a="1"/>
  <c r="AZ77" i="5" s="1"/>
  <c r="BA77" i="5" a="1"/>
  <c r="BA77" i="5" s="1"/>
  <c r="BB77" i="5" a="1"/>
  <c r="BB77" i="5" s="1"/>
  <c r="AZ78" i="5" a="1"/>
  <c r="AZ78" i="5" s="1"/>
  <c r="BA78" i="5" a="1"/>
  <c r="BA78" i="5" s="1"/>
  <c r="BB78" i="5" a="1"/>
  <c r="BB78" i="5" s="1"/>
  <c r="AZ79" i="5" a="1"/>
  <c r="AZ79" i="5" s="1"/>
  <c r="BA79" i="5" a="1"/>
  <c r="BA79" i="5" s="1"/>
  <c r="BB79" i="5" a="1"/>
  <c r="BB79" i="5" s="1"/>
  <c r="AZ80" i="5" a="1"/>
  <c r="AZ80" i="5" s="1"/>
  <c r="BA80" i="5" a="1"/>
  <c r="BA80" i="5" s="1"/>
  <c r="BB80" i="5" a="1"/>
  <c r="BB80" i="5" s="1"/>
  <c r="AZ81" i="5" a="1"/>
  <c r="AZ81" i="5" s="1"/>
  <c r="BA81" i="5" a="1"/>
  <c r="BA81" i="5" s="1"/>
  <c r="BB81" i="5" a="1"/>
  <c r="BB81" i="5" s="1"/>
  <c r="AZ82" i="5" a="1"/>
  <c r="AZ82" i="5" s="1"/>
  <c r="BA82" i="5" a="1"/>
  <c r="BA82" i="5" s="1"/>
  <c r="BB82" i="5" a="1"/>
  <c r="BB82" i="5" s="1"/>
  <c r="AZ83" i="5" a="1"/>
  <c r="AZ83" i="5" s="1"/>
  <c r="BA83" i="5" a="1"/>
  <c r="BA83" i="5" s="1"/>
  <c r="BB83" i="5" a="1"/>
  <c r="BB83" i="5" s="1"/>
  <c r="AZ84" i="5" a="1"/>
  <c r="AZ84" i="5" s="1"/>
  <c r="BA84" i="5" a="1"/>
  <c r="BA84" i="5" s="1"/>
  <c r="BB84" i="5" a="1"/>
  <c r="BB84" i="5" s="1"/>
  <c r="AZ85" i="5" a="1"/>
  <c r="AZ85" i="5" s="1"/>
  <c r="BA85" i="5" a="1"/>
  <c r="BA85" i="5" s="1"/>
  <c r="BB85" i="5" a="1"/>
  <c r="BB85" i="5" s="1"/>
  <c r="AZ86" i="5" a="1"/>
  <c r="AZ86" i="5" s="1"/>
  <c r="BA86" i="5" a="1"/>
  <c r="BA86" i="5" s="1"/>
  <c r="BB86" i="5" a="1"/>
  <c r="BB86" i="5" s="1"/>
  <c r="AZ87" i="5" a="1"/>
  <c r="AZ87" i="5" s="1"/>
  <c r="BA87" i="5" a="1"/>
  <c r="BA87" i="5" s="1"/>
  <c r="BB87" i="5" a="1"/>
  <c r="BB87" i="5" s="1"/>
  <c r="AZ88" i="5" a="1"/>
  <c r="AZ88" i="5" s="1"/>
  <c r="BA88" i="5" a="1"/>
  <c r="BA88" i="5" s="1"/>
  <c r="BB88" i="5" a="1"/>
  <c r="BB88" i="5" s="1"/>
  <c r="AZ89" i="5" a="1"/>
  <c r="AZ89" i="5" s="1"/>
  <c r="BA89" i="5" a="1"/>
  <c r="BA89" i="5" s="1"/>
  <c r="BB89" i="5" a="1"/>
  <c r="BB89" i="5" s="1"/>
  <c r="AZ90" i="5" a="1"/>
  <c r="AZ90" i="5" s="1"/>
  <c r="BA90" i="5" a="1"/>
  <c r="BA90" i="5" s="1"/>
  <c r="BB90" i="5" a="1"/>
  <c r="BB90" i="5" s="1"/>
  <c r="AZ91" i="5" a="1"/>
  <c r="AZ91" i="5" s="1"/>
  <c r="BA91" i="5" a="1"/>
  <c r="BA91" i="5" s="1"/>
  <c r="BB91" i="5" a="1"/>
  <c r="BB91" i="5" s="1"/>
  <c r="AZ92" i="5" a="1"/>
  <c r="AZ92" i="5" s="1"/>
  <c r="BA92" i="5" a="1"/>
  <c r="BA92" i="5" s="1"/>
  <c r="BB92" i="5" a="1"/>
  <c r="BB92" i="5" s="1"/>
  <c r="AZ93" i="5" a="1"/>
  <c r="AZ93" i="5" s="1"/>
  <c r="BA93" i="5" a="1"/>
  <c r="BA93" i="5" s="1"/>
  <c r="BB93" i="5" a="1"/>
  <c r="BB93" i="5" s="1"/>
  <c r="AZ94" i="5" a="1"/>
  <c r="AZ94" i="5" s="1"/>
  <c r="BA94" i="5" a="1"/>
  <c r="BA94" i="5" s="1"/>
  <c r="BB94" i="5" a="1"/>
  <c r="BB94" i="5" s="1"/>
  <c r="AZ95" i="5" a="1"/>
  <c r="AZ95" i="5" s="1"/>
  <c r="BA95" i="5" a="1"/>
  <c r="BA95" i="5" s="1"/>
  <c r="BB95" i="5" a="1"/>
  <c r="BB95" i="5" s="1"/>
  <c r="AZ96" i="5" a="1"/>
  <c r="AZ96" i="5" s="1"/>
  <c r="BA96" i="5" a="1"/>
  <c r="BA96" i="5" s="1"/>
  <c r="BB96" i="5" a="1"/>
  <c r="BB96" i="5" s="1"/>
  <c r="AZ97" i="5" a="1"/>
  <c r="AZ97" i="5" s="1"/>
  <c r="BA97" i="5" a="1"/>
  <c r="BA97" i="5" s="1"/>
  <c r="BB97" i="5" a="1"/>
  <c r="BB97" i="5" s="1"/>
  <c r="AZ98" i="5" a="1"/>
  <c r="AZ98" i="5" s="1"/>
  <c r="BA98" i="5" a="1"/>
  <c r="BA98" i="5" s="1"/>
  <c r="BB98" i="5" a="1"/>
  <c r="BB98" i="5" s="1"/>
  <c r="AZ99" i="5" a="1"/>
  <c r="AZ99" i="5" s="1"/>
  <c r="BA99" i="5" a="1"/>
  <c r="BA99" i="5" s="1"/>
  <c r="BB99" i="5" a="1"/>
  <c r="BB99" i="5" s="1"/>
  <c r="AZ100" i="5" a="1"/>
  <c r="AZ100" i="5" s="1"/>
  <c r="BA100" i="5" a="1"/>
  <c r="BA100" i="5" s="1"/>
  <c r="BB100" i="5" a="1"/>
  <c r="BB100" i="5" s="1"/>
  <c r="AZ101" i="5" a="1"/>
  <c r="AZ101" i="5" s="1"/>
  <c r="BA101" i="5" a="1"/>
  <c r="BA101" i="5" s="1"/>
  <c r="BB101" i="5" a="1"/>
  <c r="BB101" i="5" s="1"/>
  <c r="AZ102" i="5" a="1"/>
  <c r="AZ102" i="5" s="1"/>
  <c r="BA102" i="5" a="1"/>
  <c r="BA102" i="5" s="1"/>
  <c r="BB102" i="5" a="1"/>
  <c r="BB102" i="5" s="1"/>
  <c r="AZ103" i="5" a="1"/>
  <c r="AZ103" i="5" s="1"/>
  <c r="BA103" i="5" a="1"/>
  <c r="BA103" i="5" s="1"/>
  <c r="BB103" i="5" a="1"/>
  <c r="BB103" i="5" s="1"/>
  <c r="AZ104" i="5" a="1"/>
  <c r="AZ104" i="5" s="1"/>
  <c r="BA104" i="5" a="1"/>
  <c r="BA104" i="5" s="1"/>
  <c r="BB104" i="5" a="1"/>
  <c r="BB104" i="5" s="1"/>
  <c r="AZ105" i="5" a="1"/>
  <c r="AZ105" i="5" s="1"/>
  <c r="BA105" i="5" a="1"/>
  <c r="BA105" i="5" s="1"/>
  <c r="BB105" i="5" a="1"/>
  <c r="BB105" i="5" s="1"/>
  <c r="AZ106" i="5" a="1"/>
  <c r="AZ106" i="5" s="1"/>
  <c r="BA106" i="5" a="1"/>
  <c r="BA106" i="5" s="1"/>
  <c r="BB106" i="5" a="1"/>
  <c r="BB106" i="5" s="1"/>
  <c r="AZ107" i="5" a="1"/>
  <c r="AZ107" i="5" s="1"/>
  <c r="BA107" i="5" a="1"/>
  <c r="BA107" i="5" s="1"/>
  <c r="BB107" i="5" a="1"/>
  <c r="BB107" i="5" s="1"/>
  <c r="AZ108" i="5" a="1"/>
  <c r="AZ108" i="5" s="1"/>
  <c r="BA108" i="5" a="1"/>
  <c r="BA108" i="5" s="1"/>
  <c r="BB108" i="5" a="1"/>
  <c r="BB108" i="5" s="1"/>
  <c r="AZ109" i="5" a="1"/>
  <c r="AZ109" i="5" s="1"/>
  <c r="BA109" i="5" a="1"/>
  <c r="BA109" i="5" s="1"/>
  <c r="BB109" i="5" a="1"/>
  <c r="BB109" i="5" s="1"/>
  <c r="AZ110" i="5" a="1"/>
  <c r="AZ110" i="5" s="1"/>
  <c r="BA110" i="5" a="1"/>
  <c r="BA110" i="5" s="1"/>
  <c r="BB110" i="5" a="1"/>
  <c r="BB110" i="5" s="1"/>
  <c r="AZ111" i="5" a="1"/>
  <c r="AZ111" i="5" s="1"/>
  <c r="BA111" i="5" a="1"/>
  <c r="BA111" i="5" s="1"/>
  <c r="BB111" i="5" a="1"/>
  <c r="BB111" i="5" s="1"/>
  <c r="AZ112" i="5" a="1"/>
  <c r="AZ112" i="5" s="1"/>
  <c r="BA112" i="5" a="1"/>
  <c r="BA112" i="5" s="1"/>
  <c r="BB112" i="5" a="1"/>
  <c r="BB112" i="5" s="1"/>
  <c r="AZ113" i="5" a="1"/>
  <c r="AZ113" i="5" s="1"/>
  <c r="BA113" i="5" a="1"/>
  <c r="BA113" i="5" s="1"/>
  <c r="BB113" i="5" a="1"/>
  <c r="BB113" i="5" s="1"/>
  <c r="AZ114" i="5" a="1"/>
  <c r="AZ114" i="5" s="1"/>
  <c r="BA114" i="5" a="1"/>
  <c r="BA114" i="5" s="1"/>
  <c r="BB114" i="5" a="1"/>
  <c r="BB114" i="5" s="1"/>
  <c r="AZ115" i="5" a="1"/>
  <c r="AZ115" i="5" s="1"/>
  <c r="BA115" i="5" a="1"/>
  <c r="BA115" i="5" s="1"/>
  <c r="BB115" i="5" a="1"/>
  <c r="BB115" i="5" s="1"/>
  <c r="AZ116" i="5" a="1"/>
  <c r="AZ116" i="5" s="1"/>
  <c r="BA116" i="5" a="1"/>
  <c r="BA116" i="5" s="1"/>
  <c r="BB116" i="5" a="1"/>
  <c r="BB116" i="5" s="1"/>
  <c r="AZ117" i="5" a="1"/>
  <c r="AZ117" i="5" s="1"/>
  <c r="BA117" i="5" a="1"/>
  <c r="BA117" i="5" s="1"/>
  <c r="BB117" i="5" a="1"/>
  <c r="BB117" i="5" s="1"/>
  <c r="AZ118" i="5" a="1"/>
  <c r="AZ118" i="5" s="1"/>
  <c r="BA118" i="5" a="1"/>
  <c r="BA118" i="5" s="1"/>
  <c r="BB118" i="5" a="1"/>
  <c r="BB118" i="5" s="1"/>
  <c r="AZ119" i="5" a="1"/>
  <c r="AZ119" i="5" s="1"/>
  <c r="BA119" i="5" a="1"/>
  <c r="BA119" i="5" s="1"/>
  <c r="BB119" i="5" a="1"/>
  <c r="BB119" i="5" s="1"/>
  <c r="AZ120" i="5" a="1"/>
  <c r="AZ120" i="5" s="1"/>
  <c r="BA120" i="5" a="1"/>
  <c r="BA120" i="5" s="1"/>
  <c r="BB120" i="5" a="1"/>
  <c r="BB120" i="5" s="1"/>
  <c r="AZ121" i="5" a="1"/>
  <c r="AZ121" i="5" s="1"/>
  <c r="BA121" i="5" a="1"/>
  <c r="BA121" i="5" s="1"/>
  <c r="BB121" i="5" a="1"/>
  <c r="BB121" i="5" s="1"/>
  <c r="AZ122" i="5" a="1"/>
  <c r="AZ122" i="5" s="1"/>
  <c r="BA122" i="5" a="1"/>
  <c r="BA122" i="5" s="1"/>
  <c r="BB122" i="5" a="1"/>
  <c r="BB122" i="5" s="1"/>
  <c r="AZ123" i="5" a="1"/>
  <c r="AZ123" i="5" s="1"/>
  <c r="BA123" i="5" a="1"/>
  <c r="BA123" i="5" s="1"/>
  <c r="BB123" i="5" a="1"/>
  <c r="BB123" i="5" s="1"/>
  <c r="AZ124" i="5" a="1"/>
  <c r="AZ124" i="5" s="1"/>
  <c r="BA124" i="5" a="1"/>
  <c r="BA124" i="5" s="1"/>
  <c r="BB124" i="5" a="1"/>
  <c r="BB124" i="5" s="1"/>
  <c r="AZ125" i="5" a="1"/>
  <c r="AZ125" i="5" s="1"/>
  <c r="BA125" i="5" a="1"/>
  <c r="BA125" i="5" s="1"/>
  <c r="BB125" i="5" a="1"/>
  <c r="BB125" i="5" s="1"/>
  <c r="AZ126" i="5" a="1"/>
  <c r="AZ126" i="5" s="1"/>
  <c r="BA126" i="5" a="1"/>
  <c r="BA126" i="5" s="1"/>
  <c r="BB126" i="5" a="1"/>
  <c r="BB126" i="5" s="1"/>
  <c r="AZ127" i="5" a="1"/>
  <c r="AZ127" i="5" s="1"/>
  <c r="BA127" i="5" a="1"/>
  <c r="BA127" i="5" s="1"/>
  <c r="BB127" i="5" a="1"/>
  <c r="BB127" i="5" s="1"/>
  <c r="AZ128" i="5" a="1"/>
  <c r="AZ128" i="5" s="1"/>
  <c r="BA128" i="5" a="1"/>
  <c r="BA128" i="5" s="1"/>
  <c r="BB128" i="5" a="1"/>
  <c r="BB128" i="5" s="1"/>
  <c r="AZ129" i="5" a="1"/>
  <c r="AZ129" i="5" s="1"/>
  <c r="BA129" i="5" a="1"/>
  <c r="BA129" i="5" s="1"/>
  <c r="BB129" i="5" a="1"/>
  <c r="BB129" i="5" s="1"/>
  <c r="AZ130" i="5" a="1"/>
  <c r="AZ130" i="5" s="1"/>
  <c r="BA130" i="5" a="1"/>
  <c r="BA130" i="5" s="1"/>
  <c r="BB130" i="5" a="1"/>
  <c r="BB130" i="5" s="1"/>
  <c r="AZ131" i="5" a="1"/>
  <c r="AZ131" i="5" s="1"/>
  <c r="BA131" i="5" a="1"/>
  <c r="BA131" i="5" s="1"/>
  <c r="BB131" i="5" a="1"/>
  <c r="BB131" i="5" s="1"/>
  <c r="AZ132" i="5" a="1"/>
  <c r="AZ132" i="5" s="1"/>
  <c r="BA132" i="5" a="1"/>
  <c r="BA132" i="5" s="1"/>
  <c r="BB132" i="5" a="1"/>
  <c r="BB132" i="5" s="1"/>
  <c r="AZ133" i="5" a="1"/>
  <c r="AZ133" i="5" s="1"/>
  <c r="BA133" i="5" a="1"/>
  <c r="BA133" i="5" s="1"/>
  <c r="BB133" i="5" a="1"/>
  <c r="BB133" i="5" s="1"/>
  <c r="AZ134" i="5" a="1"/>
  <c r="AZ134" i="5" s="1"/>
  <c r="BA134" i="5" a="1"/>
  <c r="BA134" i="5" s="1"/>
  <c r="BB134" i="5" a="1"/>
  <c r="BB134" i="5" s="1"/>
  <c r="AZ135" i="5" a="1"/>
  <c r="AZ135" i="5" s="1"/>
  <c r="BA135" i="5" a="1"/>
  <c r="BA135" i="5" s="1"/>
  <c r="BB135" i="5" a="1"/>
  <c r="BB135" i="5" s="1"/>
  <c r="AZ136" i="5" a="1"/>
  <c r="AZ136" i="5" s="1"/>
  <c r="BA136" i="5" a="1"/>
  <c r="BA136" i="5" s="1"/>
  <c r="BB136" i="5" a="1"/>
  <c r="BB136" i="5" s="1"/>
  <c r="AZ137" i="5" a="1"/>
  <c r="AZ137" i="5" s="1"/>
  <c r="BA137" i="5" a="1"/>
  <c r="BA137" i="5" s="1"/>
  <c r="BB137" i="5" a="1"/>
  <c r="BB137" i="5" s="1"/>
  <c r="AZ138" i="5" a="1"/>
  <c r="AZ138" i="5" s="1"/>
  <c r="BA138" i="5" a="1"/>
  <c r="BA138" i="5" s="1"/>
  <c r="BB138" i="5" a="1"/>
  <c r="BB138" i="5" s="1"/>
  <c r="AZ139" i="5" a="1"/>
  <c r="AZ139" i="5" s="1"/>
  <c r="BA139" i="5" a="1"/>
  <c r="BA139" i="5" s="1"/>
  <c r="BB139" i="5" a="1"/>
  <c r="BB139" i="5" s="1"/>
  <c r="AZ140" i="5" a="1"/>
  <c r="AZ140" i="5" s="1"/>
  <c r="BA140" i="5" a="1"/>
  <c r="BA140" i="5" s="1"/>
  <c r="BB140" i="5" a="1"/>
  <c r="BB140" i="5" s="1"/>
  <c r="AZ141" i="5" a="1"/>
  <c r="AZ141" i="5" s="1"/>
  <c r="BA141" i="5" a="1"/>
  <c r="BA141" i="5" s="1"/>
  <c r="BB141" i="5" a="1"/>
  <c r="BB141" i="5" s="1"/>
  <c r="AZ142" i="5" a="1"/>
  <c r="AZ142" i="5" s="1"/>
  <c r="BA142" i="5" a="1"/>
  <c r="BA142" i="5" s="1"/>
  <c r="BB142" i="5" a="1"/>
  <c r="BB142" i="5" s="1"/>
  <c r="AZ143" i="5" a="1"/>
  <c r="AZ143" i="5" s="1"/>
  <c r="BA143" i="5" a="1"/>
  <c r="BA143" i="5" s="1"/>
  <c r="BB143" i="5" a="1"/>
  <c r="BB143" i="5" s="1"/>
  <c r="AZ144" i="5" a="1"/>
  <c r="AZ144" i="5" s="1"/>
  <c r="BA144" i="5" a="1"/>
  <c r="BA144" i="5" s="1"/>
  <c r="BB144" i="5" a="1"/>
  <c r="BB144" i="5" s="1"/>
  <c r="AZ145" i="5" a="1"/>
  <c r="AZ145" i="5" s="1"/>
  <c r="BA145" i="5" a="1"/>
  <c r="BA145" i="5" s="1"/>
  <c r="BB145" i="5" a="1"/>
  <c r="BB145" i="5" s="1"/>
  <c r="AZ146" i="5" a="1"/>
  <c r="AZ146" i="5" s="1"/>
  <c r="BA146" i="5" a="1"/>
  <c r="BA146" i="5" s="1"/>
  <c r="BB146" i="5" a="1"/>
  <c r="BB146" i="5" s="1"/>
  <c r="AZ147" i="5" a="1"/>
  <c r="AZ147" i="5" s="1"/>
  <c r="BA147" i="5" a="1"/>
  <c r="BA147" i="5" s="1"/>
  <c r="BB147" i="5" a="1"/>
  <c r="BB147" i="5" s="1"/>
  <c r="AZ148" i="5" a="1"/>
  <c r="AZ148" i="5" s="1"/>
  <c r="BA148" i="5" a="1"/>
  <c r="BA148" i="5" s="1"/>
  <c r="BB148" i="5" a="1"/>
  <c r="BB148" i="5" s="1"/>
  <c r="AZ149" i="5" a="1"/>
  <c r="AZ149" i="5" s="1"/>
  <c r="BA149" i="5" a="1"/>
  <c r="BA149" i="5" s="1"/>
  <c r="BB149" i="5" a="1"/>
  <c r="BB149" i="5" s="1"/>
  <c r="AZ150" i="5" a="1"/>
  <c r="AZ150" i="5" s="1"/>
  <c r="BA150" i="5" a="1"/>
  <c r="BA150" i="5" s="1"/>
  <c r="BB150" i="5" a="1"/>
  <c r="BB150" i="5" s="1"/>
  <c r="AZ151" i="5" a="1"/>
  <c r="AZ151" i="5" s="1"/>
  <c r="BA151" i="5" a="1"/>
  <c r="BA151" i="5" s="1"/>
  <c r="BB151" i="5" a="1"/>
  <c r="BB151" i="5" s="1"/>
  <c r="AZ152" i="5" a="1"/>
  <c r="AZ152" i="5" s="1"/>
  <c r="BA152" i="5" a="1"/>
  <c r="BA152" i="5" s="1"/>
  <c r="BB152" i="5" a="1"/>
  <c r="BB152" i="5" s="1"/>
  <c r="AZ153" i="5" a="1"/>
  <c r="AZ153" i="5" s="1"/>
  <c r="BA153" i="5" a="1"/>
  <c r="BA153" i="5" s="1"/>
  <c r="BB153" i="5" a="1"/>
  <c r="BB153" i="5" s="1"/>
  <c r="AZ154" i="5" a="1"/>
  <c r="AZ154" i="5" s="1"/>
  <c r="BA154" i="5" a="1"/>
  <c r="BA154" i="5" s="1"/>
  <c r="BB154" i="5" a="1"/>
  <c r="BB154" i="5" s="1"/>
  <c r="AZ155" i="5" a="1"/>
  <c r="AZ155" i="5" s="1"/>
  <c r="BA155" i="5" a="1"/>
  <c r="BA155" i="5" s="1"/>
  <c r="BB155" i="5" a="1"/>
  <c r="BB155" i="5" s="1"/>
  <c r="AZ156" i="5" a="1"/>
  <c r="AZ156" i="5" s="1"/>
  <c r="BA156" i="5" a="1"/>
  <c r="BA156" i="5" s="1"/>
  <c r="BB156" i="5" a="1"/>
  <c r="BB156" i="5" s="1"/>
  <c r="AZ157" i="5" a="1"/>
  <c r="AZ157" i="5" s="1"/>
  <c r="BA157" i="5" a="1"/>
  <c r="BA157" i="5" s="1"/>
  <c r="BB157" i="5" a="1"/>
  <c r="BB157" i="5" s="1"/>
  <c r="AZ158" i="5" a="1"/>
  <c r="AZ158" i="5" s="1"/>
  <c r="BA158" i="5" a="1"/>
  <c r="BA158" i="5" s="1"/>
  <c r="BB158" i="5" a="1"/>
  <c r="BB158" i="5" s="1"/>
  <c r="AQ8" i="5" a="1"/>
  <c r="AQ8" i="5" s="1"/>
  <c r="AR8" i="5" a="1"/>
  <c r="AR8" i="5" s="1"/>
  <c r="AS8" i="5" a="1"/>
  <c r="AS8" i="5" s="1"/>
  <c r="AT8" i="5" a="1"/>
  <c r="AT8" i="5" s="1"/>
  <c r="AU8" i="5" a="1"/>
  <c r="AU8" i="5" s="1"/>
  <c r="AV8" i="5" a="1"/>
  <c r="AV8" i="5"/>
  <c r="AW8" i="5" a="1"/>
  <c r="AW8" i="5" s="1"/>
  <c r="AX8" i="5" a="1"/>
  <c r="AX8" i="5" s="1"/>
  <c r="AY8" i="5" a="1"/>
  <c r="AY8" i="5" s="1"/>
  <c r="AQ9" i="5" a="1"/>
  <c r="AQ9" i="5" s="1"/>
  <c r="AR9" i="5" a="1"/>
  <c r="AR9" i="5" s="1"/>
  <c r="AS9" i="5" a="1"/>
  <c r="AS9" i="5" s="1"/>
  <c r="AT9" i="5" a="1"/>
  <c r="AT9" i="5" s="1"/>
  <c r="AU9" i="5" a="1"/>
  <c r="AU9" i="5" s="1"/>
  <c r="AV9" i="5" a="1"/>
  <c r="AV9" i="5" s="1"/>
  <c r="AW9" i="5" a="1"/>
  <c r="AW9" i="5" s="1"/>
  <c r="AX9" i="5" a="1"/>
  <c r="AX9" i="5" s="1"/>
  <c r="AY9" i="5" a="1"/>
  <c r="AY9" i="5" s="1"/>
  <c r="AQ10" i="5" a="1"/>
  <c r="AQ10" i="5" s="1"/>
  <c r="AR10" i="5" a="1"/>
  <c r="AR10" i="5" s="1"/>
  <c r="AS10" i="5" a="1"/>
  <c r="AS10" i="5" s="1"/>
  <c r="AT10" i="5" a="1"/>
  <c r="AT10" i="5" s="1"/>
  <c r="AU10" i="5" a="1"/>
  <c r="AU10" i="5" s="1"/>
  <c r="AV10" i="5" a="1"/>
  <c r="AV10" i="5"/>
  <c r="AW10" i="5" a="1"/>
  <c r="AW10" i="5" s="1"/>
  <c r="AX10" i="5" a="1"/>
  <c r="AX10" i="5" s="1"/>
  <c r="AY10" i="5" a="1"/>
  <c r="AY10" i="5" s="1"/>
  <c r="AQ11" i="5" a="1"/>
  <c r="AQ11" i="5" s="1"/>
  <c r="AR11" i="5" a="1"/>
  <c r="AR11" i="5" s="1"/>
  <c r="AS11" i="5" a="1"/>
  <c r="AS11" i="5" s="1"/>
  <c r="AT11" i="5" a="1"/>
  <c r="AT11" i="5" s="1"/>
  <c r="AU11" i="5" a="1"/>
  <c r="AU11" i="5" s="1"/>
  <c r="AV11" i="5" a="1"/>
  <c r="AV11" i="5" s="1"/>
  <c r="AW11" i="5" a="1"/>
  <c r="AW11" i="5" s="1"/>
  <c r="AX11" i="5" a="1"/>
  <c r="AX11" i="5" s="1"/>
  <c r="AY11" i="5" a="1"/>
  <c r="AY11" i="5" s="1"/>
  <c r="AQ12" i="5" a="1"/>
  <c r="AQ12" i="5" s="1"/>
  <c r="AR12" i="5" a="1"/>
  <c r="AR12" i="5" s="1"/>
  <c r="AS12" i="5" a="1"/>
  <c r="AS12" i="5" s="1"/>
  <c r="AT12" i="5" a="1"/>
  <c r="AT12" i="5" s="1"/>
  <c r="AU12" i="5" a="1"/>
  <c r="AU12" i="5" s="1"/>
  <c r="AV12" i="5" a="1"/>
  <c r="AV12" i="5" s="1"/>
  <c r="AW12" i="5" a="1"/>
  <c r="AW12" i="5" s="1"/>
  <c r="AX12" i="5" a="1"/>
  <c r="AX12" i="5" s="1"/>
  <c r="AY12" i="5" a="1"/>
  <c r="AY12" i="5" s="1"/>
  <c r="AQ13" i="5" a="1"/>
  <c r="AQ13" i="5" s="1"/>
  <c r="AR13" i="5" a="1"/>
  <c r="AR13" i="5" s="1"/>
  <c r="AS13" i="5" a="1"/>
  <c r="AS13" i="5" s="1"/>
  <c r="AT13" i="5" a="1"/>
  <c r="AT13" i="5" s="1"/>
  <c r="AU13" i="5" a="1"/>
  <c r="AU13" i="5" s="1"/>
  <c r="AV13" i="5" a="1"/>
  <c r="AV13" i="5" s="1"/>
  <c r="AW13" i="5" a="1"/>
  <c r="AW13" i="5" s="1"/>
  <c r="AX13" i="5" a="1"/>
  <c r="AX13" i="5" s="1"/>
  <c r="AY13" i="5" a="1"/>
  <c r="AY13" i="5" s="1"/>
  <c r="AQ14" i="5" a="1"/>
  <c r="AQ14" i="5" s="1"/>
  <c r="AR14" i="5" a="1"/>
  <c r="AR14" i="5" s="1"/>
  <c r="AS14" i="5" a="1"/>
  <c r="AS14" i="5" s="1"/>
  <c r="AT14" i="5" a="1"/>
  <c r="AT14" i="5" s="1"/>
  <c r="AU14" i="5" a="1"/>
  <c r="AU14" i="5" s="1"/>
  <c r="AV14" i="5" a="1"/>
  <c r="AV14" i="5" s="1"/>
  <c r="AW14" i="5" a="1"/>
  <c r="AW14" i="5" s="1"/>
  <c r="AX14" i="5" a="1"/>
  <c r="AX14" i="5" s="1"/>
  <c r="AY14" i="5" a="1"/>
  <c r="AY14" i="5" s="1"/>
  <c r="AQ15" i="5" a="1"/>
  <c r="AQ15" i="5" s="1"/>
  <c r="AR15" i="5" a="1"/>
  <c r="AR15" i="5" s="1"/>
  <c r="AS15" i="5" a="1"/>
  <c r="AS15" i="5" s="1"/>
  <c r="AT15" i="5" a="1"/>
  <c r="AT15" i="5" s="1"/>
  <c r="AU15" i="5" a="1"/>
  <c r="AU15" i="5" s="1"/>
  <c r="AV15" i="5" a="1"/>
  <c r="AV15" i="5" s="1"/>
  <c r="AW15" i="5" a="1"/>
  <c r="AW15" i="5" s="1"/>
  <c r="AX15" i="5" a="1"/>
  <c r="AX15" i="5" s="1"/>
  <c r="AY15" i="5" a="1"/>
  <c r="AY15" i="5" s="1"/>
  <c r="AQ16" i="5" a="1"/>
  <c r="AQ16" i="5" s="1"/>
  <c r="AR16" i="5" a="1"/>
  <c r="AR16" i="5" s="1"/>
  <c r="AS16" i="5" a="1"/>
  <c r="AS16" i="5" s="1"/>
  <c r="AT16" i="5" a="1"/>
  <c r="AT16" i="5" s="1"/>
  <c r="AU16" i="5" a="1"/>
  <c r="AU16" i="5" s="1"/>
  <c r="AV16" i="5" a="1"/>
  <c r="AV16" i="5" s="1"/>
  <c r="AW16" i="5" a="1"/>
  <c r="AW16" i="5" s="1"/>
  <c r="AX16" i="5" a="1"/>
  <c r="AX16" i="5" s="1"/>
  <c r="AY16" i="5" a="1"/>
  <c r="AY16" i="5" s="1"/>
  <c r="AQ17" i="5" a="1"/>
  <c r="AQ17" i="5" s="1"/>
  <c r="AR17" i="5" a="1"/>
  <c r="AR17" i="5" s="1"/>
  <c r="AS17" i="5" a="1"/>
  <c r="AS17" i="5" s="1"/>
  <c r="AT17" i="5" a="1"/>
  <c r="AT17" i="5" s="1"/>
  <c r="AU17" i="5" a="1"/>
  <c r="AU17" i="5" s="1"/>
  <c r="AV17" i="5" a="1"/>
  <c r="AV17" i="5" s="1"/>
  <c r="AW17" i="5" a="1"/>
  <c r="AW17" i="5" s="1"/>
  <c r="AX17" i="5" a="1"/>
  <c r="AX17" i="5" s="1"/>
  <c r="AY17" i="5" a="1"/>
  <c r="AY17" i="5" s="1"/>
  <c r="AQ18" i="5" a="1"/>
  <c r="AQ18" i="5" s="1"/>
  <c r="AR18" i="5" a="1"/>
  <c r="AR18" i="5" s="1"/>
  <c r="AS18" i="5" a="1"/>
  <c r="AS18" i="5" s="1"/>
  <c r="AT18" i="5" a="1"/>
  <c r="AT18" i="5" s="1"/>
  <c r="AU18" i="5" a="1"/>
  <c r="AU18" i="5" s="1"/>
  <c r="AV18" i="5" a="1"/>
  <c r="AV18" i="5" s="1"/>
  <c r="AW18" i="5" a="1"/>
  <c r="AW18" i="5" s="1"/>
  <c r="AX18" i="5" a="1"/>
  <c r="AX18" i="5" s="1"/>
  <c r="AY18" i="5" a="1"/>
  <c r="AY18" i="5" s="1"/>
  <c r="AQ19" i="5" a="1"/>
  <c r="AQ19" i="5" s="1"/>
  <c r="AR19" i="5" a="1"/>
  <c r="AR19" i="5" s="1"/>
  <c r="AS19" i="5" a="1"/>
  <c r="AS19" i="5" s="1"/>
  <c r="AT19" i="5" a="1"/>
  <c r="AT19" i="5" s="1"/>
  <c r="AU19" i="5" a="1"/>
  <c r="AU19" i="5" s="1"/>
  <c r="AV19" i="5" a="1"/>
  <c r="AV19" i="5" s="1"/>
  <c r="AW19" i="5" a="1"/>
  <c r="AW19" i="5" s="1"/>
  <c r="AX19" i="5" a="1"/>
  <c r="AX19" i="5" s="1"/>
  <c r="AY19" i="5" a="1"/>
  <c r="AY19" i="5" s="1"/>
  <c r="AQ20" i="5" a="1"/>
  <c r="AQ20" i="5" s="1"/>
  <c r="AR20" i="5" a="1"/>
  <c r="AR20" i="5" s="1"/>
  <c r="AS20" i="5" a="1"/>
  <c r="AS20" i="5" s="1"/>
  <c r="AT20" i="5" a="1"/>
  <c r="AT20" i="5" s="1"/>
  <c r="AU20" i="5" a="1"/>
  <c r="AU20" i="5" s="1"/>
  <c r="AV20" i="5" a="1"/>
  <c r="AV20" i="5" s="1"/>
  <c r="AW20" i="5" a="1"/>
  <c r="AW20" i="5" s="1"/>
  <c r="AX20" i="5" a="1"/>
  <c r="AX20" i="5" s="1"/>
  <c r="AY20" i="5" a="1"/>
  <c r="AY20" i="5" s="1"/>
  <c r="AQ21" i="5" a="1"/>
  <c r="AQ21" i="5" s="1"/>
  <c r="AR21" i="5" a="1"/>
  <c r="AR21" i="5" s="1"/>
  <c r="AS21" i="5" a="1"/>
  <c r="AS21" i="5" s="1"/>
  <c r="AT21" i="5" a="1"/>
  <c r="AT21" i="5" s="1"/>
  <c r="AU21" i="5" a="1"/>
  <c r="AU21" i="5" s="1"/>
  <c r="AV21" i="5" a="1"/>
  <c r="AV21" i="5" s="1"/>
  <c r="AW21" i="5" a="1"/>
  <c r="AW21" i="5" s="1"/>
  <c r="AX21" i="5" a="1"/>
  <c r="AX21" i="5" s="1"/>
  <c r="AY21" i="5" a="1"/>
  <c r="AY21" i="5" s="1"/>
  <c r="AQ22" i="5" a="1"/>
  <c r="AQ22" i="5" s="1"/>
  <c r="AR22" i="5" a="1"/>
  <c r="AR22" i="5" s="1"/>
  <c r="AS22" i="5" a="1"/>
  <c r="AS22" i="5" s="1"/>
  <c r="AT22" i="5" a="1"/>
  <c r="AT22" i="5" s="1"/>
  <c r="AU22" i="5" a="1"/>
  <c r="AU22" i="5" s="1"/>
  <c r="AV22" i="5" a="1"/>
  <c r="AV22" i="5" s="1"/>
  <c r="AW22" i="5" a="1"/>
  <c r="AW22" i="5" s="1"/>
  <c r="AX22" i="5" a="1"/>
  <c r="AX22" i="5" s="1"/>
  <c r="AY22" i="5" a="1"/>
  <c r="AY22" i="5" s="1"/>
  <c r="AQ23" i="5" a="1"/>
  <c r="AQ23" i="5" s="1"/>
  <c r="AR23" i="5" a="1"/>
  <c r="AR23" i="5" s="1"/>
  <c r="AS23" i="5" a="1"/>
  <c r="AS23" i="5" s="1"/>
  <c r="AT23" i="5" a="1"/>
  <c r="AT23" i="5" s="1"/>
  <c r="AU23" i="5" a="1"/>
  <c r="AU23" i="5" s="1"/>
  <c r="AV23" i="5" a="1"/>
  <c r="AV23" i="5" s="1"/>
  <c r="AW23" i="5" a="1"/>
  <c r="AW23" i="5" s="1"/>
  <c r="AX23" i="5" a="1"/>
  <c r="AX23" i="5" s="1"/>
  <c r="AY23" i="5" a="1"/>
  <c r="AY23" i="5" s="1"/>
  <c r="AQ24" i="5" a="1"/>
  <c r="AQ24" i="5" s="1"/>
  <c r="AR24" i="5" a="1"/>
  <c r="AR24" i="5" s="1"/>
  <c r="AS24" i="5" a="1"/>
  <c r="AS24" i="5" s="1"/>
  <c r="AT24" i="5" a="1"/>
  <c r="AT24" i="5" s="1"/>
  <c r="AU24" i="5" a="1"/>
  <c r="AU24" i="5" s="1"/>
  <c r="AV24" i="5" a="1"/>
  <c r="AV24" i="5" s="1"/>
  <c r="AW24" i="5" a="1"/>
  <c r="AW24" i="5" s="1"/>
  <c r="AX24" i="5" a="1"/>
  <c r="AX24" i="5" s="1"/>
  <c r="AY24" i="5" a="1"/>
  <c r="AY24" i="5" s="1"/>
  <c r="AQ25" i="5" a="1"/>
  <c r="AQ25" i="5" s="1"/>
  <c r="AR25" i="5" a="1"/>
  <c r="AR25" i="5" s="1"/>
  <c r="AS25" i="5" a="1"/>
  <c r="AS25" i="5" s="1"/>
  <c r="AT25" i="5" a="1"/>
  <c r="AT25" i="5" s="1"/>
  <c r="AU25" i="5" a="1"/>
  <c r="AU25" i="5" s="1"/>
  <c r="AV25" i="5" a="1"/>
  <c r="AV25" i="5" s="1"/>
  <c r="AW25" i="5" a="1"/>
  <c r="AW25" i="5" s="1"/>
  <c r="AX25" i="5" a="1"/>
  <c r="AX25" i="5" s="1"/>
  <c r="AY25" i="5" a="1"/>
  <c r="AY25" i="5" s="1"/>
  <c r="AQ26" i="5" a="1"/>
  <c r="AQ26" i="5" s="1"/>
  <c r="AR26" i="5" a="1"/>
  <c r="AR26" i="5" s="1"/>
  <c r="AS26" i="5" a="1"/>
  <c r="AS26" i="5" s="1"/>
  <c r="AT26" i="5" a="1"/>
  <c r="AT26" i="5" s="1"/>
  <c r="AU26" i="5" a="1"/>
  <c r="AU26" i="5" s="1"/>
  <c r="AV26" i="5" a="1"/>
  <c r="AV26" i="5" s="1"/>
  <c r="AW26" i="5" a="1"/>
  <c r="AW26" i="5" s="1"/>
  <c r="AX26" i="5" a="1"/>
  <c r="AX26" i="5" s="1"/>
  <c r="AY26" i="5" a="1"/>
  <c r="AY26" i="5" s="1"/>
  <c r="AQ27" i="5" a="1"/>
  <c r="AQ27" i="5" s="1"/>
  <c r="AR27" i="5" a="1"/>
  <c r="AR27" i="5" s="1"/>
  <c r="AS27" i="5" a="1"/>
  <c r="AS27" i="5" s="1"/>
  <c r="AT27" i="5" a="1"/>
  <c r="AT27" i="5" s="1"/>
  <c r="AU27" i="5" a="1"/>
  <c r="AU27" i="5" s="1"/>
  <c r="AV27" i="5" a="1"/>
  <c r="AV27" i="5" s="1"/>
  <c r="AW27" i="5" a="1"/>
  <c r="AW27" i="5" s="1"/>
  <c r="AX27" i="5" a="1"/>
  <c r="AX27" i="5" s="1"/>
  <c r="AY27" i="5" a="1"/>
  <c r="AY27" i="5" s="1"/>
  <c r="AQ28" i="5" a="1"/>
  <c r="AQ28" i="5" s="1"/>
  <c r="AR28" i="5" a="1"/>
  <c r="AR28" i="5" s="1"/>
  <c r="AS28" i="5" a="1"/>
  <c r="AS28" i="5" s="1"/>
  <c r="AT28" i="5" a="1"/>
  <c r="AT28" i="5" s="1"/>
  <c r="AU28" i="5" a="1"/>
  <c r="AU28" i="5" s="1"/>
  <c r="AV28" i="5" a="1"/>
  <c r="AV28" i="5" s="1"/>
  <c r="AW28" i="5" a="1"/>
  <c r="AW28" i="5" s="1"/>
  <c r="AX28" i="5" a="1"/>
  <c r="AX28" i="5" s="1"/>
  <c r="AY28" i="5" a="1"/>
  <c r="AY28" i="5" s="1"/>
  <c r="AQ29" i="5" a="1"/>
  <c r="AQ29" i="5" s="1"/>
  <c r="AR29" i="5" a="1"/>
  <c r="AR29" i="5" s="1"/>
  <c r="AS29" i="5" a="1"/>
  <c r="AS29" i="5" s="1"/>
  <c r="AT29" i="5" a="1"/>
  <c r="AT29" i="5" s="1"/>
  <c r="AU29" i="5" a="1"/>
  <c r="AU29" i="5" s="1"/>
  <c r="AV29" i="5" a="1"/>
  <c r="AV29" i="5" s="1"/>
  <c r="AW29" i="5" a="1"/>
  <c r="AW29" i="5" s="1"/>
  <c r="AX29" i="5" a="1"/>
  <c r="AX29" i="5" s="1"/>
  <c r="AY29" i="5" a="1"/>
  <c r="AY29" i="5" s="1"/>
  <c r="AQ30" i="5" a="1"/>
  <c r="AQ30" i="5" s="1"/>
  <c r="AR30" i="5" a="1"/>
  <c r="AR30" i="5" s="1"/>
  <c r="AS30" i="5" a="1"/>
  <c r="AS30" i="5" s="1"/>
  <c r="AT30" i="5" a="1"/>
  <c r="AT30" i="5" s="1"/>
  <c r="AU30" i="5" a="1"/>
  <c r="AU30" i="5" s="1"/>
  <c r="AV30" i="5" a="1"/>
  <c r="AV30" i="5" s="1"/>
  <c r="AW30" i="5" a="1"/>
  <c r="AW30" i="5" s="1"/>
  <c r="AX30" i="5" a="1"/>
  <c r="AX30" i="5" s="1"/>
  <c r="AY30" i="5" a="1"/>
  <c r="AY30" i="5" s="1"/>
  <c r="AQ31" i="5" a="1"/>
  <c r="AQ31" i="5" s="1"/>
  <c r="AR31" i="5" a="1"/>
  <c r="AR31" i="5" s="1"/>
  <c r="AS31" i="5" a="1"/>
  <c r="AS31" i="5" s="1"/>
  <c r="AT31" i="5" a="1"/>
  <c r="AT31" i="5" s="1"/>
  <c r="AU31" i="5" a="1"/>
  <c r="AU31" i="5" s="1"/>
  <c r="AV31" i="5" a="1"/>
  <c r="AV31" i="5" s="1"/>
  <c r="AW31" i="5" a="1"/>
  <c r="AW31" i="5" s="1"/>
  <c r="AX31" i="5" a="1"/>
  <c r="AX31" i="5" s="1"/>
  <c r="AY31" i="5" a="1"/>
  <c r="AY31" i="5" s="1"/>
  <c r="AQ32" i="5" a="1"/>
  <c r="AQ32" i="5" s="1"/>
  <c r="AR32" i="5" a="1"/>
  <c r="AR32" i="5" s="1"/>
  <c r="AS32" i="5" a="1"/>
  <c r="AS32" i="5" s="1"/>
  <c r="AT32" i="5" a="1"/>
  <c r="AT32" i="5" s="1"/>
  <c r="AU32" i="5" a="1"/>
  <c r="AU32" i="5" s="1"/>
  <c r="AV32" i="5" a="1"/>
  <c r="AV32" i="5" s="1"/>
  <c r="AW32" i="5" a="1"/>
  <c r="AW32" i="5" s="1"/>
  <c r="AX32" i="5" a="1"/>
  <c r="AX32" i="5" s="1"/>
  <c r="AY32" i="5" a="1"/>
  <c r="AY32" i="5" s="1"/>
  <c r="AQ33" i="5" a="1"/>
  <c r="AQ33" i="5" s="1"/>
  <c r="AR33" i="5" a="1"/>
  <c r="AR33" i="5" s="1"/>
  <c r="AS33" i="5" a="1"/>
  <c r="AS33" i="5" s="1"/>
  <c r="AT33" i="5" a="1"/>
  <c r="AT33" i="5" s="1"/>
  <c r="AU33" i="5" a="1"/>
  <c r="AU33" i="5" s="1"/>
  <c r="AV33" i="5" a="1"/>
  <c r="AV33" i="5" s="1"/>
  <c r="AW33" i="5" a="1"/>
  <c r="AW33" i="5" s="1"/>
  <c r="AX33" i="5" a="1"/>
  <c r="AX33" i="5" s="1"/>
  <c r="AY33" i="5" a="1"/>
  <c r="AY33" i="5" s="1"/>
  <c r="AQ34" i="5" a="1"/>
  <c r="AQ34" i="5" s="1"/>
  <c r="AR34" i="5" a="1"/>
  <c r="AR34" i="5" s="1"/>
  <c r="AS34" i="5" a="1"/>
  <c r="AS34" i="5" s="1"/>
  <c r="AT34" i="5" a="1"/>
  <c r="AT34" i="5" s="1"/>
  <c r="AU34" i="5" a="1"/>
  <c r="AU34" i="5" s="1"/>
  <c r="AV34" i="5" a="1"/>
  <c r="AV34" i="5" s="1"/>
  <c r="AW34" i="5" a="1"/>
  <c r="AW34" i="5" s="1"/>
  <c r="AX34" i="5" a="1"/>
  <c r="AX34" i="5" s="1"/>
  <c r="AY34" i="5" a="1"/>
  <c r="AY34" i="5" s="1"/>
  <c r="AQ35" i="5" a="1"/>
  <c r="AQ35" i="5" s="1"/>
  <c r="AR35" i="5" a="1"/>
  <c r="AR35" i="5" s="1"/>
  <c r="AS35" i="5" a="1"/>
  <c r="AS35" i="5" s="1"/>
  <c r="AT35" i="5" a="1"/>
  <c r="AT35" i="5" s="1"/>
  <c r="AU35" i="5" a="1"/>
  <c r="AU35" i="5" s="1"/>
  <c r="AV35" i="5" a="1"/>
  <c r="AV35" i="5" s="1"/>
  <c r="AW35" i="5" a="1"/>
  <c r="AW35" i="5" s="1"/>
  <c r="AX35" i="5" a="1"/>
  <c r="AX35" i="5" s="1"/>
  <c r="AY35" i="5" a="1"/>
  <c r="AY35" i="5" s="1"/>
  <c r="AQ36" i="5" a="1"/>
  <c r="AQ36" i="5" s="1"/>
  <c r="AR36" i="5" a="1"/>
  <c r="AR36" i="5" s="1"/>
  <c r="AS36" i="5" a="1"/>
  <c r="AS36" i="5" s="1"/>
  <c r="AT36" i="5" a="1"/>
  <c r="AT36" i="5" s="1"/>
  <c r="AU36" i="5" a="1"/>
  <c r="AU36" i="5" s="1"/>
  <c r="AV36" i="5" a="1"/>
  <c r="AV36" i="5" s="1"/>
  <c r="AW36" i="5" a="1"/>
  <c r="AW36" i="5" s="1"/>
  <c r="AX36" i="5" a="1"/>
  <c r="AX36" i="5" s="1"/>
  <c r="AY36" i="5" a="1"/>
  <c r="AY36" i="5" s="1"/>
  <c r="AQ37" i="5" a="1"/>
  <c r="AQ37" i="5" s="1"/>
  <c r="AR37" i="5" a="1"/>
  <c r="AR37" i="5" s="1"/>
  <c r="AS37" i="5" a="1"/>
  <c r="AS37" i="5" s="1"/>
  <c r="AT37" i="5" a="1"/>
  <c r="AT37" i="5" s="1"/>
  <c r="AU37" i="5" a="1"/>
  <c r="AU37" i="5" s="1"/>
  <c r="AV37" i="5" a="1"/>
  <c r="AV37" i="5" s="1"/>
  <c r="AW37" i="5" a="1"/>
  <c r="AW37" i="5" s="1"/>
  <c r="AX37" i="5" a="1"/>
  <c r="AX37" i="5" s="1"/>
  <c r="AY37" i="5" a="1"/>
  <c r="AY37" i="5" s="1"/>
  <c r="AQ38" i="5" a="1"/>
  <c r="AQ38" i="5" s="1"/>
  <c r="AR38" i="5" a="1"/>
  <c r="AR38" i="5" s="1"/>
  <c r="AS38" i="5" a="1"/>
  <c r="AS38" i="5" s="1"/>
  <c r="AT38" i="5" a="1"/>
  <c r="AT38" i="5" s="1"/>
  <c r="AU38" i="5" a="1"/>
  <c r="AU38" i="5" s="1"/>
  <c r="AV38" i="5" a="1"/>
  <c r="AV38" i="5" s="1"/>
  <c r="AW38" i="5" a="1"/>
  <c r="AW38" i="5" s="1"/>
  <c r="AX38" i="5" a="1"/>
  <c r="AX38" i="5" s="1"/>
  <c r="AY38" i="5" a="1"/>
  <c r="AY38" i="5" s="1"/>
  <c r="AQ39" i="5" a="1"/>
  <c r="AQ39" i="5" s="1"/>
  <c r="AR39" i="5" a="1"/>
  <c r="AR39" i="5" s="1"/>
  <c r="AS39" i="5" a="1"/>
  <c r="AS39" i="5" s="1"/>
  <c r="AT39" i="5" a="1"/>
  <c r="AT39" i="5" s="1"/>
  <c r="AU39" i="5" a="1"/>
  <c r="AU39" i="5" s="1"/>
  <c r="AV39" i="5" a="1"/>
  <c r="AV39" i="5" s="1"/>
  <c r="AW39" i="5" a="1"/>
  <c r="AW39" i="5" s="1"/>
  <c r="AX39" i="5" a="1"/>
  <c r="AX39" i="5" s="1"/>
  <c r="AY39" i="5" a="1"/>
  <c r="AY39" i="5" s="1"/>
  <c r="AQ40" i="5" a="1"/>
  <c r="AQ40" i="5" s="1"/>
  <c r="AR40" i="5" a="1"/>
  <c r="AR40" i="5" s="1"/>
  <c r="AS40" i="5" a="1"/>
  <c r="AS40" i="5" s="1"/>
  <c r="AT40" i="5" a="1"/>
  <c r="AT40" i="5" s="1"/>
  <c r="AU40" i="5" a="1"/>
  <c r="AU40" i="5" s="1"/>
  <c r="AV40" i="5" a="1"/>
  <c r="AV40" i="5" s="1"/>
  <c r="AW40" i="5" a="1"/>
  <c r="AW40" i="5" s="1"/>
  <c r="AX40" i="5" a="1"/>
  <c r="AX40" i="5" s="1"/>
  <c r="AY40" i="5" a="1"/>
  <c r="AY40" i="5" s="1"/>
  <c r="AQ41" i="5" a="1"/>
  <c r="AQ41" i="5" s="1"/>
  <c r="AR41" i="5" a="1"/>
  <c r="AR41" i="5" s="1"/>
  <c r="AS41" i="5" a="1"/>
  <c r="AS41" i="5" s="1"/>
  <c r="AT41" i="5" a="1"/>
  <c r="AT41" i="5" s="1"/>
  <c r="AU41" i="5" a="1"/>
  <c r="AU41" i="5" s="1"/>
  <c r="AV41" i="5" a="1"/>
  <c r="AV41" i="5" s="1"/>
  <c r="AW41" i="5" a="1"/>
  <c r="AW41" i="5" s="1"/>
  <c r="AX41" i="5" a="1"/>
  <c r="AX41" i="5" s="1"/>
  <c r="AY41" i="5" a="1"/>
  <c r="AY41" i="5" s="1"/>
  <c r="AQ42" i="5" a="1"/>
  <c r="AQ42" i="5" s="1"/>
  <c r="AR42" i="5" a="1"/>
  <c r="AR42" i="5" s="1"/>
  <c r="AS42" i="5" a="1"/>
  <c r="AS42" i="5" s="1"/>
  <c r="AT42" i="5" a="1"/>
  <c r="AT42" i="5" s="1"/>
  <c r="AU42" i="5" a="1"/>
  <c r="AU42" i="5" s="1"/>
  <c r="AV42" i="5" a="1"/>
  <c r="AV42" i="5" s="1"/>
  <c r="AW42" i="5" a="1"/>
  <c r="AW42" i="5" s="1"/>
  <c r="AX42" i="5" a="1"/>
  <c r="AX42" i="5" s="1"/>
  <c r="AY42" i="5" a="1"/>
  <c r="AY42" i="5" s="1"/>
  <c r="AQ43" i="5" a="1"/>
  <c r="AQ43" i="5" s="1"/>
  <c r="AR43" i="5" a="1"/>
  <c r="AR43" i="5" s="1"/>
  <c r="AS43" i="5" a="1"/>
  <c r="AS43" i="5" s="1"/>
  <c r="AT43" i="5" a="1"/>
  <c r="AT43" i="5" s="1"/>
  <c r="AU43" i="5" a="1"/>
  <c r="AU43" i="5" s="1"/>
  <c r="AV43" i="5" a="1"/>
  <c r="AV43" i="5" s="1"/>
  <c r="AW43" i="5" a="1"/>
  <c r="AW43" i="5" s="1"/>
  <c r="AX43" i="5" a="1"/>
  <c r="AX43" i="5" s="1"/>
  <c r="AY43" i="5" a="1"/>
  <c r="AY43" i="5" s="1"/>
  <c r="AQ44" i="5" a="1"/>
  <c r="AQ44" i="5" s="1"/>
  <c r="AR44" i="5" a="1"/>
  <c r="AR44" i="5" s="1"/>
  <c r="AS44" i="5" a="1"/>
  <c r="AS44" i="5" s="1"/>
  <c r="AT44" i="5" a="1"/>
  <c r="AT44" i="5" s="1"/>
  <c r="AU44" i="5" a="1"/>
  <c r="AU44" i="5" s="1"/>
  <c r="AV44" i="5" a="1"/>
  <c r="AV44" i="5" s="1"/>
  <c r="AW44" i="5" a="1"/>
  <c r="AW44" i="5" s="1"/>
  <c r="AX44" i="5" a="1"/>
  <c r="AX44" i="5" s="1"/>
  <c r="AY44" i="5" a="1"/>
  <c r="AY44" i="5" s="1"/>
  <c r="AQ45" i="5" a="1"/>
  <c r="AQ45" i="5" s="1"/>
  <c r="AR45" i="5" a="1"/>
  <c r="AR45" i="5" s="1"/>
  <c r="AS45" i="5" a="1"/>
  <c r="AS45" i="5" s="1"/>
  <c r="AT45" i="5" a="1"/>
  <c r="AT45" i="5" s="1"/>
  <c r="AU45" i="5" a="1"/>
  <c r="AU45" i="5" s="1"/>
  <c r="AV45" i="5" a="1"/>
  <c r="AV45" i="5" s="1"/>
  <c r="AW45" i="5" a="1"/>
  <c r="AW45" i="5" s="1"/>
  <c r="AX45" i="5" a="1"/>
  <c r="AX45" i="5" s="1"/>
  <c r="AY45" i="5" a="1"/>
  <c r="AY45" i="5" s="1"/>
  <c r="AQ46" i="5" a="1"/>
  <c r="AQ46" i="5" s="1"/>
  <c r="AR46" i="5" a="1"/>
  <c r="AR46" i="5" s="1"/>
  <c r="AS46" i="5" a="1"/>
  <c r="AS46" i="5" s="1"/>
  <c r="AT46" i="5" a="1"/>
  <c r="AT46" i="5" s="1"/>
  <c r="AU46" i="5" a="1"/>
  <c r="AU46" i="5" s="1"/>
  <c r="AV46" i="5" a="1"/>
  <c r="AV46" i="5" s="1"/>
  <c r="AW46" i="5" a="1"/>
  <c r="AW46" i="5" s="1"/>
  <c r="AX46" i="5" a="1"/>
  <c r="AX46" i="5" s="1"/>
  <c r="AY46" i="5" a="1"/>
  <c r="AY46" i="5" s="1"/>
  <c r="AQ47" i="5" a="1"/>
  <c r="AQ47" i="5" s="1"/>
  <c r="AR47" i="5" a="1"/>
  <c r="AR47" i="5" s="1"/>
  <c r="AS47" i="5" a="1"/>
  <c r="AS47" i="5" s="1"/>
  <c r="AT47" i="5" a="1"/>
  <c r="AT47" i="5" s="1"/>
  <c r="AU47" i="5" a="1"/>
  <c r="AU47" i="5" s="1"/>
  <c r="AV47" i="5" a="1"/>
  <c r="AV47" i="5" s="1"/>
  <c r="AW47" i="5" a="1"/>
  <c r="AW47" i="5" s="1"/>
  <c r="AX47" i="5" a="1"/>
  <c r="AX47" i="5" s="1"/>
  <c r="AY47" i="5" a="1"/>
  <c r="AY47" i="5" s="1"/>
  <c r="AQ48" i="5" a="1"/>
  <c r="AQ48" i="5" s="1"/>
  <c r="AR48" i="5" a="1"/>
  <c r="AR48" i="5" s="1"/>
  <c r="AS48" i="5" a="1"/>
  <c r="AS48" i="5" s="1"/>
  <c r="AT48" i="5" a="1"/>
  <c r="AT48" i="5" s="1"/>
  <c r="AU48" i="5" a="1"/>
  <c r="AU48" i="5" s="1"/>
  <c r="AV48" i="5" a="1"/>
  <c r="AV48" i="5" s="1"/>
  <c r="AW48" i="5" a="1"/>
  <c r="AW48" i="5" s="1"/>
  <c r="AX48" i="5" a="1"/>
  <c r="AX48" i="5" s="1"/>
  <c r="AY48" i="5" a="1"/>
  <c r="AY48" i="5" s="1"/>
  <c r="AQ49" i="5" a="1"/>
  <c r="AQ49" i="5" s="1"/>
  <c r="AR49" i="5" a="1"/>
  <c r="AR49" i="5" s="1"/>
  <c r="AS49" i="5" a="1"/>
  <c r="AS49" i="5" s="1"/>
  <c r="AT49" i="5" a="1"/>
  <c r="AT49" i="5" s="1"/>
  <c r="AU49" i="5" a="1"/>
  <c r="AU49" i="5" s="1"/>
  <c r="AV49" i="5" a="1"/>
  <c r="AV49" i="5" s="1"/>
  <c r="AW49" i="5" a="1"/>
  <c r="AW49" i="5" s="1"/>
  <c r="AX49" i="5" a="1"/>
  <c r="AX49" i="5" s="1"/>
  <c r="AY49" i="5" a="1"/>
  <c r="AY49" i="5" s="1"/>
  <c r="AQ50" i="5" a="1"/>
  <c r="AQ50" i="5" s="1"/>
  <c r="AR50" i="5" a="1"/>
  <c r="AR50" i="5" s="1"/>
  <c r="AS50" i="5" a="1"/>
  <c r="AS50" i="5" s="1"/>
  <c r="AT50" i="5" a="1"/>
  <c r="AT50" i="5" s="1"/>
  <c r="AU50" i="5" a="1"/>
  <c r="AU50" i="5" s="1"/>
  <c r="AV50" i="5" a="1"/>
  <c r="AV50" i="5" s="1"/>
  <c r="AW50" i="5" a="1"/>
  <c r="AW50" i="5" s="1"/>
  <c r="AX50" i="5" a="1"/>
  <c r="AX50" i="5" s="1"/>
  <c r="AY50" i="5" a="1"/>
  <c r="AY50" i="5" s="1"/>
  <c r="AQ51" i="5" a="1"/>
  <c r="AQ51" i="5" s="1"/>
  <c r="AR51" i="5" a="1"/>
  <c r="AR51" i="5" s="1"/>
  <c r="AS51" i="5" a="1"/>
  <c r="AS51" i="5" s="1"/>
  <c r="AT51" i="5" a="1"/>
  <c r="AT51" i="5" s="1"/>
  <c r="AU51" i="5" a="1"/>
  <c r="AU51" i="5" s="1"/>
  <c r="AV51" i="5" a="1"/>
  <c r="AV51" i="5" s="1"/>
  <c r="AW51" i="5" a="1"/>
  <c r="AW51" i="5" s="1"/>
  <c r="AX51" i="5" a="1"/>
  <c r="AX51" i="5" s="1"/>
  <c r="AY51" i="5" a="1"/>
  <c r="AY51" i="5"/>
  <c r="AQ52" i="5" a="1"/>
  <c r="AQ52" i="5" s="1"/>
  <c r="AR52" i="5" a="1"/>
  <c r="AR52" i="5" s="1"/>
  <c r="AS52" i="5" a="1"/>
  <c r="AS52" i="5" s="1"/>
  <c r="AT52" i="5" a="1"/>
  <c r="AT52" i="5" s="1"/>
  <c r="AU52" i="5" a="1"/>
  <c r="AU52" i="5" s="1"/>
  <c r="AV52" i="5" a="1"/>
  <c r="AV52" i="5" s="1"/>
  <c r="AW52" i="5" a="1"/>
  <c r="AW52" i="5" s="1"/>
  <c r="AX52" i="5" a="1"/>
  <c r="AX52" i="5" s="1"/>
  <c r="AY52" i="5" a="1"/>
  <c r="AY52" i="5" s="1"/>
  <c r="AQ53" i="5" a="1"/>
  <c r="AQ53" i="5" s="1"/>
  <c r="AR53" i="5" a="1"/>
  <c r="AR53" i="5" s="1"/>
  <c r="AS53" i="5" a="1"/>
  <c r="AS53" i="5" s="1"/>
  <c r="AT53" i="5" a="1"/>
  <c r="AT53" i="5" s="1"/>
  <c r="AU53" i="5" a="1"/>
  <c r="AU53" i="5" s="1"/>
  <c r="AV53" i="5" a="1"/>
  <c r="AV53" i="5" s="1"/>
  <c r="AW53" i="5" a="1"/>
  <c r="AW53" i="5" s="1"/>
  <c r="AX53" i="5" a="1"/>
  <c r="AX53" i="5" s="1"/>
  <c r="AY53" i="5" a="1"/>
  <c r="AY53" i="5" s="1"/>
  <c r="AQ54" i="5" a="1"/>
  <c r="AQ54" i="5" s="1"/>
  <c r="AR54" i="5" a="1"/>
  <c r="AR54" i="5" s="1"/>
  <c r="AS54" i="5" a="1"/>
  <c r="AS54" i="5" s="1"/>
  <c r="AT54" i="5" a="1"/>
  <c r="AT54" i="5" s="1"/>
  <c r="AU54" i="5" a="1"/>
  <c r="AU54" i="5" s="1"/>
  <c r="AV54" i="5" a="1"/>
  <c r="AV54" i="5" s="1"/>
  <c r="AW54" i="5" a="1"/>
  <c r="AW54" i="5" s="1"/>
  <c r="AX54" i="5" a="1"/>
  <c r="AX54" i="5" s="1"/>
  <c r="AY54" i="5" a="1"/>
  <c r="AY54" i="5" s="1"/>
  <c r="AQ55" i="5" a="1"/>
  <c r="AQ55" i="5" s="1"/>
  <c r="AR55" i="5" a="1"/>
  <c r="AR55" i="5" s="1"/>
  <c r="AS55" i="5" a="1"/>
  <c r="AS55" i="5" s="1"/>
  <c r="AT55" i="5" a="1"/>
  <c r="AT55" i="5" s="1"/>
  <c r="AU55" i="5" a="1"/>
  <c r="AU55" i="5" s="1"/>
  <c r="AV55" i="5" a="1"/>
  <c r="AV55" i="5" s="1"/>
  <c r="AW55" i="5" a="1"/>
  <c r="AW55" i="5" s="1"/>
  <c r="AX55" i="5" a="1"/>
  <c r="AX55" i="5" s="1"/>
  <c r="AY55" i="5" a="1"/>
  <c r="AY55" i="5"/>
  <c r="AQ56" i="5" a="1"/>
  <c r="AQ56" i="5" s="1"/>
  <c r="AR56" i="5" a="1"/>
  <c r="AR56" i="5" s="1"/>
  <c r="AS56" i="5" a="1"/>
  <c r="AS56" i="5" s="1"/>
  <c r="AT56" i="5" a="1"/>
  <c r="AT56" i="5" s="1"/>
  <c r="AU56" i="5" a="1"/>
  <c r="AU56" i="5" s="1"/>
  <c r="AV56" i="5" a="1"/>
  <c r="AV56" i="5" s="1"/>
  <c r="AW56" i="5" a="1"/>
  <c r="AW56" i="5" s="1"/>
  <c r="AX56" i="5" a="1"/>
  <c r="AX56" i="5" s="1"/>
  <c r="AY56" i="5" a="1"/>
  <c r="AY56" i="5" s="1"/>
  <c r="AQ57" i="5" a="1"/>
  <c r="AQ57" i="5" s="1"/>
  <c r="AR57" i="5" a="1"/>
  <c r="AR57" i="5" s="1"/>
  <c r="AS57" i="5" a="1"/>
  <c r="AS57" i="5" s="1"/>
  <c r="AT57" i="5" a="1"/>
  <c r="AT57" i="5" s="1"/>
  <c r="AU57" i="5" a="1"/>
  <c r="AU57" i="5" s="1"/>
  <c r="AV57" i="5" a="1"/>
  <c r="AV57" i="5" s="1"/>
  <c r="AW57" i="5" a="1"/>
  <c r="AW57" i="5" s="1"/>
  <c r="AX57" i="5" a="1"/>
  <c r="AX57" i="5" s="1"/>
  <c r="AY57" i="5" a="1"/>
  <c r="AY57" i="5" s="1"/>
  <c r="AQ58" i="5" a="1"/>
  <c r="AQ58" i="5" s="1"/>
  <c r="AR58" i="5" a="1"/>
  <c r="AR58" i="5" s="1"/>
  <c r="AS58" i="5" a="1"/>
  <c r="AS58" i="5" s="1"/>
  <c r="AT58" i="5" a="1"/>
  <c r="AT58" i="5" s="1"/>
  <c r="AU58" i="5" a="1"/>
  <c r="AU58" i="5" s="1"/>
  <c r="AV58" i="5" a="1"/>
  <c r="AV58" i="5" s="1"/>
  <c r="AW58" i="5" a="1"/>
  <c r="AW58" i="5" s="1"/>
  <c r="AX58" i="5" a="1"/>
  <c r="AX58" i="5" s="1"/>
  <c r="AY58" i="5" a="1"/>
  <c r="AY58" i="5" s="1"/>
  <c r="AQ59" i="5" a="1"/>
  <c r="AQ59" i="5" s="1"/>
  <c r="AR59" i="5" a="1"/>
  <c r="AR59" i="5"/>
  <c r="AS59" i="5" a="1"/>
  <c r="AS59" i="5"/>
  <c r="AT59" i="5" a="1"/>
  <c r="AT59" i="5" s="1"/>
  <c r="AU59" i="5" a="1"/>
  <c r="AU59" i="5" s="1"/>
  <c r="AV59" i="5" a="1"/>
  <c r="AV59" i="5" s="1"/>
  <c r="AW59" i="5" a="1"/>
  <c r="AW59" i="5" s="1"/>
  <c r="AX59" i="5" a="1"/>
  <c r="AX59" i="5" s="1"/>
  <c r="AY59" i="5" a="1"/>
  <c r="AY59" i="5" s="1"/>
  <c r="AQ60" i="5" a="1"/>
  <c r="AQ60" i="5" s="1"/>
  <c r="AR60" i="5" a="1"/>
  <c r="AR60" i="5" s="1"/>
  <c r="AS60" i="5" a="1"/>
  <c r="AS60" i="5" s="1"/>
  <c r="AT60" i="5" a="1"/>
  <c r="AT60" i="5" s="1"/>
  <c r="AU60" i="5" a="1"/>
  <c r="AU60" i="5" s="1"/>
  <c r="AV60" i="5" a="1"/>
  <c r="AV60" i="5" s="1"/>
  <c r="AW60" i="5" a="1"/>
  <c r="AW60" i="5" s="1"/>
  <c r="AX60" i="5" a="1"/>
  <c r="AX60" i="5" s="1"/>
  <c r="AY60" i="5" a="1"/>
  <c r="AY60" i="5" s="1"/>
  <c r="AQ61" i="5" a="1"/>
  <c r="AQ61" i="5" s="1"/>
  <c r="AR61" i="5" a="1"/>
  <c r="AR61" i="5" s="1"/>
  <c r="AS61" i="5" a="1"/>
  <c r="AS61" i="5"/>
  <c r="AT61" i="5" a="1"/>
  <c r="AT61" i="5" s="1"/>
  <c r="AU61" i="5" a="1"/>
  <c r="AU61" i="5" s="1"/>
  <c r="AV61" i="5" a="1"/>
  <c r="AV61" i="5" s="1"/>
  <c r="AW61" i="5" a="1"/>
  <c r="AW61" i="5" s="1"/>
  <c r="AX61" i="5" a="1"/>
  <c r="AX61" i="5" s="1"/>
  <c r="AY61" i="5" a="1"/>
  <c r="AY61" i="5"/>
  <c r="AQ62" i="5" a="1"/>
  <c r="AQ62" i="5" s="1"/>
  <c r="AR62" i="5" a="1"/>
  <c r="AR62" i="5" s="1"/>
  <c r="AS62" i="5" a="1"/>
  <c r="AS62" i="5" s="1"/>
  <c r="AT62" i="5" a="1"/>
  <c r="AT62" i="5" s="1"/>
  <c r="AU62" i="5" a="1"/>
  <c r="AU62" i="5"/>
  <c r="AV62" i="5" a="1"/>
  <c r="AV62" i="5"/>
  <c r="AW62" i="5" a="1"/>
  <c r="AW62" i="5" s="1"/>
  <c r="AX62" i="5" a="1"/>
  <c r="AX62" i="5" s="1"/>
  <c r="AY62" i="5" a="1"/>
  <c r="AY62" i="5" s="1"/>
  <c r="AQ63" i="5" a="1"/>
  <c r="AQ63" i="5" s="1"/>
  <c r="AR63" i="5" a="1"/>
  <c r="AR63" i="5"/>
  <c r="AS63" i="5" a="1"/>
  <c r="AS63" i="5"/>
  <c r="AT63" i="5" a="1"/>
  <c r="AT63" i="5" s="1"/>
  <c r="AU63" i="5" a="1"/>
  <c r="AU63" i="5" s="1"/>
  <c r="AV63" i="5" a="1"/>
  <c r="AV63" i="5" s="1"/>
  <c r="AW63" i="5" a="1"/>
  <c r="AW63" i="5" s="1"/>
  <c r="AX63" i="5" a="1"/>
  <c r="AX63" i="5" s="1"/>
  <c r="AY63" i="5" a="1"/>
  <c r="AY63" i="5" s="1"/>
  <c r="AQ64" i="5" a="1"/>
  <c r="AQ64" i="5" s="1"/>
  <c r="AR64" i="5" a="1"/>
  <c r="AR64" i="5" s="1"/>
  <c r="AS64" i="5" a="1"/>
  <c r="AS64" i="5" s="1"/>
  <c r="AT64" i="5" a="1"/>
  <c r="AT64" i="5" s="1"/>
  <c r="AU64" i="5" a="1"/>
  <c r="AU64" i="5"/>
  <c r="AV64" i="5" a="1"/>
  <c r="AV64" i="5" s="1"/>
  <c r="AW64" i="5" a="1"/>
  <c r="AW64" i="5" s="1"/>
  <c r="AX64" i="5" a="1"/>
  <c r="AX64" i="5"/>
  <c r="AY64" i="5" a="1"/>
  <c r="AY64" i="5"/>
  <c r="AQ65" i="5" a="1"/>
  <c r="AQ65" i="5"/>
  <c r="AR65" i="5" a="1"/>
  <c r="AR65" i="5"/>
  <c r="AS65" i="5" a="1"/>
  <c r="AS65" i="5"/>
  <c r="AT65" i="5" a="1"/>
  <c r="AT65" i="5" s="1"/>
  <c r="AU65" i="5" a="1"/>
  <c r="AU65" i="5" s="1"/>
  <c r="AV65" i="5" a="1"/>
  <c r="AV65" i="5" s="1"/>
  <c r="AW65" i="5" a="1"/>
  <c r="AW65" i="5" s="1"/>
  <c r="AX65" i="5" a="1"/>
  <c r="AX65" i="5" s="1"/>
  <c r="AY65" i="5" a="1"/>
  <c r="AY65" i="5"/>
  <c r="AQ66" i="5" a="1"/>
  <c r="AQ66" i="5" s="1"/>
  <c r="AR66" i="5" a="1"/>
  <c r="AR66" i="5"/>
  <c r="AS66" i="5" a="1"/>
  <c r="AS66" i="5"/>
  <c r="AT66" i="5" a="1"/>
  <c r="AT66" i="5"/>
  <c r="AU66" i="5" a="1"/>
  <c r="AU66" i="5"/>
  <c r="AV66" i="5" a="1"/>
  <c r="AV66" i="5"/>
  <c r="AW66" i="5" a="1"/>
  <c r="AW66" i="5" s="1"/>
  <c r="AX66" i="5" a="1"/>
  <c r="AX66" i="5" s="1"/>
  <c r="AY66" i="5" a="1"/>
  <c r="AY66" i="5" s="1"/>
  <c r="AQ67" i="5" a="1"/>
  <c r="AQ67" i="5" s="1"/>
  <c r="AR67" i="5" a="1"/>
  <c r="AR67" i="5" s="1"/>
  <c r="AS67" i="5" a="1"/>
  <c r="AS67" i="5" s="1"/>
  <c r="AT67" i="5" a="1"/>
  <c r="AT67" i="5" s="1"/>
  <c r="AU67" i="5" a="1"/>
  <c r="AU67" i="5"/>
  <c r="AV67" i="5" a="1"/>
  <c r="AV67" i="5"/>
  <c r="AW67" i="5" a="1"/>
  <c r="AW67" i="5"/>
  <c r="AX67" i="5" a="1"/>
  <c r="AX67" i="5"/>
  <c r="AY67" i="5" a="1"/>
  <c r="AY67" i="5"/>
  <c r="AQ68" i="5" a="1"/>
  <c r="AQ68" i="5" s="1"/>
  <c r="AR68" i="5" a="1"/>
  <c r="AR68" i="5"/>
  <c r="AS68" i="5" a="1"/>
  <c r="AS68" i="5" s="1"/>
  <c r="AT68" i="5" a="1"/>
  <c r="AT68" i="5" s="1"/>
  <c r="AU68" i="5" a="1"/>
  <c r="AU68" i="5" s="1"/>
  <c r="AV68" i="5" a="1"/>
  <c r="AV68" i="5" s="1"/>
  <c r="AW68" i="5" a="1"/>
  <c r="AW68" i="5" s="1"/>
  <c r="AX68" i="5" a="1"/>
  <c r="AX68" i="5"/>
  <c r="AY68" i="5" a="1"/>
  <c r="AY68" i="5"/>
  <c r="AQ69" i="5" a="1"/>
  <c r="AQ69" i="5"/>
  <c r="AR69" i="5" a="1"/>
  <c r="AR69" i="5"/>
  <c r="AS69" i="5" a="1"/>
  <c r="AS69" i="5"/>
  <c r="AT69" i="5" a="1"/>
  <c r="AT69" i="5" s="1"/>
  <c r="AU69" i="5" a="1"/>
  <c r="AU69" i="5" s="1"/>
  <c r="AV69" i="5" a="1"/>
  <c r="AV69" i="5"/>
  <c r="AW69" i="5" a="1"/>
  <c r="AW69" i="5" s="1"/>
  <c r="AX69" i="5" a="1"/>
  <c r="AX69" i="5" s="1"/>
  <c r="AY69" i="5" a="1"/>
  <c r="AY69" i="5" s="1"/>
  <c r="AQ70" i="5" a="1"/>
  <c r="AQ70" i="5" s="1"/>
  <c r="AR70" i="5" a="1"/>
  <c r="AR70" i="5"/>
  <c r="AS70" i="5" a="1"/>
  <c r="AS70" i="5"/>
  <c r="AT70" i="5" a="1"/>
  <c r="AT70" i="5"/>
  <c r="AU70" i="5" a="1"/>
  <c r="AU70" i="5"/>
  <c r="AV70" i="5" a="1"/>
  <c r="AV70" i="5"/>
  <c r="AW70" i="5" a="1"/>
  <c r="AW70" i="5" s="1"/>
  <c r="AX70" i="5" a="1"/>
  <c r="AX70" i="5" s="1"/>
  <c r="AY70" i="5" a="1"/>
  <c r="AY70" i="5" s="1"/>
  <c r="AQ71" i="5" a="1"/>
  <c r="AQ71" i="5"/>
  <c r="AR71" i="5" a="1"/>
  <c r="AR71" i="5" s="1"/>
  <c r="AS71" i="5" a="1"/>
  <c r="AS71" i="5" s="1"/>
  <c r="AT71" i="5" a="1"/>
  <c r="AT71" i="5" s="1"/>
  <c r="AU71" i="5" a="1"/>
  <c r="AU71" i="5"/>
  <c r="AV71" i="5" a="1"/>
  <c r="AV71" i="5"/>
  <c r="AW71" i="5" a="1"/>
  <c r="AW71" i="5"/>
  <c r="AX71" i="5" a="1"/>
  <c r="AX71" i="5"/>
  <c r="AY71" i="5" a="1"/>
  <c r="AY71" i="5"/>
  <c r="AQ72" i="5" a="1"/>
  <c r="AQ72" i="5" s="1"/>
  <c r="AR72" i="5" a="1"/>
  <c r="AR72" i="5" s="1"/>
  <c r="AS72" i="5" a="1"/>
  <c r="AS72" i="5" s="1"/>
  <c r="AT72" i="5" a="1"/>
  <c r="AT72" i="5" s="1"/>
  <c r="AU72" i="5" a="1"/>
  <c r="AU72" i="5"/>
  <c r="AV72" i="5" a="1"/>
  <c r="AV72" i="5" s="1"/>
  <c r="AW72" i="5" a="1"/>
  <c r="AW72" i="5" s="1"/>
  <c r="AX72" i="5" a="1"/>
  <c r="AX72" i="5"/>
  <c r="AY72" i="5" a="1"/>
  <c r="AY72" i="5"/>
  <c r="AQ73" i="5" a="1"/>
  <c r="AQ73" i="5"/>
  <c r="AR73" i="5" a="1"/>
  <c r="AR73" i="5"/>
  <c r="AS73" i="5" a="1"/>
  <c r="AS73" i="5"/>
  <c r="AT73" i="5" a="1"/>
  <c r="AT73" i="5" s="1"/>
  <c r="AU73" i="5" a="1"/>
  <c r="AU73" i="5" s="1"/>
  <c r="AV73" i="5" a="1"/>
  <c r="AV73" i="5" s="1"/>
  <c r="AW73" i="5" a="1"/>
  <c r="AW73" i="5" s="1"/>
  <c r="AX73" i="5" a="1"/>
  <c r="AX73" i="5" s="1"/>
  <c r="AY73" i="5" a="1"/>
  <c r="AY73" i="5"/>
  <c r="AQ74" i="5" a="1"/>
  <c r="AQ74" i="5" s="1"/>
  <c r="AR74" i="5" a="1"/>
  <c r="AR74" i="5"/>
  <c r="AS74" i="5" a="1"/>
  <c r="AS74" i="5"/>
  <c r="AT74" i="5" a="1"/>
  <c r="AT74" i="5"/>
  <c r="AU74" i="5" a="1"/>
  <c r="AU74" i="5"/>
  <c r="AV74" i="5" a="1"/>
  <c r="AV74" i="5"/>
  <c r="AW74" i="5" a="1"/>
  <c r="AW74" i="5" s="1"/>
  <c r="AX74" i="5" a="1"/>
  <c r="AX74" i="5" s="1"/>
  <c r="AY74" i="5" a="1"/>
  <c r="AY74" i="5" s="1"/>
  <c r="AQ75" i="5" a="1"/>
  <c r="AQ75" i="5" s="1"/>
  <c r="AR75" i="5" a="1"/>
  <c r="AR75" i="5" s="1"/>
  <c r="AS75" i="5" a="1"/>
  <c r="AS75" i="5" s="1"/>
  <c r="AT75" i="5" a="1"/>
  <c r="AT75" i="5" s="1"/>
  <c r="AU75" i="5" a="1"/>
  <c r="AU75" i="5"/>
  <c r="AV75" i="5" a="1"/>
  <c r="AV75" i="5"/>
  <c r="AW75" i="5" a="1"/>
  <c r="AW75" i="5"/>
  <c r="AX75" i="5" a="1"/>
  <c r="AX75" i="5"/>
  <c r="AY75" i="5" a="1"/>
  <c r="AY75" i="5"/>
  <c r="AQ76" i="5" a="1"/>
  <c r="AQ76" i="5" s="1"/>
  <c r="AR76" i="5" a="1"/>
  <c r="AR76" i="5"/>
  <c r="AS76" i="5" a="1"/>
  <c r="AS76" i="5" s="1"/>
  <c r="AT76" i="5" a="1"/>
  <c r="AT76" i="5" s="1"/>
  <c r="AU76" i="5" a="1"/>
  <c r="AU76" i="5" s="1"/>
  <c r="AV76" i="5" a="1"/>
  <c r="AV76" i="5" s="1"/>
  <c r="AW76" i="5" a="1"/>
  <c r="AW76" i="5" s="1"/>
  <c r="AX76" i="5" a="1"/>
  <c r="AX76" i="5"/>
  <c r="AY76" i="5" a="1"/>
  <c r="AY76" i="5"/>
  <c r="AQ77" i="5" a="1"/>
  <c r="AQ77" i="5"/>
  <c r="AR77" i="5" a="1"/>
  <c r="AR77" i="5"/>
  <c r="AS77" i="5" a="1"/>
  <c r="AS77" i="5"/>
  <c r="AT77" i="5" a="1"/>
  <c r="AT77" i="5" s="1"/>
  <c r="AU77" i="5" a="1"/>
  <c r="AU77" i="5" s="1"/>
  <c r="AV77" i="5" a="1"/>
  <c r="AV77" i="5"/>
  <c r="AW77" i="5" a="1"/>
  <c r="AW77" i="5" s="1"/>
  <c r="AX77" i="5" a="1"/>
  <c r="AX77" i="5" s="1"/>
  <c r="AY77" i="5" a="1"/>
  <c r="AY77" i="5" s="1"/>
  <c r="AQ78" i="5" a="1"/>
  <c r="AQ78" i="5" s="1"/>
  <c r="AR78" i="5" a="1"/>
  <c r="AR78" i="5"/>
  <c r="AS78" i="5" a="1"/>
  <c r="AS78" i="5"/>
  <c r="AT78" i="5" a="1"/>
  <c r="AT78" i="5"/>
  <c r="AU78" i="5" a="1"/>
  <c r="AU78" i="5"/>
  <c r="AV78" i="5" a="1"/>
  <c r="AV78" i="5"/>
  <c r="AW78" i="5" a="1"/>
  <c r="AW78" i="5" s="1"/>
  <c r="AX78" i="5" a="1"/>
  <c r="AX78" i="5" s="1"/>
  <c r="AY78" i="5" a="1"/>
  <c r="AY78" i="5" s="1"/>
  <c r="AQ79" i="5" a="1"/>
  <c r="AQ79" i="5"/>
  <c r="AR79" i="5" a="1"/>
  <c r="AR79" i="5" s="1"/>
  <c r="AS79" i="5" a="1"/>
  <c r="AS79" i="5" s="1"/>
  <c r="AT79" i="5" a="1"/>
  <c r="AT79" i="5" s="1"/>
  <c r="AU79" i="5" a="1"/>
  <c r="AU79" i="5"/>
  <c r="AV79" i="5" a="1"/>
  <c r="AV79" i="5"/>
  <c r="AW79" i="5" a="1"/>
  <c r="AW79" i="5"/>
  <c r="AX79" i="5" a="1"/>
  <c r="AX79" i="5"/>
  <c r="AY79" i="5" a="1"/>
  <c r="AY79" i="5"/>
  <c r="AQ80" i="5" a="1"/>
  <c r="AQ80" i="5" s="1"/>
  <c r="AR80" i="5" a="1"/>
  <c r="AR80" i="5" s="1"/>
  <c r="AS80" i="5" a="1"/>
  <c r="AS80" i="5" s="1"/>
  <c r="AT80" i="5" a="1"/>
  <c r="AT80" i="5" s="1"/>
  <c r="AU80" i="5" a="1"/>
  <c r="AU80" i="5"/>
  <c r="AV80" i="5" a="1"/>
  <c r="AV80" i="5" s="1"/>
  <c r="AW80" i="5" a="1"/>
  <c r="AW80" i="5" s="1"/>
  <c r="AX80" i="5" a="1"/>
  <c r="AX80" i="5"/>
  <c r="AY80" i="5" a="1"/>
  <c r="AY80" i="5"/>
  <c r="AQ81" i="5" a="1"/>
  <c r="AQ81" i="5"/>
  <c r="AR81" i="5" a="1"/>
  <c r="AR81" i="5"/>
  <c r="AS81" i="5" a="1"/>
  <c r="AS81" i="5"/>
  <c r="AT81" i="5" a="1"/>
  <c r="AT81" i="5" s="1"/>
  <c r="AU81" i="5" a="1"/>
  <c r="AU81" i="5" s="1"/>
  <c r="AV81" i="5" a="1"/>
  <c r="AV81" i="5" s="1"/>
  <c r="AW81" i="5" a="1"/>
  <c r="AW81" i="5" s="1"/>
  <c r="AX81" i="5" a="1"/>
  <c r="AX81" i="5" s="1"/>
  <c r="AY81" i="5" a="1"/>
  <c r="AY81" i="5"/>
  <c r="AQ82" i="5" a="1"/>
  <c r="AQ82" i="5" s="1"/>
  <c r="AR82" i="5" a="1"/>
  <c r="AR82" i="5"/>
  <c r="AS82" i="5" a="1"/>
  <c r="AS82" i="5"/>
  <c r="AT82" i="5" a="1"/>
  <c r="AT82" i="5"/>
  <c r="AU82" i="5" a="1"/>
  <c r="AU82" i="5"/>
  <c r="AV82" i="5" a="1"/>
  <c r="AV82" i="5"/>
  <c r="AW82" i="5" a="1"/>
  <c r="AW82" i="5" s="1"/>
  <c r="AX82" i="5" a="1"/>
  <c r="AX82" i="5" s="1"/>
  <c r="AY82" i="5" a="1"/>
  <c r="AY82" i="5" s="1"/>
  <c r="AQ83" i="5" a="1"/>
  <c r="AQ83" i="5" s="1"/>
  <c r="AR83" i="5" a="1"/>
  <c r="AR83" i="5" s="1"/>
  <c r="AS83" i="5" a="1"/>
  <c r="AS83" i="5" s="1"/>
  <c r="AT83" i="5" a="1"/>
  <c r="AT83" i="5" s="1"/>
  <c r="AU83" i="5" a="1"/>
  <c r="AU83" i="5"/>
  <c r="AV83" i="5" a="1"/>
  <c r="AV83" i="5"/>
  <c r="AW83" i="5" a="1"/>
  <c r="AW83" i="5"/>
  <c r="AX83" i="5" a="1"/>
  <c r="AX83" i="5"/>
  <c r="AY83" i="5" a="1"/>
  <c r="AY83" i="5"/>
  <c r="AQ84" i="5" a="1"/>
  <c r="AQ84" i="5" s="1"/>
  <c r="AR84" i="5" a="1"/>
  <c r="AR84" i="5"/>
  <c r="AS84" i="5" a="1"/>
  <c r="AS84" i="5" s="1"/>
  <c r="AT84" i="5" a="1"/>
  <c r="AT84" i="5" s="1"/>
  <c r="AU84" i="5" a="1"/>
  <c r="AU84" i="5" s="1"/>
  <c r="AV84" i="5" a="1"/>
  <c r="AV84" i="5" s="1"/>
  <c r="AW84" i="5" a="1"/>
  <c r="AW84" i="5" s="1"/>
  <c r="AX84" i="5" a="1"/>
  <c r="AX84" i="5"/>
  <c r="AY84" i="5" a="1"/>
  <c r="AY84" i="5"/>
  <c r="AQ85" i="5" a="1"/>
  <c r="AQ85" i="5"/>
  <c r="AR85" i="5" a="1"/>
  <c r="AR85" i="5"/>
  <c r="AS85" i="5" a="1"/>
  <c r="AS85" i="5"/>
  <c r="AT85" i="5" a="1"/>
  <c r="AT85" i="5" s="1"/>
  <c r="AU85" i="5" a="1"/>
  <c r="AU85" i="5" s="1"/>
  <c r="AV85" i="5" a="1"/>
  <c r="AV85" i="5"/>
  <c r="AW85" i="5" a="1"/>
  <c r="AW85" i="5" s="1"/>
  <c r="AX85" i="5" a="1"/>
  <c r="AX85" i="5" s="1"/>
  <c r="AY85" i="5" a="1"/>
  <c r="AY85" i="5" s="1"/>
  <c r="AQ86" i="5" a="1"/>
  <c r="AQ86" i="5" s="1"/>
  <c r="AR86" i="5" a="1"/>
  <c r="AR86" i="5"/>
  <c r="AS86" i="5" a="1"/>
  <c r="AS86" i="5"/>
  <c r="AT86" i="5" a="1"/>
  <c r="AT86" i="5"/>
  <c r="AU86" i="5" a="1"/>
  <c r="AU86" i="5"/>
  <c r="AV86" i="5" a="1"/>
  <c r="AV86" i="5"/>
  <c r="AW86" i="5" a="1"/>
  <c r="AW86" i="5" s="1"/>
  <c r="AX86" i="5" a="1"/>
  <c r="AX86" i="5" s="1"/>
  <c r="AY86" i="5" a="1"/>
  <c r="AY86" i="5" s="1"/>
  <c r="AQ87" i="5" a="1"/>
  <c r="AQ87" i="5"/>
  <c r="AR87" i="5" a="1"/>
  <c r="AR87" i="5" s="1"/>
  <c r="AS87" i="5" a="1"/>
  <c r="AS87" i="5" s="1"/>
  <c r="AT87" i="5" a="1"/>
  <c r="AT87" i="5" s="1"/>
  <c r="AU87" i="5" a="1"/>
  <c r="AU87" i="5"/>
  <c r="AV87" i="5" a="1"/>
  <c r="AV87" i="5"/>
  <c r="AW87" i="5" a="1"/>
  <c r="AW87" i="5"/>
  <c r="AX87" i="5" a="1"/>
  <c r="AX87" i="5"/>
  <c r="AY87" i="5" a="1"/>
  <c r="AY87" i="5"/>
  <c r="AQ88" i="5" a="1"/>
  <c r="AQ88" i="5" s="1"/>
  <c r="AR88" i="5" a="1"/>
  <c r="AR88" i="5" s="1"/>
  <c r="AS88" i="5" a="1"/>
  <c r="AS88" i="5" s="1"/>
  <c r="AT88" i="5" a="1"/>
  <c r="AT88" i="5" s="1"/>
  <c r="AU88" i="5" a="1"/>
  <c r="AU88" i="5"/>
  <c r="AV88" i="5" a="1"/>
  <c r="AV88" i="5" s="1"/>
  <c r="AW88" i="5" a="1"/>
  <c r="AW88" i="5" s="1"/>
  <c r="AX88" i="5" a="1"/>
  <c r="AX88" i="5"/>
  <c r="AY88" i="5" a="1"/>
  <c r="AY88" i="5"/>
  <c r="AQ89" i="5" a="1"/>
  <c r="AQ89" i="5"/>
  <c r="AR89" i="5" a="1"/>
  <c r="AR89" i="5"/>
  <c r="AS89" i="5" a="1"/>
  <c r="AS89" i="5"/>
  <c r="AT89" i="5" a="1"/>
  <c r="AT89" i="5" s="1"/>
  <c r="AU89" i="5" a="1"/>
  <c r="AU89" i="5" s="1"/>
  <c r="AV89" i="5" a="1"/>
  <c r="AV89" i="5" s="1"/>
  <c r="AW89" i="5" a="1"/>
  <c r="AW89" i="5" s="1"/>
  <c r="AX89" i="5" a="1"/>
  <c r="AX89" i="5" s="1"/>
  <c r="AY89" i="5" a="1"/>
  <c r="AY89" i="5"/>
  <c r="AQ90" i="5" a="1"/>
  <c r="AQ90" i="5" s="1"/>
  <c r="AR90" i="5" a="1"/>
  <c r="AR90" i="5"/>
  <c r="AS90" i="5" a="1"/>
  <c r="AS90" i="5"/>
  <c r="AT90" i="5" a="1"/>
  <c r="AT90" i="5"/>
  <c r="AU90" i="5" a="1"/>
  <c r="AU90" i="5"/>
  <c r="AV90" i="5" a="1"/>
  <c r="AV90" i="5"/>
  <c r="AW90" i="5" a="1"/>
  <c r="AW90" i="5" s="1"/>
  <c r="AX90" i="5" a="1"/>
  <c r="AX90" i="5" s="1"/>
  <c r="AY90" i="5" a="1"/>
  <c r="AY90" i="5" s="1"/>
  <c r="AQ91" i="5" a="1"/>
  <c r="AQ91" i="5" s="1"/>
  <c r="AR91" i="5" a="1"/>
  <c r="AR91" i="5" s="1"/>
  <c r="AS91" i="5" a="1"/>
  <c r="AS91" i="5" s="1"/>
  <c r="AT91" i="5" a="1"/>
  <c r="AT91" i="5" s="1"/>
  <c r="AU91" i="5" a="1"/>
  <c r="AU91" i="5"/>
  <c r="AV91" i="5" a="1"/>
  <c r="AV91" i="5"/>
  <c r="AW91" i="5" a="1"/>
  <c r="AW91" i="5"/>
  <c r="AX91" i="5" a="1"/>
  <c r="AX91" i="5"/>
  <c r="AY91" i="5" a="1"/>
  <c r="AY91" i="5"/>
  <c r="AQ92" i="5" a="1"/>
  <c r="AQ92" i="5" s="1"/>
  <c r="AR92" i="5" a="1"/>
  <c r="AR92" i="5"/>
  <c r="AS92" i="5" a="1"/>
  <c r="AS92" i="5" s="1"/>
  <c r="AT92" i="5" a="1"/>
  <c r="AT92" i="5" s="1"/>
  <c r="AU92" i="5" a="1"/>
  <c r="AU92" i="5" s="1"/>
  <c r="AV92" i="5" a="1"/>
  <c r="AV92" i="5" s="1"/>
  <c r="AW92" i="5" a="1"/>
  <c r="AW92" i="5" s="1"/>
  <c r="AX92" i="5" a="1"/>
  <c r="AX92" i="5"/>
  <c r="AY92" i="5" a="1"/>
  <c r="AY92" i="5"/>
  <c r="AQ93" i="5" a="1"/>
  <c r="AQ93" i="5"/>
  <c r="AR93" i="5" a="1"/>
  <c r="AR93" i="5"/>
  <c r="AS93" i="5" a="1"/>
  <c r="AS93" i="5"/>
  <c r="AT93" i="5" a="1"/>
  <c r="AT93" i="5" s="1"/>
  <c r="AU93" i="5" a="1"/>
  <c r="AU93" i="5" s="1"/>
  <c r="AV93" i="5" a="1"/>
  <c r="AV93" i="5"/>
  <c r="AW93" i="5" a="1"/>
  <c r="AW93" i="5" s="1"/>
  <c r="AX93" i="5" a="1"/>
  <c r="AX93" i="5" s="1"/>
  <c r="AY93" i="5" a="1"/>
  <c r="AY93" i="5" s="1"/>
  <c r="AQ94" i="5" a="1"/>
  <c r="AQ94" i="5" s="1"/>
  <c r="AR94" i="5" a="1"/>
  <c r="AR94" i="5"/>
  <c r="AS94" i="5" a="1"/>
  <c r="AS94" i="5"/>
  <c r="AT94" i="5" a="1"/>
  <c r="AT94" i="5"/>
  <c r="AU94" i="5" a="1"/>
  <c r="AU94" i="5"/>
  <c r="AV94" i="5" a="1"/>
  <c r="AV94" i="5"/>
  <c r="AW94" i="5" a="1"/>
  <c r="AW94" i="5" s="1"/>
  <c r="AX94" i="5" a="1"/>
  <c r="AX94" i="5" s="1"/>
  <c r="AY94" i="5" a="1"/>
  <c r="AY94" i="5" s="1"/>
  <c r="AQ95" i="5" a="1"/>
  <c r="AQ95" i="5"/>
  <c r="AR95" i="5" a="1"/>
  <c r="AR95" i="5" s="1"/>
  <c r="AS95" i="5" a="1"/>
  <c r="AS95" i="5" s="1"/>
  <c r="AT95" i="5" a="1"/>
  <c r="AT95" i="5" s="1"/>
  <c r="AU95" i="5" a="1"/>
  <c r="AU95" i="5"/>
  <c r="AV95" i="5" a="1"/>
  <c r="AV95" i="5"/>
  <c r="AW95" i="5" a="1"/>
  <c r="AW95" i="5"/>
  <c r="AX95" i="5" a="1"/>
  <c r="AX95" i="5"/>
  <c r="AY95" i="5" a="1"/>
  <c r="AY95" i="5"/>
  <c r="AQ96" i="5" a="1"/>
  <c r="AQ96" i="5" s="1"/>
  <c r="AR96" i="5" a="1"/>
  <c r="AR96" i="5" s="1"/>
  <c r="AS96" i="5" a="1"/>
  <c r="AS96" i="5" s="1"/>
  <c r="AT96" i="5" a="1"/>
  <c r="AT96" i="5" s="1"/>
  <c r="AU96" i="5" a="1"/>
  <c r="AU96" i="5"/>
  <c r="AV96" i="5" a="1"/>
  <c r="AV96" i="5" s="1"/>
  <c r="AW96" i="5" a="1"/>
  <c r="AW96" i="5" s="1"/>
  <c r="AX96" i="5" a="1"/>
  <c r="AX96" i="5"/>
  <c r="AY96" i="5" a="1"/>
  <c r="AY96" i="5"/>
  <c r="AQ97" i="5" a="1"/>
  <c r="AQ97" i="5"/>
  <c r="AR97" i="5" a="1"/>
  <c r="AR97" i="5"/>
  <c r="AS97" i="5" a="1"/>
  <c r="AS97" i="5"/>
  <c r="AT97" i="5" a="1"/>
  <c r="AT97" i="5" s="1"/>
  <c r="AU97" i="5" a="1"/>
  <c r="AU97" i="5" s="1"/>
  <c r="AV97" i="5" a="1"/>
  <c r="AV97" i="5" s="1"/>
  <c r="AW97" i="5" a="1"/>
  <c r="AW97" i="5" s="1"/>
  <c r="AX97" i="5" a="1"/>
  <c r="AX97" i="5" s="1"/>
  <c r="AY97" i="5" a="1"/>
  <c r="AY97" i="5"/>
  <c r="AQ98" i="5" a="1"/>
  <c r="AQ98" i="5" s="1"/>
  <c r="AR98" i="5" a="1"/>
  <c r="AR98" i="5"/>
  <c r="AS98" i="5" a="1"/>
  <c r="AS98" i="5"/>
  <c r="AT98" i="5" a="1"/>
  <c r="AT98" i="5"/>
  <c r="AU98" i="5" a="1"/>
  <c r="AU98" i="5"/>
  <c r="AV98" i="5" a="1"/>
  <c r="AV98" i="5"/>
  <c r="AW98" i="5" a="1"/>
  <c r="AW98" i="5" s="1"/>
  <c r="AX98" i="5" a="1"/>
  <c r="AX98" i="5" s="1"/>
  <c r="AY98" i="5" a="1"/>
  <c r="AY98" i="5" s="1"/>
  <c r="AQ99" i="5" a="1"/>
  <c r="AQ99" i="5" s="1"/>
  <c r="AR99" i="5" a="1"/>
  <c r="AR99" i="5" s="1"/>
  <c r="AS99" i="5" a="1"/>
  <c r="AS99" i="5" s="1"/>
  <c r="AT99" i="5" a="1"/>
  <c r="AT99" i="5" s="1"/>
  <c r="AU99" i="5" a="1"/>
  <c r="AU99" i="5"/>
  <c r="AV99" i="5" a="1"/>
  <c r="AV99" i="5"/>
  <c r="AW99" i="5" a="1"/>
  <c r="AW99" i="5"/>
  <c r="AX99" i="5" a="1"/>
  <c r="AX99" i="5"/>
  <c r="AY99" i="5" a="1"/>
  <c r="AY99" i="5"/>
  <c r="AQ100" i="5" a="1"/>
  <c r="AQ100" i="5" s="1"/>
  <c r="AR100" i="5" a="1"/>
  <c r="AR100" i="5"/>
  <c r="AS100" i="5" a="1"/>
  <c r="AS100" i="5" s="1"/>
  <c r="AT100" i="5" a="1"/>
  <c r="AT100" i="5" s="1"/>
  <c r="AU100" i="5" a="1"/>
  <c r="AU100" i="5" s="1"/>
  <c r="AV100" i="5" a="1"/>
  <c r="AV100" i="5" s="1"/>
  <c r="AW100" i="5" a="1"/>
  <c r="AW100" i="5" s="1"/>
  <c r="AX100" i="5" a="1"/>
  <c r="AX100" i="5"/>
  <c r="AY100" i="5" a="1"/>
  <c r="AY100" i="5"/>
  <c r="AQ101" i="5" a="1"/>
  <c r="AQ101" i="5"/>
  <c r="AR101" i="5" a="1"/>
  <c r="AR101" i="5"/>
  <c r="AS101" i="5" a="1"/>
  <c r="AS101" i="5"/>
  <c r="AT101" i="5" a="1"/>
  <c r="AT101" i="5" s="1"/>
  <c r="AU101" i="5" a="1"/>
  <c r="AU101" i="5" s="1"/>
  <c r="AV101" i="5" a="1"/>
  <c r="AV101" i="5"/>
  <c r="AW101" i="5" a="1"/>
  <c r="AW101" i="5" s="1"/>
  <c r="AX101" i="5" a="1"/>
  <c r="AX101" i="5" s="1"/>
  <c r="AY101" i="5" a="1"/>
  <c r="AY101" i="5" s="1"/>
  <c r="AQ102" i="5" a="1"/>
  <c r="AQ102" i="5" s="1"/>
  <c r="AR102" i="5" a="1"/>
  <c r="AR102" i="5"/>
  <c r="AS102" i="5" a="1"/>
  <c r="AS102" i="5"/>
  <c r="AT102" i="5" a="1"/>
  <c r="AT102" i="5"/>
  <c r="AU102" i="5" a="1"/>
  <c r="AU102" i="5"/>
  <c r="AV102" i="5" a="1"/>
  <c r="AV102" i="5"/>
  <c r="AW102" i="5" a="1"/>
  <c r="AW102" i="5"/>
  <c r="AX102" i="5" a="1"/>
  <c r="AX102" i="5"/>
  <c r="AY102" i="5" a="1"/>
  <c r="AY102" i="5"/>
  <c r="AQ103" i="5" a="1"/>
  <c r="AQ103" i="5"/>
  <c r="AR103" i="5" a="1"/>
  <c r="AR103" i="5"/>
  <c r="AS103" i="5" a="1"/>
  <c r="AS103" i="5"/>
  <c r="AT103" i="5" a="1"/>
  <c r="AT103" i="5"/>
  <c r="AU103" i="5" a="1"/>
  <c r="AU103" i="5"/>
  <c r="AV103" i="5" a="1"/>
  <c r="AV103" i="5"/>
  <c r="AW103" i="5" a="1"/>
  <c r="AW103" i="5"/>
  <c r="AX103" i="5" a="1"/>
  <c r="AX103" i="5"/>
  <c r="AY103" i="5" a="1"/>
  <c r="AY103" i="5"/>
  <c r="AQ104" i="5" a="1"/>
  <c r="AQ104" i="5"/>
  <c r="AR104" i="5" a="1"/>
  <c r="AR104" i="5"/>
  <c r="AS104" i="5" a="1"/>
  <c r="AS104" i="5"/>
  <c r="AT104" i="5" a="1"/>
  <c r="AT104" i="5"/>
  <c r="AU104" i="5" a="1"/>
  <c r="AU104" i="5" s="1"/>
  <c r="AV104" i="5" a="1"/>
  <c r="AV104" i="5"/>
  <c r="AW104" i="5" a="1"/>
  <c r="AW104" i="5"/>
  <c r="AX104" i="5" a="1"/>
  <c r="AX104" i="5"/>
  <c r="AY104" i="5" a="1"/>
  <c r="AY104" i="5"/>
  <c r="AQ105" i="5" a="1"/>
  <c r="AQ105" i="5"/>
  <c r="AR105" i="5" a="1"/>
  <c r="AR105" i="5" s="1"/>
  <c r="AS105" i="5" a="1"/>
  <c r="AS105" i="5"/>
  <c r="AT105" i="5" a="1"/>
  <c r="AT105" i="5"/>
  <c r="AU105" i="5" a="1"/>
  <c r="AU105" i="5"/>
  <c r="AV105" i="5" a="1"/>
  <c r="AV105" i="5" s="1"/>
  <c r="AW105" i="5" a="1"/>
  <c r="AW105" i="5"/>
  <c r="AX105" i="5" a="1"/>
  <c r="AX105" i="5" s="1"/>
  <c r="AY105" i="5" a="1"/>
  <c r="AY105" i="5"/>
  <c r="AQ106" i="5" a="1"/>
  <c r="AQ106" i="5"/>
  <c r="AR106" i="5" a="1"/>
  <c r="AR106" i="5"/>
  <c r="AS106" i="5" a="1"/>
  <c r="AS106" i="5" s="1"/>
  <c r="AT106" i="5" a="1"/>
  <c r="AT106" i="5" s="1"/>
  <c r="AU106" i="5" a="1"/>
  <c r="AU106" i="5" s="1"/>
  <c r="AV106" i="5" a="1"/>
  <c r="AV106" i="5"/>
  <c r="AW106" i="5" a="1"/>
  <c r="AW106" i="5"/>
  <c r="AX106" i="5" a="1"/>
  <c r="AX106" i="5"/>
  <c r="AY106" i="5" a="1"/>
  <c r="AY106" i="5" s="1"/>
  <c r="AQ107" i="5" a="1"/>
  <c r="AQ107" i="5" s="1"/>
  <c r="AR107" i="5" a="1"/>
  <c r="AR107" i="5" s="1"/>
  <c r="AS107" i="5" a="1"/>
  <c r="AS107" i="5"/>
  <c r="AT107" i="5" a="1"/>
  <c r="AT107" i="5"/>
  <c r="AU107" i="5" a="1"/>
  <c r="AU107" i="5"/>
  <c r="AV107" i="5" a="1"/>
  <c r="AV107" i="5" s="1"/>
  <c r="AW107" i="5" a="1"/>
  <c r="AW107" i="5" s="1"/>
  <c r="AX107" i="5" a="1"/>
  <c r="AX107" i="5" s="1"/>
  <c r="AY107" i="5" a="1"/>
  <c r="AY107" i="5"/>
  <c r="AQ108" i="5" a="1"/>
  <c r="AQ108" i="5"/>
  <c r="AR108" i="5" a="1"/>
  <c r="AR108" i="5"/>
  <c r="AS108" i="5" a="1"/>
  <c r="AS108" i="5" s="1"/>
  <c r="AT108" i="5" a="1"/>
  <c r="AT108" i="5" s="1"/>
  <c r="AU108" i="5" a="1"/>
  <c r="AU108" i="5" s="1"/>
  <c r="AV108" i="5" a="1"/>
  <c r="AV108" i="5"/>
  <c r="AW108" i="5" a="1"/>
  <c r="AW108" i="5"/>
  <c r="AX108" i="5" a="1"/>
  <c r="AX108" i="5"/>
  <c r="AY108" i="5" a="1"/>
  <c r="AY108" i="5" s="1"/>
  <c r="AQ109" i="5" a="1"/>
  <c r="AQ109" i="5" s="1"/>
  <c r="AR109" i="5" a="1"/>
  <c r="AR109" i="5" s="1"/>
  <c r="AS109" i="5" a="1"/>
  <c r="AS109" i="5"/>
  <c r="AT109" i="5" a="1"/>
  <c r="AT109" i="5"/>
  <c r="AU109" i="5" a="1"/>
  <c r="AU109" i="5" s="1"/>
  <c r="AV109" i="5" a="1"/>
  <c r="AV109" i="5" s="1"/>
  <c r="AW109" i="5" a="1"/>
  <c r="AW109" i="5" s="1"/>
  <c r="AX109" i="5" a="1"/>
  <c r="AX109" i="5" s="1"/>
  <c r="AY109" i="5" a="1"/>
  <c r="AY109" i="5"/>
  <c r="AQ110" i="5" a="1"/>
  <c r="AQ110" i="5"/>
  <c r="AR110" i="5" a="1"/>
  <c r="AR110" i="5" s="1"/>
  <c r="AS110" i="5" a="1"/>
  <c r="AS110" i="5" s="1"/>
  <c r="AT110" i="5" a="1"/>
  <c r="AT110" i="5" s="1"/>
  <c r="AU110" i="5" a="1"/>
  <c r="AU110" i="5" s="1"/>
  <c r="AV110" i="5" a="1"/>
  <c r="AV110" i="5"/>
  <c r="AW110" i="5" a="1"/>
  <c r="AW110" i="5"/>
  <c r="AX110" i="5" a="1"/>
  <c r="AX110" i="5" s="1"/>
  <c r="AY110" i="5" a="1"/>
  <c r="AY110" i="5" s="1"/>
  <c r="AQ111" i="5" a="1"/>
  <c r="AQ111" i="5" s="1"/>
  <c r="AR111" i="5" a="1"/>
  <c r="AR111" i="5" s="1"/>
  <c r="AS111" i="5" a="1"/>
  <c r="AS111" i="5"/>
  <c r="AT111" i="5" a="1"/>
  <c r="AT111" i="5"/>
  <c r="AU111" i="5" a="1"/>
  <c r="AU111" i="5" s="1"/>
  <c r="AV111" i="5" a="1"/>
  <c r="AV111" i="5" s="1"/>
  <c r="AW111" i="5" a="1"/>
  <c r="AW111" i="5" s="1"/>
  <c r="AX111" i="5" a="1"/>
  <c r="AX111" i="5" s="1"/>
  <c r="AY111" i="5" a="1"/>
  <c r="AY111" i="5"/>
  <c r="AQ112" i="5" a="1"/>
  <c r="AQ112" i="5"/>
  <c r="AR112" i="5" a="1"/>
  <c r="AR112" i="5" s="1"/>
  <c r="AS112" i="5" a="1"/>
  <c r="AS112" i="5" s="1"/>
  <c r="AT112" i="5" a="1"/>
  <c r="AT112" i="5" s="1"/>
  <c r="AU112" i="5" a="1"/>
  <c r="AU112" i="5" s="1"/>
  <c r="AV112" i="5" a="1"/>
  <c r="AV112" i="5"/>
  <c r="AW112" i="5" a="1"/>
  <c r="AW112" i="5"/>
  <c r="AX112" i="5" a="1"/>
  <c r="AX112" i="5" s="1"/>
  <c r="AY112" i="5" a="1"/>
  <c r="AY112" i="5" s="1"/>
  <c r="AQ113" i="5" a="1"/>
  <c r="AQ113" i="5" s="1"/>
  <c r="AR113" i="5" a="1"/>
  <c r="AR113" i="5" s="1"/>
  <c r="AS113" i="5" a="1"/>
  <c r="AS113" i="5"/>
  <c r="AT113" i="5" a="1"/>
  <c r="AT113" i="5" s="1"/>
  <c r="AU113" i="5" a="1"/>
  <c r="AU113" i="5" s="1"/>
  <c r="AV113" i="5" a="1"/>
  <c r="AV113" i="5" s="1"/>
  <c r="AW113" i="5" a="1"/>
  <c r="AW113" i="5" s="1"/>
  <c r="AX113" i="5" a="1"/>
  <c r="AX113" i="5" s="1"/>
  <c r="AY113" i="5" a="1"/>
  <c r="AY113" i="5"/>
  <c r="AQ114" i="5" a="1"/>
  <c r="AQ114" i="5" s="1"/>
  <c r="AR114" i="5" a="1"/>
  <c r="AR114" i="5" s="1"/>
  <c r="AS114" i="5" a="1"/>
  <c r="AS114" i="5" s="1"/>
  <c r="AT114" i="5" a="1"/>
  <c r="AT114" i="5" s="1"/>
  <c r="AU114" i="5" a="1"/>
  <c r="AU114" i="5" s="1"/>
  <c r="AV114" i="5" a="1"/>
  <c r="AV114" i="5"/>
  <c r="AW114" i="5" a="1"/>
  <c r="AW114" i="5" s="1"/>
  <c r="AX114" i="5" a="1"/>
  <c r="AX114" i="5" s="1"/>
  <c r="AY114" i="5" a="1"/>
  <c r="AY114" i="5" s="1"/>
  <c r="AQ115" i="5" a="1"/>
  <c r="AQ115" i="5" s="1"/>
  <c r="AR115" i="5" a="1"/>
  <c r="AR115" i="5" s="1"/>
  <c r="AS115" i="5" a="1"/>
  <c r="AS115" i="5" s="1"/>
  <c r="AT115" i="5" a="1"/>
  <c r="AT115" i="5" s="1"/>
  <c r="AU115" i="5" a="1"/>
  <c r="AU115" i="5" s="1"/>
  <c r="AV115" i="5" a="1"/>
  <c r="AV115" i="5" s="1"/>
  <c r="AW115" i="5" a="1"/>
  <c r="AW115" i="5" s="1"/>
  <c r="AX115" i="5" a="1"/>
  <c r="AX115" i="5" s="1"/>
  <c r="AY115" i="5" a="1"/>
  <c r="AY115" i="5" s="1"/>
  <c r="AQ116" i="5" a="1"/>
  <c r="AQ116" i="5" s="1"/>
  <c r="AR116" i="5" a="1"/>
  <c r="AR116" i="5" s="1"/>
  <c r="AS116" i="5" a="1"/>
  <c r="AS116" i="5" s="1"/>
  <c r="AT116" i="5" a="1"/>
  <c r="AT116" i="5" s="1"/>
  <c r="AU116" i="5" a="1"/>
  <c r="AU116" i="5" s="1"/>
  <c r="AV116" i="5" a="1"/>
  <c r="AV116" i="5" s="1"/>
  <c r="AW116" i="5" a="1"/>
  <c r="AW116" i="5" s="1"/>
  <c r="AX116" i="5" a="1"/>
  <c r="AX116" i="5" s="1"/>
  <c r="AY116" i="5" a="1"/>
  <c r="AY116" i="5" s="1"/>
  <c r="AQ117" i="5" a="1"/>
  <c r="AQ117" i="5" s="1"/>
  <c r="AR117" i="5" a="1"/>
  <c r="AR117" i="5" s="1"/>
  <c r="AS117" i="5" a="1"/>
  <c r="AS117" i="5" s="1"/>
  <c r="AT117" i="5" a="1"/>
  <c r="AT117" i="5" s="1"/>
  <c r="AU117" i="5" a="1"/>
  <c r="AU117" i="5" s="1"/>
  <c r="AV117" i="5" a="1"/>
  <c r="AV117" i="5" s="1"/>
  <c r="AW117" i="5" a="1"/>
  <c r="AW117" i="5" s="1"/>
  <c r="AX117" i="5" a="1"/>
  <c r="AX117" i="5" s="1"/>
  <c r="AY117" i="5" a="1"/>
  <c r="AY117" i="5" s="1"/>
  <c r="AQ118" i="5" a="1"/>
  <c r="AQ118" i="5" s="1"/>
  <c r="AR118" i="5" a="1"/>
  <c r="AR118" i="5" s="1"/>
  <c r="AS118" i="5" a="1"/>
  <c r="AS118" i="5" s="1"/>
  <c r="AT118" i="5" a="1"/>
  <c r="AT118" i="5" s="1"/>
  <c r="AU118" i="5" a="1"/>
  <c r="AU118" i="5" s="1"/>
  <c r="AV118" i="5" a="1"/>
  <c r="AV118" i="5" s="1"/>
  <c r="AW118" i="5" a="1"/>
  <c r="AW118" i="5" s="1"/>
  <c r="AX118" i="5" a="1"/>
  <c r="AX118" i="5" s="1"/>
  <c r="AY118" i="5" a="1"/>
  <c r="AY118" i="5" s="1"/>
  <c r="AQ119" i="5" a="1"/>
  <c r="AQ119" i="5" s="1"/>
  <c r="AR119" i="5" a="1"/>
  <c r="AR119" i="5" s="1"/>
  <c r="AS119" i="5" a="1"/>
  <c r="AS119" i="5" s="1"/>
  <c r="AT119" i="5" a="1"/>
  <c r="AT119" i="5" s="1"/>
  <c r="AU119" i="5" a="1"/>
  <c r="AU119" i="5" s="1"/>
  <c r="AV119" i="5" a="1"/>
  <c r="AV119" i="5" s="1"/>
  <c r="AW119" i="5" a="1"/>
  <c r="AW119" i="5" s="1"/>
  <c r="AX119" i="5" a="1"/>
  <c r="AX119" i="5" s="1"/>
  <c r="AY119" i="5" a="1"/>
  <c r="AY119" i="5" s="1"/>
  <c r="AQ120" i="5" a="1"/>
  <c r="AQ120" i="5" s="1"/>
  <c r="AR120" i="5" a="1"/>
  <c r="AR120" i="5" s="1"/>
  <c r="AS120" i="5" a="1"/>
  <c r="AS120" i="5" s="1"/>
  <c r="AT120" i="5" a="1"/>
  <c r="AT120" i="5" s="1"/>
  <c r="AU120" i="5" a="1"/>
  <c r="AU120" i="5" s="1"/>
  <c r="AV120" i="5" a="1"/>
  <c r="AV120" i="5" s="1"/>
  <c r="AW120" i="5" a="1"/>
  <c r="AW120" i="5" s="1"/>
  <c r="AX120" i="5" a="1"/>
  <c r="AX120" i="5" s="1"/>
  <c r="AY120" i="5" a="1"/>
  <c r="AY120" i="5" s="1"/>
  <c r="AQ121" i="5" a="1"/>
  <c r="AQ121" i="5" s="1"/>
  <c r="AR121" i="5" a="1"/>
  <c r="AR121" i="5" s="1"/>
  <c r="AS121" i="5" a="1"/>
  <c r="AS121" i="5" s="1"/>
  <c r="AT121" i="5" a="1"/>
  <c r="AT121" i="5" s="1"/>
  <c r="AU121" i="5" a="1"/>
  <c r="AU121" i="5" s="1"/>
  <c r="AV121" i="5" a="1"/>
  <c r="AV121" i="5" s="1"/>
  <c r="AW121" i="5" a="1"/>
  <c r="AW121" i="5" s="1"/>
  <c r="AX121" i="5" a="1"/>
  <c r="AX121" i="5" s="1"/>
  <c r="AY121" i="5" a="1"/>
  <c r="AY121" i="5" s="1"/>
  <c r="AQ122" i="5" a="1"/>
  <c r="AQ122" i="5" s="1"/>
  <c r="AR122" i="5" a="1"/>
  <c r="AR122" i="5" s="1"/>
  <c r="AS122" i="5" a="1"/>
  <c r="AS122" i="5" s="1"/>
  <c r="AT122" i="5" a="1"/>
  <c r="AT122" i="5" s="1"/>
  <c r="AU122" i="5" a="1"/>
  <c r="AU122" i="5" s="1"/>
  <c r="AV122" i="5" a="1"/>
  <c r="AV122" i="5" s="1"/>
  <c r="AW122" i="5" a="1"/>
  <c r="AW122" i="5" s="1"/>
  <c r="AX122" i="5" a="1"/>
  <c r="AX122" i="5" s="1"/>
  <c r="AY122" i="5" a="1"/>
  <c r="AY122" i="5" s="1"/>
  <c r="AQ123" i="5" a="1"/>
  <c r="AQ123" i="5" s="1"/>
  <c r="AR123" i="5" a="1"/>
  <c r="AR123" i="5" s="1"/>
  <c r="AS123" i="5" a="1"/>
  <c r="AS123" i="5" s="1"/>
  <c r="AT123" i="5" a="1"/>
  <c r="AT123" i="5" s="1"/>
  <c r="AU123" i="5" a="1"/>
  <c r="AU123" i="5" s="1"/>
  <c r="AV123" i="5" a="1"/>
  <c r="AV123" i="5" s="1"/>
  <c r="AW123" i="5" a="1"/>
  <c r="AW123" i="5" s="1"/>
  <c r="AX123" i="5" a="1"/>
  <c r="AX123" i="5" s="1"/>
  <c r="AY123" i="5" a="1"/>
  <c r="AY123" i="5" s="1"/>
  <c r="AQ124" i="5" a="1"/>
  <c r="AQ124" i="5" s="1"/>
  <c r="AR124" i="5" a="1"/>
  <c r="AR124" i="5" s="1"/>
  <c r="AS124" i="5" a="1"/>
  <c r="AS124" i="5" s="1"/>
  <c r="AT124" i="5" a="1"/>
  <c r="AT124" i="5" s="1"/>
  <c r="AU124" i="5" a="1"/>
  <c r="AU124" i="5" s="1"/>
  <c r="AV124" i="5" a="1"/>
  <c r="AV124" i="5" s="1"/>
  <c r="AW124" i="5" a="1"/>
  <c r="AW124" i="5" s="1"/>
  <c r="AX124" i="5" a="1"/>
  <c r="AX124" i="5" s="1"/>
  <c r="AY124" i="5" a="1"/>
  <c r="AY124" i="5" s="1"/>
  <c r="AQ125" i="5" a="1"/>
  <c r="AQ125" i="5" s="1"/>
  <c r="AR125" i="5" a="1"/>
  <c r="AR125" i="5" s="1"/>
  <c r="AS125" i="5" a="1"/>
  <c r="AS125" i="5" s="1"/>
  <c r="AT125" i="5" a="1"/>
  <c r="AT125" i="5" s="1"/>
  <c r="AU125" i="5" a="1"/>
  <c r="AU125" i="5" s="1"/>
  <c r="AV125" i="5" a="1"/>
  <c r="AV125" i="5" s="1"/>
  <c r="AW125" i="5" a="1"/>
  <c r="AW125" i="5" s="1"/>
  <c r="AX125" i="5" a="1"/>
  <c r="AX125" i="5" s="1"/>
  <c r="AY125" i="5" a="1"/>
  <c r="AY125" i="5" s="1"/>
  <c r="AQ126" i="5" a="1"/>
  <c r="AQ126" i="5" s="1"/>
  <c r="AR126" i="5" a="1"/>
  <c r="AR126" i="5" s="1"/>
  <c r="AS126" i="5" a="1"/>
  <c r="AS126" i="5" s="1"/>
  <c r="AT126" i="5" a="1"/>
  <c r="AT126" i="5" s="1"/>
  <c r="AU126" i="5" a="1"/>
  <c r="AU126" i="5" s="1"/>
  <c r="AV126" i="5" a="1"/>
  <c r="AV126" i="5" s="1"/>
  <c r="AW126" i="5" a="1"/>
  <c r="AW126" i="5" s="1"/>
  <c r="AX126" i="5" a="1"/>
  <c r="AX126" i="5" s="1"/>
  <c r="AY126" i="5" a="1"/>
  <c r="AY126" i="5" s="1"/>
  <c r="AQ127" i="5" a="1"/>
  <c r="AQ127" i="5" s="1"/>
  <c r="AR127" i="5" a="1"/>
  <c r="AR127" i="5" s="1"/>
  <c r="AS127" i="5" a="1"/>
  <c r="AS127" i="5" s="1"/>
  <c r="AT127" i="5" a="1"/>
  <c r="AT127" i="5" s="1"/>
  <c r="AU127" i="5" a="1"/>
  <c r="AU127" i="5" s="1"/>
  <c r="AV127" i="5" a="1"/>
  <c r="AV127" i="5" s="1"/>
  <c r="AW127" i="5" a="1"/>
  <c r="AW127" i="5" s="1"/>
  <c r="AX127" i="5" a="1"/>
  <c r="AX127" i="5" s="1"/>
  <c r="AY127" i="5" a="1"/>
  <c r="AY127" i="5" s="1"/>
  <c r="AQ128" i="5" a="1"/>
  <c r="AQ128" i="5" s="1"/>
  <c r="AR128" i="5" a="1"/>
  <c r="AR128" i="5" s="1"/>
  <c r="AS128" i="5" a="1"/>
  <c r="AS128" i="5" s="1"/>
  <c r="AT128" i="5" a="1"/>
  <c r="AT128" i="5" s="1"/>
  <c r="AU128" i="5" a="1"/>
  <c r="AU128" i="5" s="1"/>
  <c r="AV128" i="5" a="1"/>
  <c r="AV128" i="5" s="1"/>
  <c r="AW128" i="5" a="1"/>
  <c r="AW128" i="5" s="1"/>
  <c r="AX128" i="5" a="1"/>
  <c r="AX128" i="5" s="1"/>
  <c r="AY128" i="5" a="1"/>
  <c r="AY128" i="5" s="1"/>
  <c r="AQ129" i="5" a="1"/>
  <c r="AQ129" i="5" s="1"/>
  <c r="AR129" i="5" a="1"/>
  <c r="AR129" i="5" s="1"/>
  <c r="AS129" i="5" a="1"/>
  <c r="AS129" i="5" s="1"/>
  <c r="AT129" i="5" a="1"/>
  <c r="AT129" i="5" s="1"/>
  <c r="AU129" i="5" a="1"/>
  <c r="AU129" i="5" s="1"/>
  <c r="AV129" i="5" a="1"/>
  <c r="AV129" i="5" s="1"/>
  <c r="AW129" i="5" a="1"/>
  <c r="AW129" i="5" s="1"/>
  <c r="AX129" i="5" a="1"/>
  <c r="AX129" i="5" s="1"/>
  <c r="AY129" i="5" a="1"/>
  <c r="AY129" i="5" s="1"/>
  <c r="AQ130" i="5" a="1"/>
  <c r="AQ130" i="5" s="1"/>
  <c r="AR130" i="5" a="1"/>
  <c r="AR130" i="5" s="1"/>
  <c r="AS130" i="5" a="1"/>
  <c r="AS130" i="5" s="1"/>
  <c r="AT130" i="5" a="1"/>
  <c r="AT130" i="5" s="1"/>
  <c r="AU130" i="5" a="1"/>
  <c r="AU130" i="5" s="1"/>
  <c r="AV130" i="5" a="1"/>
  <c r="AV130" i="5" s="1"/>
  <c r="AW130" i="5" a="1"/>
  <c r="AW130" i="5" s="1"/>
  <c r="AX130" i="5" a="1"/>
  <c r="AX130" i="5" s="1"/>
  <c r="AY130" i="5" a="1"/>
  <c r="AY130" i="5" s="1"/>
  <c r="AQ131" i="5" a="1"/>
  <c r="AQ131" i="5" s="1"/>
  <c r="AR131" i="5" a="1"/>
  <c r="AR131" i="5" s="1"/>
  <c r="AS131" i="5" a="1"/>
  <c r="AS131" i="5" s="1"/>
  <c r="AT131" i="5" a="1"/>
  <c r="AT131" i="5" s="1"/>
  <c r="AU131" i="5" a="1"/>
  <c r="AU131" i="5" s="1"/>
  <c r="AV131" i="5" a="1"/>
  <c r="AV131" i="5" s="1"/>
  <c r="AW131" i="5" a="1"/>
  <c r="AW131" i="5" s="1"/>
  <c r="AX131" i="5" a="1"/>
  <c r="AX131" i="5" s="1"/>
  <c r="AY131" i="5" a="1"/>
  <c r="AY131" i="5" s="1"/>
  <c r="AQ132" i="5" a="1"/>
  <c r="AQ132" i="5" s="1"/>
  <c r="AR132" i="5" a="1"/>
  <c r="AR132" i="5" s="1"/>
  <c r="AS132" i="5" a="1"/>
  <c r="AS132" i="5" s="1"/>
  <c r="AT132" i="5" a="1"/>
  <c r="AT132" i="5" s="1"/>
  <c r="AU132" i="5" a="1"/>
  <c r="AU132" i="5" s="1"/>
  <c r="AV132" i="5" a="1"/>
  <c r="AV132" i="5" s="1"/>
  <c r="AW132" i="5" a="1"/>
  <c r="AW132" i="5" s="1"/>
  <c r="AX132" i="5" a="1"/>
  <c r="AX132" i="5" s="1"/>
  <c r="AY132" i="5" a="1"/>
  <c r="AY132" i="5" s="1"/>
  <c r="AQ133" i="5" a="1"/>
  <c r="AQ133" i="5" s="1"/>
  <c r="AR133" i="5" a="1"/>
  <c r="AR133" i="5" s="1"/>
  <c r="AS133" i="5" a="1"/>
  <c r="AS133" i="5" s="1"/>
  <c r="AT133" i="5" a="1"/>
  <c r="AT133" i="5" s="1"/>
  <c r="AU133" i="5" a="1"/>
  <c r="AU133" i="5" s="1"/>
  <c r="AV133" i="5" a="1"/>
  <c r="AV133" i="5" s="1"/>
  <c r="AW133" i="5" a="1"/>
  <c r="AW133" i="5" s="1"/>
  <c r="AX133" i="5" a="1"/>
  <c r="AX133" i="5" s="1"/>
  <c r="AY133" i="5" a="1"/>
  <c r="AY133" i="5" s="1"/>
  <c r="AQ134" i="5" a="1"/>
  <c r="AQ134" i="5" s="1"/>
  <c r="AR134" i="5" a="1"/>
  <c r="AR134" i="5" s="1"/>
  <c r="AS134" i="5" a="1"/>
  <c r="AS134" i="5" s="1"/>
  <c r="AT134" i="5" a="1"/>
  <c r="AT134" i="5" s="1"/>
  <c r="AU134" i="5" a="1"/>
  <c r="AU134" i="5" s="1"/>
  <c r="AV134" i="5" a="1"/>
  <c r="AV134" i="5" s="1"/>
  <c r="AW134" i="5" a="1"/>
  <c r="AW134" i="5" s="1"/>
  <c r="AX134" i="5" a="1"/>
  <c r="AX134" i="5" s="1"/>
  <c r="AY134" i="5" a="1"/>
  <c r="AY134" i="5" s="1"/>
  <c r="AQ135" i="5" a="1"/>
  <c r="AQ135" i="5" s="1"/>
  <c r="AR135" i="5" a="1"/>
  <c r="AR135" i="5" s="1"/>
  <c r="AS135" i="5" a="1"/>
  <c r="AS135" i="5" s="1"/>
  <c r="AT135" i="5" a="1"/>
  <c r="AT135" i="5" s="1"/>
  <c r="AU135" i="5" a="1"/>
  <c r="AU135" i="5" s="1"/>
  <c r="AV135" i="5" a="1"/>
  <c r="AV135" i="5" s="1"/>
  <c r="AW135" i="5" a="1"/>
  <c r="AW135" i="5" s="1"/>
  <c r="AX135" i="5" a="1"/>
  <c r="AX135" i="5" s="1"/>
  <c r="AY135" i="5" a="1"/>
  <c r="AY135" i="5" s="1"/>
  <c r="AQ136" i="5" a="1"/>
  <c r="AQ136" i="5" s="1"/>
  <c r="AR136" i="5" a="1"/>
  <c r="AR136" i="5" s="1"/>
  <c r="AS136" i="5" a="1"/>
  <c r="AS136" i="5" s="1"/>
  <c r="AT136" i="5" a="1"/>
  <c r="AT136" i="5" s="1"/>
  <c r="AU136" i="5" a="1"/>
  <c r="AU136" i="5" s="1"/>
  <c r="AV136" i="5" a="1"/>
  <c r="AV136" i="5" s="1"/>
  <c r="AW136" i="5" a="1"/>
  <c r="AW136" i="5" s="1"/>
  <c r="AX136" i="5" a="1"/>
  <c r="AX136" i="5" s="1"/>
  <c r="AY136" i="5" a="1"/>
  <c r="AY136" i="5" s="1"/>
  <c r="AQ137" i="5" a="1"/>
  <c r="AQ137" i="5" s="1"/>
  <c r="AR137" i="5" a="1"/>
  <c r="AR137" i="5" s="1"/>
  <c r="AS137" i="5" a="1"/>
  <c r="AS137" i="5" s="1"/>
  <c r="AT137" i="5" a="1"/>
  <c r="AT137" i="5" s="1"/>
  <c r="AU137" i="5" a="1"/>
  <c r="AU137" i="5" s="1"/>
  <c r="AV137" i="5" a="1"/>
  <c r="AV137" i="5" s="1"/>
  <c r="AW137" i="5" a="1"/>
  <c r="AW137" i="5" s="1"/>
  <c r="AX137" i="5" a="1"/>
  <c r="AX137" i="5" s="1"/>
  <c r="AY137" i="5" a="1"/>
  <c r="AY137" i="5" s="1"/>
  <c r="AQ138" i="5" a="1"/>
  <c r="AQ138" i="5" s="1"/>
  <c r="AR138" i="5" a="1"/>
  <c r="AR138" i="5" s="1"/>
  <c r="AS138" i="5" a="1"/>
  <c r="AS138" i="5" s="1"/>
  <c r="AT138" i="5" a="1"/>
  <c r="AT138" i="5" s="1"/>
  <c r="AU138" i="5" a="1"/>
  <c r="AU138" i="5" s="1"/>
  <c r="AV138" i="5" a="1"/>
  <c r="AV138" i="5" s="1"/>
  <c r="AW138" i="5" a="1"/>
  <c r="AW138" i="5" s="1"/>
  <c r="AX138" i="5" a="1"/>
  <c r="AX138" i="5" s="1"/>
  <c r="AY138" i="5" a="1"/>
  <c r="AY138" i="5" s="1"/>
  <c r="AQ139" i="5" a="1"/>
  <c r="AQ139" i="5" s="1"/>
  <c r="AR139" i="5" a="1"/>
  <c r="AR139" i="5" s="1"/>
  <c r="AS139" i="5" a="1"/>
  <c r="AS139" i="5" s="1"/>
  <c r="AT139" i="5" a="1"/>
  <c r="AT139" i="5" s="1"/>
  <c r="AU139" i="5" a="1"/>
  <c r="AU139" i="5" s="1"/>
  <c r="AV139" i="5" a="1"/>
  <c r="AV139" i="5" s="1"/>
  <c r="AW139" i="5" a="1"/>
  <c r="AW139" i="5" s="1"/>
  <c r="AX139" i="5" a="1"/>
  <c r="AX139" i="5" s="1"/>
  <c r="AY139" i="5" a="1"/>
  <c r="AY139" i="5" s="1"/>
  <c r="AQ140" i="5" a="1"/>
  <c r="AQ140" i="5" s="1"/>
  <c r="AR140" i="5" a="1"/>
  <c r="AR140" i="5" s="1"/>
  <c r="AS140" i="5" a="1"/>
  <c r="AS140" i="5" s="1"/>
  <c r="AT140" i="5" a="1"/>
  <c r="AT140" i="5" s="1"/>
  <c r="AU140" i="5" a="1"/>
  <c r="AU140" i="5" s="1"/>
  <c r="AV140" i="5" a="1"/>
  <c r="AV140" i="5" s="1"/>
  <c r="AW140" i="5" a="1"/>
  <c r="AW140" i="5" s="1"/>
  <c r="AX140" i="5" a="1"/>
  <c r="AX140" i="5" s="1"/>
  <c r="AY140" i="5" a="1"/>
  <c r="AY140" i="5" s="1"/>
  <c r="AQ141" i="5" a="1"/>
  <c r="AQ141" i="5" s="1"/>
  <c r="AR141" i="5" a="1"/>
  <c r="AR141" i="5" s="1"/>
  <c r="AS141" i="5" a="1"/>
  <c r="AS141" i="5" s="1"/>
  <c r="AT141" i="5" a="1"/>
  <c r="AT141" i="5" s="1"/>
  <c r="AU141" i="5" a="1"/>
  <c r="AU141" i="5" s="1"/>
  <c r="AV141" i="5" a="1"/>
  <c r="AV141" i="5" s="1"/>
  <c r="AW141" i="5" a="1"/>
  <c r="AW141" i="5" s="1"/>
  <c r="AX141" i="5" a="1"/>
  <c r="AX141" i="5" s="1"/>
  <c r="AY141" i="5" a="1"/>
  <c r="AY141" i="5" s="1"/>
  <c r="AQ142" i="5" a="1"/>
  <c r="AQ142" i="5" s="1"/>
  <c r="AR142" i="5" a="1"/>
  <c r="AR142" i="5" s="1"/>
  <c r="AS142" i="5" a="1"/>
  <c r="AS142" i="5" s="1"/>
  <c r="AT142" i="5" a="1"/>
  <c r="AT142" i="5" s="1"/>
  <c r="AU142" i="5" a="1"/>
  <c r="AU142" i="5" s="1"/>
  <c r="AV142" i="5" a="1"/>
  <c r="AV142" i="5" s="1"/>
  <c r="AW142" i="5" a="1"/>
  <c r="AW142" i="5" s="1"/>
  <c r="AX142" i="5" a="1"/>
  <c r="AX142" i="5" s="1"/>
  <c r="AY142" i="5" a="1"/>
  <c r="AY142" i="5" s="1"/>
  <c r="AQ143" i="5" a="1"/>
  <c r="AQ143" i="5" s="1"/>
  <c r="AR143" i="5" a="1"/>
  <c r="AR143" i="5" s="1"/>
  <c r="AS143" i="5" a="1"/>
  <c r="AS143" i="5" s="1"/>
  <c r="AT143" i="5" a="1"/>
  <c r="AT143" i="5" s="1"/>
  <c r="AU143" i="5" a="1"/>
  <c r="AU143" i="5" s="1"/>
  <c r="AV143" i="5" a="1"/>
  <c r="AV143" i="5" s="1"/>
  <c r="AW143" i="5" a="1"/>
  <c r="AW143" i="5" s="1"/>
  <c r="AX143" i="5" a="1"/>
  <c r="AX143" i="5" s="1"/>
  <c r="AY143" i="5" a="1"/>
  <c r="AY143" i="5" s="1"/>
  <c r="AQ144" i="5" a="1"/>
  <c r="AQ144" i="5" s="1"/>
  <c r="AR144" i="5" a="1"/>
  <c r="AR144" i="5" s="1"/>
  <c r="AS144" i="5" a="1"/>
  <c r="AS144" i="5" s="1"/>
  <c r="AT144" i="5" a="1"/>
  <c r="AT144" i="5" s="1"/>
  <c r="AU144" i="5" a="1"/>
  <c r="AU144" i="5" s="1"/>
  <c r="AV144" i="5" a="1"/>
  <c r="AV144" i="5" s="1"/>
  <c r="AW144" i="5" a="1"/>
  <c r="AW144" i="5" s="1"/>
  <c r="AX144" i="5" a="1"/>
  <c r="AX144" i="5" s="1"/>
  <c r="AY144" i="5" a="1"/>
  <c r="AY144" i="5" s="1"/>
  <c r="AQ145" i="5" a="1"/>
  <c r="AQ145" i="5" s="1"/>
  <c r="AR145" i="5" a="1"/>
  <c r="AR145" i="5" s="1"/>
  <c r="AS145" i="5" a="1"/>
  <c r="AS145" i="5" s="1"/>
  <c r="AT145" i="5" a="1"/>
  <c r="AT145" i="5" s="1"/>
  <c r="AU145" i="5" a="1"/>
  <c r="AU145" i="5" s="1"/>
  <c r="AV145" i="5" a="1"/>
  <c r="AV145" i="5" s="1"/>
  <c r="AW145" i="5" a="1"/>
  <c r="AW145" i="5" s="1"/>
  <c r="AX145" i="5" a="1"/>
  <c r="AX145" i="5" s="1"/>
  <c r="AY145" i="5" a="1"/>
  <c r="AY145" i="5" s="1"/>
  <c r="AQ146" i="5" a="1"/>
  <c r="AQ146" i="5" s="1"/>
  <c r="AR146" i="5" a="1"/>
  <c r="AR146" i="5" s="1"/>
  <c r="AS146" i="5" a="1"/>
  <c r="AS146" i="5" s="1"/>
  <c r="AT146" i="5" a="1"/>
  <c r="AT146" i="5" s="1"/>
  <c r="AU146" i="5" a="1"/>
  <c r="AU146" i="5" s="1"/>
  <c r="AV146" i="5" a="1"/>
  <c r="AV146" i="5" s="1"/>
  <c r="AW146" i="5" a="1"/>
  <c r="AW146" i="5" s="1"/>
  <c r="AX146" i="5" a="1"/>
  <c r="AX146" i="5" s="1"/>
  <c r="AY146" i="5" a="1"/>
  <c r="AY146" i="5" s="1"/>
  <c r="AQ147" i="5" a="1"/>
  <c r="AQ147" i="5" s="1"/>
  <c r="AR147" i="5" a="1"/>
  <c r="AR147" i="5" s="1"/>
  <c r="AS147" i="5" a="1"/>
  <c r="AS147" i="5" s="1"/>
  <c r="AT147" i="5" a="1"/>
  <c r="AT147" i="5" s="1"/>
  <c r="AU147" i="5" a="1"/>
  <c r="AU147" i="5" s="1"/>
  <c r="AV147" i="5" a="1"/>
  <c r="AV147" i="5" s="1"/>
  <c r="AW147" i="5" a="1"/>
  <c r="AW147" i="5" s="1"/>
  <c r="AX147" i="5" a="1"/>
  <c r="AX147" i="5" s="1"/>
  <c r="AY147" i="5" a="1"/>
  <c r="AY147" i="5" s="1"/>
  <c r="AQ148" i="5" a="1"/>
  <c r="AQ148" i="5" s="1"/>
  <c r="AR148" i="5" a="1"/>
  <c r="AR148" i="5" s="1"/>
  <c r="AS148" i="5" a="1"/>
  <c r="AS148" i="5" s="1"/>
  <c r="AT148" i="5" a="1"/>
  <c r="AT148" i="5" s="1"/>
  <c r="AU148" i="5" a="1"/>
  <c r="AU148" i="5" s="1"/>
  <c r="AV148" i="5" a="1"/>
  <c r="AV148" i="5" s="1"/>
  <c r="AW148" i="5" a="1"/>
  <c r="AW148" i="5" s="1"/>
  <c r="AX148" i="5" a="1"/>
  <c r="AX148" i="5" s="1"/>
  <c r="AY148" i="5" a="1"/>
  <c r="AY148" i="5" s="1"/>
  <c r="AQ149" i="5" a="1"/>
  <c r="AQ149" i="5" s="1"/>
  <c r="AR149" i="5" a="1"/>
  <c r="AR149" i="5" s="1"/>
  <c r="AS149" i="5" a="1"/>
  <c r="AS149" i="5" s="1"/>
  <c r="AT149" i="5" a="1"/>
  <c r="AT149" i="5" s="1"/>
  <c r="AU149" i="5" a="1"/>
  <c r="AU149" i="5" s="1"/>
  <c r="AV149" i="5" a="1"/>
  <c r="AV149" i="5" s="1"/>
  <c r="AW149" i="5" a="1"/>
  <c r="AW149" i="5" s="1"/>
  <c r="AX149" i="5" a="1"/>
  <c r="AX149" i="5" s="1"/>
  <c r="AY149" i="5" a="1"/>
  <c r="AY149" i="5" s="1"/>
  <c r="AQ150" i="5" a="1"/>
  <c r="AQ150" i="5" s="1"/>
  <c r="AR150" i="5" a="1"/>
  <c r="AR150" i="5" s="1"/>
  <c r="AS150" i="5" a="1"/>
  <c r="AS150" i="5" s="1"/>
  <c r="AT150" i="5" a="1"/>
  <c r="AT150" i="5" s="1"/>
  <c r="AU150" i="5" a="1"/>
  <c r="AU150" i="5" s="1"/>
  <c r="AV150" i="5" a="1"/>
  <c r="AV150" i="5" s="1"/>
  <c r="AW150" i="5" a="1"/>
  <c r="AW150" i="5" s="1"/>
  <c r="AX150" i="5" a="1"/>
  <c r="AX150" i="5" s="1"/>
  <c r="AY150" i="5" a="1"/>
  <c r="AY150" i="5" s="1"/>
  <c r="AQ151" i="5" a="1"/>
  <c r="AQ151" i="5" s="1"/>
  <c r="AR151" i="5" a="1"/>
  <c r="AR151" i="5" s="1"/>
  <c r="AS151" i="5" a="1"/>
  <c r="AS151" i="5" s="1"/>
  <c r="AT151" i="5" a="1"/>
  <c r="AT151" i="5" s="1"/>
  <c r="AU151" i="5" a="1"/>
  <c r="AU151" i="5" s="1"/>
  <c r="AV151" i="5" a="1"/>
  <c r="AV151" i="5" s="1"/>
  <c r="AW151" i="5" a="1"/>
  <c r="AW151" i="5" s="1"/>
  <c r="AX151" i="5" a="1"/>
  <c r="AX151" i="5" s="1"/>
  <c r="AY151" i="5" a="1"/>
  <c r="AY151" i="5" s="1"/>
  <c r="AQ152" i="5" a="1"/>
  <c r="AQ152" i="5" s="1"/>
  <c r="AR152" i="5" a="1"/>
  <c r="AR152" i="5" s="1"/>
  <c r="AS152" i="5" a="1"/>
  <c r="AS152" i="5" s="1"/>
  <c r="AT152" i="5" a="1"/>
  <c r="AT152" i="5" s="1"/>
  <c r="AU152" i="5" a="1"/>
  <c r="AU152" i="5" s="1"/>
  <c r="AV152" i="5" a="1"/>
  <c r="AV152" i="5" s="1"/>
  <c r="AW152" i="5" a="1"/>
  <c r="AW152" i="5" s="1"/>
  <c r="AX152" i="5" a="1"/>
  <c r="AX152" i="5" s="1"/>
  <c r="AY152" i="5" a="1"/>
  <c r="AY152" i="5" s="1"/>
  <c r="AQ153" i="5" a="1"/>
  <c r="AQ153" i="5" s="1"/>
  <c r="AR153" i="5" a="1"/>
  <c r="AR153" i="5" s="1"/>
  <c r="AS153" i="5" a="1"/>
  <c r="AS153" i="5" s="1"/>
  <c r="AT153" i="5" a="1"/>
  <c r="AT153" i="5" s="1"/>
  <c r="AU153" i="5" a="1"/>
  <c r="AU153" i="5" s="1"/>
  <c r="AV153" i="5" a="1"/>
  <c r="AV153" i="5" s="1"/>
  <c r="AW153" i="5" a="1"/>
  <c r="AW153" i="5" s="1"/>
  <c r="AX153" i="5" a="1"/>
  <c r="AX153" i="5" s="1"/>
  <c r="AY153" i="5" a="1"/>
  <c r="AY153" i="5" s="1"/>
  <c r="AQ154" i="5" a="1"/>
  <c r="AQ154" i="5" s="1"/>
  <c r="AR154" i="5" a="1"/>
  <c r="AR154" i="5" s="1"/>
  <c r="AS154" i="5" a="1"/>
  <c r="AS154" i="5" s="1"/>
  <c r="AT154" i="5" a="1"/>
  <c r="AT154" i="5" s="1"/>
  <c r="AU154" i="5" a="1"/>
  <c r="AU154" i="5" s="1"/>
  <c r="AV154" i="5" a="1"/>
  <c r="AV154" i="5" s="1"/>
  <c r="AW154" i="5" a="1"/>
  <c r="AW154" i="5" s="1"/>
  <c r="AX154" i="5" a="1"/>
  <c r="AX154" i="5" s="1"/>
  <c r="AY154" i="5" a="1"/>
  <c r="AY154" i="5" s="1"/>
  <c r="AQ155" i="5" a="1"/>
  <c r="AQ155" i="5" s="1"/>
  <c r="AR155" i="5" a="1"/>
  <c r="AR155" i="5" s="1"/>
  <c r="AS155" i="5" a="1"/>
  <c r="AS155" i="5" s="1"/>
  <c r="AT155" i="5" a="1"/>
  <c r="AT155" i="5" s="1"/>
  <c r="AU155" i="5" a="1"/>
  <c r="AU155" i="5" s="1"/>
  <c r="AV155" i="5" a="1"/>
  <c r="AV155" i="5" s="1"/>
  <c r="AW155" i="5" a="1"/>
  <c r="AW155" i="5" s="1"/>
  <c r="AX155" i="5" a="1"/>
  <c r="AX155" i="5" s="1"/>
  <c r="AY155" i="5" a="1"/>
  <c r="AY155" i="5" s="1"/>
  <c r="AQ156" i="5" a="1"/>
  <c r="AQ156" i="5" s="1"/>
  <c r="AR156" i="5" a="1"/>
  <c r="AR156" i="5" s="1"/>
  <c r="AS156" i="5" a="1"/>
  <c r="AS156" i="5" s="1"/>
  <c r="AT156" i="5" a="1"/>
  <c r="AT156" i="5" s="1"/>
  <c r="AU156" i="5" a="1"/>
  <c r="AU156" i="5" s="1"/>
  <c r="AV156" i="5" a="1"/>
  <c r="AV156" i="5" s="1"/>
  <c r="AW156" i="5" a="1"/>
  <c r="AW156" i="5" s="1"/>
  <c r="AX156" i="5" a="1"/>
  <c r="AX156" i="5" s="1"/>
  <c r="AY156" i="5" a="1"/>
  <c r="AY156" i="5" s="1"/>
  <c r="AQ157" i="5" a="1"/>
  <c r="AQ157" i="5" s="1"/>
  <c r="AR157" i="5" a="1"/>
  <c r="AR157" i="5" s="1"/>
  <c r="AS157" i="5" a="1"/>
  <c r="AS157" i="5" s="1"/>
  <c r="AT157" i="5" a="1"/>
  <c r="AT157" i="5" s="1"/>
  <c r="AU157" i="5" a="1"/>
  <c r="AU157" i="5" s="1"/>
  <c r="AV157" i="5" a="1"/>
  <c r="AV157" i="5" s="1"/>
  <c r="AW157" i="5" a="1"/>
  <c r="AW157" i="5" s="1"/>
  <c r="AX157" i="5" a="1"/>
  <c r="AX157" i="5" s="1"/>
  <c r="AY157" i="5" a="1"/>
  <c r="AY157" i="5" s="1"/>
  <c r="AQ158" i="5" a="1"/>
  <c r="AQ158" i="5" s="1"/>
  <c r="AR158" i="5" a="1"/>
  <c r="AR158" i="5" s="1"/>
  <c r="AS158" i="5" a="1"/>
  <c r="AS158" i="5" s="1"/>
  <c r="AT158" i="5" a="1"/>
  <c r="AT158" i="5" s="1"/>
  <c r="AU158" i="5" a="1"/>
  <c r="AU158" i="5" s="1"/>
  <c r="AV158" i="5" a="1"/>
  <c r="AV158" i="5" s="1"/>
  <c r="AW158" i="5" a="1"/>
  <c r="AW158" i="5" s="1"/>
  <c r="AX158" i="5" a="1"/>
  <c r="AX158" i="5" s="1"/>
  <c r="AY158" i="5" a="1"/>
  <c r="AY158" i="5" s="1"/>
  <c r="AK8" i="5" a="1"/>
  <c r="AK8" i="5" s="1"/>
  <c r="AL8" i="5" a="1"/>
  <c r="AL8" i="5" s="1"/>
  <c r="AM8" i="5" a="1"/>
  <c r="AM8" i="5" s="1"/>
  <c r="AN8" i="5" a="1"/>
  <c r="AN8" i="5" s="1"/>
  <c r="AO8" i="5" a="1"/>
  <c r="AO8" i="5"/>
  <c r="AP8" i="5" a="1"/>
  <c r="AP8" i="5"/>
  <c r="AK9" i="5" a="1"/>
  <c r="AK9" i="5" s="1"/>
  <c r="AL9" i="5" a="1"/>
  <c r="AL9" i="5" s="1"/>
  <c r="AM9" i="5" a="1"/>
  <c r="AM9" i="5" s="1"/>
  <c r="AN9" i="5" a="1"/>
  <c r="AN9" i="5" s="1"/>
  <c r="AO9" i="5" a="1"/>
  <c r="AO9" i="5"/>
  <c r="AP9" i="5" a="1"/>
  <c r="AP9" i="5"/>
  <c r="AK10" i="5" a="1"/>
  <c r="AK10" i="5" s="1"/>
  <c r="AL10" i="5" a="1"/>
  <c r="AL10" i="5" s="1"/>
  <c r="AM10" i="5" a="1"/>
  <c r="AM10" i="5" s="1"/>
  <c r="AN10" i="5" a="1"/>
  <c r="AN10" i="5" s="1"/>
  <c r="AO10" i="5" a="1"/>
  <c r="AO10" i="5" s="1"/>
  <c r="AP10" i="5" a="1"/>
  <c r="AP10" i="5"/>
  <c r="AK11" i="5" a="1"/>
  <c r="AK11" i="5" s="1"/>
  <c r="AL11" i="5" a="1"/>
  <c r="AL11" i="5" s="1"/>
  <c r="AM11" i="5" a="1"/>
  <c r="AM11" i="5" s="1"/>
  <c r="AN11" i="5" a="1"/>
  <c r="AN11" i="5"/>
  <c r="AO11" i="5" a="1"/>
  <c r="AO11" i="5" s="1"/>
  <c r="AP11" i="5" a="1"/>
  <c r="AP11" i="5" s="1"/>
  <c r="AK12" i="5" a="1"/>
  <c r="AK12" i="5" s="1"/>
  <c r="AL12" i="5" a="1"/>
  <c r="AL12" i="5" s="1"/>
  <c r="AM12" i="5" a="1"/>
  <c r="AM12" i="5" s="1"/>
  <c r="AN12" i="5" a="1"/>
  <c r="AN12" i="5" s="1"/>
  <c r="AO12" i="5" a="1"/>
  <c r="AO12" i="5"/>
  <c r="AP12" i="5" a="1"/>
  <c r="AP12" i="5"/>
  <c r="AK13" i="5" a="1"/>
  <c r="AK13" i="5" s="1"/>
  <c r="AL13" i="5" a="1"/>
  <c r="AL13" i="5" s="1"/>
  <c r="AM13" i="5" a="1"/>
  <c r="AM13" i="5" s="1"/>
  <c r="AN13" i="5" a="1"/>
  <c r="AN13" i="5" s="1"/>
  <c r="AO13" i="5" a="1"/>
  <c r="AO13" i="5" s="1"/>
  <c r="AP13" i="5" a="1"/>
  <c r="AP13" i="5"/>
  <c r="AK14" i="5" a="1"/>
  <c r="AK14" i="5" s="1"/>
  <c r="AL14" i="5" a="1"/>
  <c r="AL14" i="5" s="1"/>
  <c r="AM14" i="5" a="1"/>
  <c r="AM14" i="5" s="1"/>
  <c r="AN14" i="5" a="1"/>
  <c r="AN14" i="5" s="1"/>
  <c r="AO14" i="5" a="1"/>
  <c r="AO14" i="5" s="1"/>
  <c r="AP14" i="5" a="1"/>
  <c r="AP14" i="5"/>
  <c r="AK15" i="5" a="1"/>
  <c r="AK15" i="5" s="1"/>
  <c r="AL15" i="5" a="1"/>
  <c r="AL15" i="5" s="1"/>
  <c r="AM15" i="5" a="1"/>
  <c r="AM15" i="5" s="1"/>
  <c r="AN15" i="5" a="1"/>
  <c r="AN15" i="5"/>
  <c r="AO15" i="5" a="1"/>
  <c r="AO15" i="5" s="1"/>
  <c r="AP15" i="5" a="1"/>
  <c r="AP15" i="5"/>
  <c r="AK16" i="5" a="1"/>
  <c r="AK16" i="5" s="1"/>
  <c r="AL16" i="5" a="1"/>
  <c r="AL16" i="5" s="1"/>
  <c r="AM16" i="5" a="1"/>
  <c r="AM16" i="5" s="1"/>
  <c r="AN16" i="5" a="1"/>
  <c r="AN16" i="5" s="1"/>
  <c r="AO16" i="5" a="1"/>
  <c r="AO16" i="5"/>
  <c r="AP16" i="5" a="1"/>
  <c r="AP16" i="5"/>
  <c r="AK17" i="5" a="1"/>
  <c r="AK17" i="5" s="1"/>
  <c r="AL17" i="5" a="1"/>
  <c r="AL17" i="5" s="1"/>
  <c r="AM17" i="5" a="1"/>
  <c r="AM17" i="5" s="1"/>
  <c r="AN17" i="5" a="1"/>
  <c r="AN17" i="5" s="1"/>
  <c r="AO17" i="5" a="1"/>
  <c r="AO17" i="5" s="1"/>
  <c r="AP17" i="5" a="1"/>
  <c r="AP17" i="5"/>
  <c r="AK18" i="5" a="1"/>
  <c r="AK18" i="5" s="1"/>
  <c r="AL18" i="5" a="1"/>
  <c r="AL18" i="5" s="1"/>
  <c r="AM18" i="5" a="1"/>
  <c r="AM18" i="5" s="1"/>
  <c r="AN18" i="5" a="1"/>
  <c r="AN18" i="5" s="1"/>
  <c r="AO18" i="5" a="1"/>
  <c r="AO18" i="5" s="1"/>
  <c r="AP18" i="5" a="1"/>
  <c r="AP18" i="5"/>
  <c r="AK19" i="5" a="1"/>
  <c r="AK19" i="5" s="1"/>
  <c r="AL19" i="5" a="1"/>
  <c r="AL19" i="5" s="1"/>
  <c r="AM19" i="5" a="1"/>
  <c r="AM19" i="5" s="1"/>
  <c r="AN19" i="5" a="1"/>
  <c r="AN19" i="5"/>
  <c r="AO19" i="5" a="1"/>
  <c r="AO19" i="5" s="1"/>
  <c r="AP19" i="5" a="1"/>
  <c r="AP19" i="5" s="1"/>
  <c r="AK20" i="5" a="1"/>
  <c r="AK20" i="5" s="1"/>
  <c r="AL20" i="5" a="1"/>
  <c r="AL20" i="5" s="1"/>
  <c r="AM20" i="5" a="1"/>
  <c r="AM20" i="5" s="1"/>
  <c r="AN20" i="5" a="1"/>
  <c r="AN20" i="5" s="1"/>
  <c r="AO20" i="5" a="1"/>
  <c r="AO20" i="5"/>
  <c r="AP20" i="5" a="1"/>
  <c r="AP20" i="5"/>
  <c r="AK21" i="5" a="1"/>
  <c r="AK21" i="5" s="1"/>
  <c r="AL21" i="5" a="1"/>
  <c r="AL21" i="5" s="1"/>
  <c r="AM21" i="5" a="1"/>
  <c r="AM21" i="5" s="1"/>
  <c r="AN21" i="5" a="1"/>
  <c r="AN21" i="5" s="1"/>
  <c r="AO21" i="5" a="1"/>
  <c r="AO21" i="5" s="1"/>
  <c r="AP21" i="5" a="1"/>
  <c r="AP21" i="5"/>
  <c r="AK22" i="5" a="1"/>
  <c r="AK22" i="5" s="1"/>
  <c r="AL22" i="5" a="1"/>
  <c r="AL22" i="5" s="1"/>
  <c r="AM22" i="5" a="1"/>
  <c r="AM22" i="5" s="1"/>
  <c r="AN22" i="5" a="1"/>
  <c r="AN22" i="5" s="1"/>
  <c r="AO22" i="5" a="1"/>
  <c r="AO22" i="5" s="1"/>
  <c r="AP22" i="5" a="1"/>
  <c r="AP22" i="5"/>
  <c r="AK23" i="5" a="1"/>
  <c r="AK23" i="5" s="1"/>
  <c r="AL23" i="5" a="1"/>
  <c r="AL23" i="5" s="1"/>
  <c r="AM23" i="5" a="1"/>
  <c r="AM23" i="5" s="1"/>
  <c r="AN23" i="5" a="1"/>
  <c r="AN23" i="5"/>
  <c r="AO23" i="5" a="1"/>
  <c r="AO23" i="5" s="1"/>
  <c r="AP23" i="5" a="1"/>
  <c r="AP23" i="5"/>
  <c r="AK24" i="5" a="1"/>
  <c r="AK24" i="5" s="1"/>
  <c r="AL24" i="5" a="1"/>
  <c r="AL24" i="5" s="1"/>
  <c r="AM24" i="5" a="1"/>
  <c r="AM24" i="5" s="1"/>
  <c r="AN24" i="5" a="1"/>
  <c r="AN24" i="5" s="1"/>
  <c r="AO24" i="5" a="1"/>
  <c r="AO24" i="5"/>
  <c r="AP24" i="5" a="1"/>
  <c r="AP24" i="5"/>
  <c r="AK25" i="5" a="1"/>
  <c r="AK25" i="5" s="1"/>
  <c r="AL25" i="5" a="1"/>
  <c r="AL25" i="5" s="1"/>
  <c r="AM25" i="5" a="1"/>
  <c r="AM25" i="5" s="1"/>
  <c r="AN25" i="5" a="1"/>
  <c r="AN25" i="5" s="1"/>
  <c r="AO25" i="5" a="1"/>
  <c r="AO25" i="5" s="1"/>
  <c r="AP25" i="5" a="1"/>
  <c r="AP25" i="5"/>
  <c r="AK26" i="5" a="1"/>
  <c r="AK26" i="5" s="1"/>
  <c r="AL26" i="5" a="1"/>
  <c r="AL26" i="5" s="1"/>
  <c r="AM26" i="5" a="1"/>
  <c r="AM26" i="5" s="1"/>
  <c r="AN26" i="5" a="1"/>
  <c r="AN26" i="5" s="1"/>
  <c r="AO26" i="5" a="1"/>
  <c r="AO26" i="5" s="1"/>
  <c r="AP26" i="5" a="1"/>
  <c r="AP26" i="5"/>
  <c r="AK27" i="5" a="1"/>
  <c r="AK27" i="5" s="1"/>
  <c r="AL27" i="5" a="1"/>
  <c r="AL27" i="5" s="1"/>
  <c r="AM27" i="5" a="1"/>
  <c r="AM27" i="5" s="1"/>
  <c r="AN27" i="5" a="1"/>
  <c r="AN27" i="5"/>
  <c r="AO27" i="5" a="1"/>
  <c r="AO27" i="5" s="1"/>
  <c r="AP27" i="5" a="1"/>
  <c r="AP27" i="5"/>
  <c r="AK28" i="5" a="1"/>
  <c r="AK28" i="5" s="1"/>
  <c r="AL28" i="5" a="1"/>
  <c r="AL28" i="5" s="1"/>
  <c r="AM28" i="5" a="1"/>
  <c r="AM28" i="5" s="1"/>
  <c r="AN28" i="5" a="1"/>
  <c r="AN28" i="5" s="1"/>
  <c r="AO28" i="5" a="1"/>
  <c r="AO28" i="5"/>
  <c r="AP28" i="5" a="1"/>
  <c r="AP28" i="5"/>
  <c r="AK29" i="5" a="1"/>
  <c r="AK29" i="5" s="1"/>
  <c r="AL29" i="5" a="1"/>
  <c r="AL29" i="5" s="1"/>
  <c r="AM29" i="5" a="1"/>
  <c r="AM29" i="5" s="1"/>
  <c r="AN29" i="5" a="1"/>
  <c r="AN29" i="5" s="1"/>
  <c r="AO29" i="5" a="1"/>
  <c r="AO29" i="5" s="1"/>
  <c r="AP29" i="5" a="1"/>
  <c r="AP29" i="5" s="1"/>
  <c r="AK30" i="5" a="1"/>
  <c r="AK30" i="5" s="1"/>
  <c r="AL30" i="5" a="1"/>
  <c r="AL30" i="5" s="1"/>
  <c r="AM30" i="5" a="1"/>
  <c r="AM30" i="5" s="1"/>
  <c r="AN30" i="5" a="1"/>
  <c r="AN30" i="5" s="1"/>
  <c r="AO30" i="5" a="1"/>
  <c r="AO30" i="5" s="1"/>
  <c r="AP30" i="5" a="1"/>
  <c r="AP30" i="5"/>
  <c r="AK31" i="5" a="1"/>
  <c r="AK31" i="5" s="1"/>
  <c r="AL31" i="5" a="1"/>
  <c r="AL31" i="5" s="1"/>
  <c r="AM31" i="5" a="1"/>
  <c r="AM31" i="5" s="1"/>
  <c r="AN31" i="5" a="1"/>
  <c r="AN31" i="5"/>
  <c r="AO31" i="5" a="1"/>
  <c r="AO31" i="5"/>
  <c r="AP31" i="5" a="1"/>
  <c r="AP31" i="5" s="1"/>
  <c r="AK32" i="5" a="1"/>
  <c r="AK32" i="5" s="1"/>
  <c r="AL32" i="5" a="1"/>
  <c r="AL32" i="5" s="1"/>
  <c r="AM32" i="5" a="1"/>
  <c r="AM32" i="5" s="1"/>
  <c r="AN32" i="5" a="1"/>
  <c r="AN32" i="5" s="1"/>
  <c r="AO32" i="5" a="1"/>
  <c r="AO32" i="5"/>
  <c r="AP32" i="5" a="1"/>
  <c r="AP32" i="5"/>
  <c r="AK33" i="5" a="1"/>
  <c r="AK33" i="5" s="1"/>
  <c r="AL33" i="5" a="1"/>
  <c r="AL33" i="5" s="1"/>
  <c r="AM33" i="5" a="1"/>
  <c r="AM33" i="5" s="1"/>
  <c r="AN33" i="5" a="1"/>
  <c r="AN33" i="5" s="1"/>
  <c r="AO33" i="5" a="1"/>
  <c r="AO33" i="5" s="1"/>
  <c r="AP33" i="5" a="1"/>
  <c r="AP33" i="5" s="1"/>
  <c r="AK34" i="5" a="1"/>
  <c r="AK34" i="5" s="1"/>
  <c r="AL34" i="5" a="1"/>
  <c r="AL34" i="5" s="1"/>
  <c r="AM34" i="5" a="1"/>
  <c r="AM34" i="5" s="1"/>
  <c r="AN34" i="5" a="1"/>
  <c r="AN34" i="5" s="1"/>
  <c r="AO34" i="5" a="1"/>
  <c r="AO34" i="5" s="1"/>
  <c r="AP34" i="5" a="1"/>
  <c r="AP34" i="5"/>
  <c r="AK35" i="5" a="1"/>
  <c r="AK35" i="5" s="1"/>
  <c r="AL35" i="5" a="1"/>
  <c r="AL35" i="5" s="1"/>
  <c r="AM35" i="5" a="1"/>
  <c r="AM35" i="5" s="1"/>
  <c r="AN35" i="5" a="1"/>
  <c r="AN35" i="5"/>
  <c r="AO35" i="5" a="1"/>
  <c r="AO35" i="5"/>
  <c r="AP35" i="5" a="1"/>
  <c r="AP35" i="5"/>
  <c r="AK36" i="5" a="1"/>
  <c r="AK36" i="5" s="1"/>
  <c r="AL36" i="5" a="1"/>
  <c r="AL36" i="5" s="1"/>
  <c r="AM36" i="5" a="1"/>
  <c r="AM36" i="5" s="1"/>
  <c r="AN36" i="5" a="1"/>
  <c r="AN36" i="5" s="1"/>
  <c r="AO36" i="5" a="1"/>
  <c r="AO36" i="5"/>
  <c r="AP36" i="5" a="1"/>
  <c r="AP36" i="5"/>
  <c r="AK37" i="5" a="1"/>
  <c r="AK37" i="5" s="1"/>
  <c r="AL37" i="5" a="1"/>
  <c r="AL37" i="5" s="1"/>
  <c r="AM37" i="5" a="1"/>
  <c r="AM37" i="5" s="1"/>
  <c r="AN37" i="5" a="1"/>
  <c r="AN37" i="5" s="1"/>
  <c r="AO37" i="5" a="1"/>
  <c r="AO37" i="5" s="1"/>
  <c r="AP37" i="5" a="1"/>
  <c r="AP37" i="5" s="1"/>
  <c r="AK38" i="5" a="1"/>
  <c r="AK38" i="5" s="1"/>
  <c r="AL38" i="5" a="1"/>
  <c r="AL38" i="5" s="1"/>
  <c r="AM38" i="5" a="1"/>
  <c r="AM38" i="5" s="1"/>
  <c r="AN38" i="5" a="1"/>
  <c r="AN38" i="5" s="1"/>
  <c r="AO38" i="5" a="1"/>
  <c r="AO38" i="5" s="1"/>
  <c r="AP38" i="5" a="1"/>
  <c r="AP38" i="5"/>
  <c r="AK39" i="5" a="1"/>
  <c r="AK39" i="5" s="1"/>
  <c r="AL39" i="5" a="1"/>
  <c r="AL39" i="5" s="1"/>
  <c r="AM39" i="5" a="1"/>
  <c r="AM39" i="5" s="1"/>
  <c r="AN39" i="5" a="1"/>
  <c r="AN39" i="5"/>
  <c r="AO39" i="5" a="1"/>
  <c r="AO39" i="5"/>
  <c r="AP39" i="5" a="1"/>
  <c r="AP39" i="5"/>
  <c r="AK40" i="5" a="1"/>
  <c r="AK40" i="5" s="1"/>
  <c r="AL40" i="5" a="1"/>
  <c r="AL40" i="5" s="1"/>
  <c r="AM40" i="5" a="1"/>
  <c r="AM40" i="5" s="1"/>
  <c r="AN40" i="5" a="1"/>
  <c r="AN40" i="5" s="1"/>
  <c r="AO40" i="5" a="1"/>
  <c r="AO40" i="5"/>
  <c r="AP40" i="5" a="1"/>
  <c r="AP40" i="5"/>
  <c r="AK41" i="5" a="1"/>
  <c r="AK41" i="5" s="1"/>
  <c r="AL41" i="5" a="1"/>
  <c r="AL41" i="5" s="1"/>
  <c r="AM41" i="5" a="1"/>
  <c r="AM41" i="5" s="1"/>
  <c r="AN41" i="5" a="1"/>
  <c r="AN41" i="5" s="1"/>
  <c r="AO41" i="5" a="1"/>
  <c r="AO41" i="5" s="1"/>
  <c r="AP41" i="5" a="1"/>
  <c r="AP41" i="5" s="1"/>
  <c r="AK42" i="5" a="1"/>
  <c r="AK42" i="5" s="1"/>
  <c r="AL42" i="5" a="1"/>
  <c r="AL42" i="5" s="1"/>
  <c r="AM42" i="5" a="1"/>
  <c r="AM42" i="5" s="1"/>
  <c r="AN42" i="5" a="1"/>
  <c r="AN42" i="5" s="1"/>
  <c r="AO42" i="5" a="1"/>
  <c r="AO42" i="5" s="1"/>
  <c r="AP42" i="5" a="1"/>
  <c r="AP42" i="5"/>
  <c r="AK43" i="5" a="1"/>
  <c r="AK43" i="5" s="1"/>
  <c r="AL43" i="5" a="1"/>
  <c r="AL43" i="5" s="1"/>
  <c r="AM43" i="5" a="1"/>
  <c r="AM43" i="5" s="1"/>
  <c r="AN43" i="5" a="1"/>
  <c r="AN43" i="5"/>
  <c r="AO43" i="5" a="1"/>
  <c r="AO43" i="5"/>
  <c r="AP43" i="5" a="1"/>
  <c r="AP43" i="5"/>
  <c r="AK44" i="5" a="1"/>
  <c r="AK44" i="5" s="1"/>
  <c r="AL44" i="5" a="1"/>
  <c r="AL44" i="5" s="1"/>
  <c r="AM44" i="5" a="1"/>
  <c r="AM44" i="5" s="1"/>
  <c r="AN44" i="5" a="1"/>
  <c r="AN44" i="5" s="1"/>
  <c r="AO44" i="5" a="1"/>
  <c r="AO44" i="5"/>
  <c r="AP44" i="5" a="1"/>
  <c r="AP44" i="5"/>
  <c r="AK45" i="5" a="1"/>
  <c r="AK45" i="5" s="1"/>
  <c r="AL45" i="5" a="1"/>
  <c r="AL45" i="5" s="1"/>
  <c r="AM45" i="5" a="1"/>
  <c r="AM45" i="5" s="1"/>
  <c r="AN45" i="5" a="1"/>
  <c r="AN45" i="5" s="1"/>
  <c r="AO45" i="5" a="1"/>
  <c r="AO45" i="5" s="1"/>
  <c r="AP45" i="5" a="1"/>
  <c r="AP45" i="5" s="1"/>
  <c r="AK46" i="5" a="1"/>
  <c r="AK46" i="5" s="1"/>
  <c r="AL46" i="5" a="1"/>
  <c r="AL46" i="5" s="1"/>
  <c r="AM46" i="5" a="1"/>
  <c r="AM46" i="5" s="1"/>
  <c r="AN46" i="5" a="1"/>
  <c r="AN46" i="5" s="1"/>
  <c r="AO46" i="5" a="1"/>
  <c r="AO46" i="5" s="1"/>
  <c r="AP46" i="5" a="1"/>
  <c r="AP46" i="5"/>
  <c r="AK47" i="5" a="1"/>
  <c r="AK47" i="5" s="1"/>
  <c r="AL47" i="5" a="1"/>
  <c r="AL47" i="5" s="1"/>
  <c r="AM47" i="5" a="1"/>
  <c r="AM47" i="5" s="1"/>
  <c r="AN47" i="5" a="1"/>
  <c r="AN47" i="5"/>
  <c r="AO47" i="5" a="1"/>
  <c r="AO47" i="5"/>
  <c r="AP47" i="5" a="1"/>
  <c r="AP47" i="5"/>
  <c r="AK48" i="5" a="1"/>
  <c r="AK48" i="5" s="1"/>
  <c r="AL48" i="5" a="1"/>
  <c r="AL48" i="5" s="1"/>
  <c r="AM48" i="5" a="1"/>
  <c r="AM48" i="5" s="1"/>
  <c r="AN48" i="5" a="1"/>
  <c r="AN48" i="5" s="1"/>
  <c r="AO48" i="5" a="1"/>
  <c r="AO48" i="5"/>
  <c r="AP48" i="5" a="1"/>
  <c r="AP48" i="5"/>
  <c r="AK49" i="5" a="1"/>
  <c r="AK49" i="5" s="1"/>
  <c r="AL49" i="5" a="1"/>
  <c r="AL49" i="5" s="1"/>
  <c r="AM49" i="5" a="1"/>
  <c r="AM49" i="5" s="1"/>
  <c r="AN49" i="5" a="1"/>
  <c r="AN49" i="5" s="1"/>
  <c r="AO49" i="5" a="1"/>
  <c r="AO49" i="5" s="1"/>
  <c r="AP49" i="5" a="1"/>
  <c r="AP49" i="5" s="1"/>
  <c r="AK50" i="5" a="1"/>
  <c r="AK50" i="5" s="1"/>
  <c r="AL50" i="5" a="1"/>
  <c r="AL50" i="5" s="1"/>
  <c r="AM50" i="5" a="1"/>
  <c r="AM50" i="5" s="1"/>
  <c r="AN50" i="5" a="1"/>
  <c r="AN50" i="5" s="1"/>
  <c r="AO50" i="5" a="1"/>
  <c r="AO50" i="5" s="1"/>
  <c r="AP50" i="5" a="1"/>
  <c r="AP50" i="5"/>
  <c r="AK51" i="5" a="1"/>
  <c r="AK51" i="5" s="1"/>
  <c r="AL51" i="5" a="1"/>
  <c r="AL51" i="5" s="1"/>
  <c r="AM51" i="5" a="1"/>
  <c r="AM51" i="5" s="1"/>
  <c r="AN51" i="5" a="1"/>
  <c r="AN51" i="5"/>
  <c r="AO51" i="5" a="1"/>
  <c r="AO51" i="5"/>
  <c r="AP51" i="5" a="1"/>
  <c r="AP51" i="5"/>
  <c r="AK52" i="5" a="1"/>
  <c r="AK52" i="5" s="1"/>
  <c r="AL52" i="5" a="1"/>
  <c r="AL52" i="5" s="1"/>
  <c r="AM52" i="5" a="1"/>
  <c r="AM52" i="5" s="1"/>
  <c r="AN52" i="5" a="1"/>
  <c r="AN52" i="5" s="1"/>
  <c r="AO52" i="5" a="1"/>
  <c r="AO52" i="5"/>
  <c r="AP52" i="5" a="1"/>
  <c r="AP52" i="5"/>
  <c r="AK53" i="5" a="1"/>
  <c r="AK53" i="5" s="1"/>
  <c r="AL53" i="5" a="1"/>
  <c r="AL53" i="5" s="1"/>
  <c r="AM53" i="5" a="1"/>
  <c r="AM53" i="5" s="1"/>
  <c r="AN53" i="5" a="1"/>
  <c r="AN53" i="5" s="1"/>
  <c r="AO53" i="5" a="1"/>
  <c r="AO53" i="5" s="1"/>
  <c r="AP53" i="5" a="1"/>
  <c r="AP53" i="5" s="1"/>
  <c r="AK54" i="5" a="1"/>
  <c r="AK54" i="5" s="1"/>
  <c r="AL54" i="5" a="1"/>
  <c r="AL54" i="5" s="1"/>
  <c r="AM54" i="5" a="1"/>
  <c r="AM54" i="5" s="1"/>
  <c r="AN54" i="5" a="1"/>
  <c r="AN54" i="5" s="1"/>
  <c r="AO54" i="5" a="1"/>
  <c r="AO54" i="5" s="1"/>
  <c r="AP54" i="5" a="1"/>
  <c r="AP54" i="5"/>
  <c r="AK55" i="5" a="1"/>
  <c r="AK55" i="5" s="1"/>
  <c r="AL55" i="5" a="1"/>
  <c r="AL55" i="5" s="1"/>
  <c r="AM55" i="5" a="1"/>
  <c r="AM55" i="5" s="1"/>
  <c r="AN55" i="5" a="1"/>
  <c r="AN55" i="5"/>
  <c r="AO55" i="5" a="1"/>
  <c r="AO55" i="5"/>
  <c r="AP55" i="5" a="1"/>
  <c r="AP55" i="5"/>
  <c r="AK56" i="5" a="1"/>
  <c r="AK56" i="5" s="1"/>
  <c r="AL56" i="5" a="1"/>
  <c r="AL56" i="5" s="1"/>
  <c r="AM56" i="5" a="1"/>
  <c r="AM56" i="5" s="1"/>
  <c r="AN56" i="5" a="1"/>
  <c r="AN56" i="5" s="1"/>
  <c r="AO56" i="5" a="1"/>
  <c r="AO56" i="5"/>
  <c r="AP56" i="5" a="1"/>
  <c r="AP56" i="5"/>
  <c r="AK57" i="5" a="1"/>
  <c r="AK57" i="5" s="1"/>
  <c r="AL57" i="5" a="1"/>
  <c r="AL57" i="5" s="1"/>
  <c r="AM57" i="5" a="1"/>
  <c r="AM57" i="5" s="1"/>
  <c r="AN57" i="5" a="1"/>
  <c r="AN57" i="5" s="1"/>
  <c r="AO57" i="5" a="1"/>
  <c r="AO57" i="5" s="1"/>
  <c r="AP57" i="5" a="1"/>
  <c r="AP57" i="5" s="1"/>
  <c r="AK58" i="5" a="1"/>
  <c r="AK58" i="5" s="1"/>
  <c r="AL58" i="5" a="1"/>
  <c r="AL58" i="5" s="1"/>
  <c r="AM58" i="5" a="1"/>
  <c r="AM58" i="5" s="1"/>
  <c r="AN58" i="5" a="1"/>
  <c r="AN58" i="5" s="1"/>
  <c r="AO58" i="5" a="1"/>
  <c r="AO58" i="5" s="1"/>
  <c r="AP58" i="5" a="1"/>
  <c r="AP58" i="5"/>
  <c r="AK59" i="5" a="1"/>
  <c r="AK59" i="5" s="1"/>
  <c r="AL59" i="5" a="1"/>
  <c r="AL59" i="5" s="1"/>
  <c r="AM59" i="5" a="1"/>
  <c r="AM59" i="5" s="1"/>
  <c r="AN59" i="5" a="1"/>
  <c r="AN59" i="5"/>
  <c r="AO59" i="5" a="1"/>
  <c r="AO59" i="5" s="1"/>
  <c r="AP59" i="5" a="1"/>
  <c r="AP59" i="5" s="1"/>
  <c r="AK60" i="5" a="1"/>
  <c r="AK60" i="5" s="1"/>
  <c r="AL60" i="5" a="1"/>
  <c r="AL60" i="5" s="1"/>
  <c r="AM60" i="5" a="1"/>
  <c r="AM60" i="5" s="1"/>
  <c r="AN60" i="5" a="1"/>
  <c r="AN60" i="5" s="1"/>
  <c r="AO60" i="5" a="1"/>
  <c r="AO60" i="5"/>
  <c r="AP60" i="5" a="1"/>
  <c r="AP60" i="5"/>
  <c r="AK61" i="5" a="1"/>
  <c r="AK61" i="5" s="1"/>
  <c r="AL61" i="5" a="1"/>
  <c r="AL61" i="5" s="1"/>
  <c r="AM61" i="5" a="1"/>
  <c r="AM61" i="5" s="1"/>
  <c r="AN61" i="5" a="1"/>
  <c r="AN61" i="5" s="1"/>
  <c r="AO61" i="5" a="1"/>
  <c r="AO61" i="5" s="1"/>
  <c r="AP61" i="5" a="1"/>
  <c r="AP61" i="5" s="1"/>
  <c r="AK62" i="5" a="1"/>
  <c r="AK62" i="5" s="1"/>
  <c r="AL62" i="5" a="1"/>
  <c r="AL62" i="5" s="1"/>
  <c r="AM62" i="5" a="1"/>
  <c r="AM62" i="5" s="1"/>
  <c r="AN62" i="5" a="1"/>
  <c r="AN62" i="5" s="1"/>
  <c r="AO62" i="5" a="1"/>
  <c r="AO62" i="5" s="1"/>
  <c r="AP62" i="5" a="1"/>
  <c r="AP62" i="5"/>
  <c r="AK63" i="5" a="1"/>
  <c r="AK63" i="5" s="1"/>
  <c r="AL63" i="5" a="1"/>
  <c r="AL63" i="5" s="1"/>
  <c r="AM63" i="5" a="1"/>
  <c r="AM63" i="5"/>
  <c r="AN63" i="5" a="1"/>
  <c r="AN63" i="5"/>
  <c r="AO63" i="5" a="1"/>
  <c r="AO63" i="5" s="1"/>
  <c r="AP63" i="5" a="1"/>
  <c r="AP63" i="5" s="1"/>
  <c r="AK64" i="5" a="1"/>
  <c r="AK64" i="5" s="1"/>
  <c r="AL64" i="5" a="1"/>
  <c r="AL64" i="5" s="1"/>
  <c r="AM64" i="5" a="1"/>
  <c r="AM64" i="5" s="1"/>
  <c r="AN64" i="5" a="1"/>
  <c r="AN64" i="5"/>
  <c r="AO64" i="5" a="1"/>
  <c r="AO64" i="5"/>
  <c r="AP64" i="5" a="1"/>
  <c r="AP64" i="5" s="1"/>
  <c r="AK65" i="5" a="1"/>
  <c r="AK65" i="5" s="1"/>
  <c r="AL65" i="5" a="1"/>
  <c r="AL65" i="5" s="1"/>
  <c r="AM65" i="5" a="1"/>
  <c r="AM65" i="5"/>
  <c r="AN65" i="5" a="1"/>
  <c r="AN65" i="5" s="1"/>
  <c r="AO65" i="5" a="1"/>
  <c r="AO65" i="5"/>
  <c r="AP65" i="5" a="1"/>
  <c r="AP65" i="5" s="1"/>
  <c r="AK66" i="5" a="1"/>
  <c r="AK66" i="5" s="1"/>
  <c r="AL66" i="5" a="1"/>
  <c r="AL66" i="5" s="1"/>
  <c r="AM66" i="5" a="1"/>
  <c r="AM66" i="5" s="1"/>
  <c r="AN66" i="5" a="1"/>
  <c r="AN66" i="5"/>
  <c r="AO66" i="5" a="1"/>
  <c r="AO66" i="5" s="1"/>
  <c r="AP66" i="5" a="1"/>
  <c r="AP66" i="5"/>
  <c r="AK67" i="5" a="1"/>
  <c r="AK67" i="5" s="1"/>
  <c r="AL67" i="5" a="1"/>
  <c r="AL67" i="5"/>
  <c r="AM67" i="5" a="1"/>
  <c r="AM67" i="5"/>
  <c r="AN67" i="5" a="1"/>
  <c r="AN67" i="5" s="1"/>
  <c r="AO67" i="5" a="1"/>
  <c r="AO67" i="5" s="1"/>
  <c r="AP67" i="5" a="1"/>
  <c r="AP67" i="5"/>
  <c r="AK68" i="5" a="1"/>
  <c r="AK68" i="5" s="1"/>
  <c r="AL68" i="5" a="1"/>
  <c r="AL68" i="5" s="1"/>
  <c r="AM68" i="5" a="1"/>
  <c r="AM68" i="5" s="1"/>
  <c r="AN68" i="5" a="1"/>
  <c r="AN68" i="5" s="1"/>
  <c r="AO68" i="5" a="1"/>
  <c r="AO68" i="5"/>
  <c r="AP68" i="5" a="1"/>
  <c r="AP68" i="5" s="1"/>
  <c r="AK69" i="5" a="1"/>
  <c r="AK69" i="5" s="1"/>
  <c r="AL69" i="5" a="1"/>
  <c r="AL69" i="5"/>
  <c r="AM69" i="5" a="1"/>
  <c r="AM69" i="5"/>
  <c r="AN69" i="5" a="1"/>
  <c r="AN69" i="5"/>
  <c r="AO69" i="5" a="1"/>
  <c r="AO69" i="5" s="1"/>
  <c r="AP69" i="5" a="1"/>
  <c r="AP69" i="5" s="1"/>
  <c r="AK70" i="5" a="1"/>
  <c r="AK70" i="5" s="1"/>
  <c r="AL70" i="5" a="1"/>
  <c r="AL70" i="5"/>
  <c r="AM70" i="5" a="1"/>
  <c r="AM70" i="5" s="1"/>
  <c r="AN70" i="5" a="1"/>
  <c r="AN70" i="5"/>
  <c r="AO70" i="5" a="1"/>
  <c r="AO70" i="5" s="1"/>
  <c r="AP70" i="5" a="1"/>
  <c r="AP70" i="5"/>
  <c r="AK71" i="5" a="1"/>
  <c r="AK71" i="5" s="1"/>
  <c r="AL71" i="5" a="1"/>
  <c r="AL71" i="5"/>
  <c r="AM71" i="5" a="1"/>
  <c r="AM71" i="5"/>
  <c r="AN71" i="5" a="1"/>
  <c r="AN71" i="5"/>
  <c r="AO71" i="5" a="1"/>
  <c r="AO71" i="5" s="1"/>
  <c r="AP71" i="5" a="1"/>
  <c r="AP71" i="5" s="1"/>
  <c r="AK72" i="5" a="1"/>
  <c r="AK72" i="5" s="1"/>
  <c r="AL72" i="5" a="1"/>
  <c r="AL72" i="5" s="1"/>
  <c r="AM72" i="5" a="1"/>
  <c r="AM72" i="5"/>
  <c r="AN72" i="5" a="1"/>
  <c r="AN72" i="5" s="1"/>
  <c r="AO72" i="5" a="1"/>
  <c r="AO72" i="5" s="1"/>
  <c r="AP72" i="5" a="1"/>
  <c r="AP72" i="5" s="1"/>
  <c r="AK73" i="5" a="1"/>
  <c r="AK73" i="5" s="1"/>
  <c r="AL73" i="5" a="1"/>
  <c r="AL73" i="5" s="1"/>
  <c r="AM73" i="5" a="1"/>
  <c r="AM73" i="5"/>
  <c r="AN73" i="5" a="1"/>
  <c r="AN73" i="5"/>
  <c r="AO73" i="5" a="1"/>
  <c r="AO73" i="5"/>
  <c r="AP73" i="5" a="1"/>
  <c r="AP73" i="5" s="1"/>
  <c r="AK74" i="5" a="1"/>
  <c r="AK74" i="5" s="1"/>
  <c r="AL74" i="5" a="1"/>
  <c r="AL74" i="5"/>
  <c r="AM74" i="5" a="1"/>
  <c r="AM74" i="5" s="1"/>
  <c r="AN74" i="5" a="1"/>
  <c r="AN74" i="5"/>
  <c r="AO74" i="5" a="1"/>
  <c r="AO74" i="5" s="1"/>
  <c r="AP74" i="5" a="1"/>
  <c r="AP74" i="5" s="1"/>
  <c r="AK75" i="5" a="1"/>
  <c r="AK75" i="5" s="1"/>
  <c r="AL75" i="5" a="1"/>
  <c r="AL75" i="5" s="1"/>
  <c r="AM75" i="5" a="1"/>
  <c r="AM75" i="5" s="1"/>
  <c r="AN75" i="5" a="1"/>
  <c r="AN75" i="5"/>
  <c r="AO75" i="5" a="1"/>
  <c r="AO75" i="5"/>
  <c r="AP75" i="5" a="1"/>
  <c r="AP75" i="5" s="1"/>
  <c r="AK76" i="5" a="1"/>
  <c r="AK76" i="5" s="1"/>
  <c r="AL76" i="5" a="1"/>
  <c r="AL76" i="5" s="1"/>
  <c r="AM76" i="5" a="1"/>
  <c r="AM76" i="5"/>
  <c r="AN76" i="5" a="1"/>
  <c r="AN76" i="5" s="1"/>
  <c r="AO76" i="5" a="1"/>
  <c r="AO76" i="5"/>
  <c r="AP76" i="5" a="1"/>
  <c r="AP76" i="5" s="1"/>
  <c r="AK77" i="5" a="1"/>
  <c r="AK77" i="5" s="1"/>
  <c r="AL77" i="5" a="1"/>
  <c r="AL77" i="5" s="1"/>
  <c r="AM77" i="5" a="1"/>
  <c r="AM77" i="5" s="1"/>
  <c r="AN77" i="5" a="1"/>
  <c r="AN77" i="5" s="1"/>
  <c r="AO77" i="5" a="1"/>
  <c r="AO77" i="5"/>
  <c r="AP77" i="5" a="1"/>
  <c r="AP77" i="5"/>
  <c r="AK78" i="5" a="1"/>
  <c r="AK78" i="5" s="1"/>
  <c r="AL78" i="5" a="1"/>
  <c r="AL78" i="5" s="1"/>
  <c r="AM78" i="5" a="1"/>
  <c r="AM78" i="5" s="1"/>
  <c r="AN78" i="5" a="1"/>
  <c r="AN78" i="5"/>
  <c r="AO78" i="5" a="1"/>
  <c r="AO78" i="5" s="1"/>
  <c r="AP78" i="5" a="1"/>
  <c r="AP78" i="5"/>
  <c r="AK79" i="5" a="1"/>
  <c r="AK79" i="5" s="1"/>
  <c r="AL79" i="5" a="1"/>
  <c r="AL79" i="5" s="1"/>
  <c r="AM79" i="5" a="1"/>
  <c r="AM79" i="5" s="1"/>
  <c r="AN79" i="5" a="1"/>
  <c r="AN79" i="5" s="1"/>
  <c r="AO79" i="5" a="1"/>
  <c r="AO79" i="5" s="1"/>
  <c r="AP79" i="5" a="1"/>
  <c r="AP79" i="5"/>
  <c r="AK80" i="5" a="1"/>
  <c r="AK80" i="5" s="1"/>
  <c r="AL80" i="5" a="1"/>
  <c r="AL80" i="5" s="1"/>
  <c r="AM80" i="5" a="1"/>
  <c r="AM80" i="5" s="1"/>
  <c r="AN80" i="5" a="1"/>
  <c r="AN80" i="5" s="1"/>
  <c r="AO80" i="5" a="1"/>
  <c r="AO80" i="5"/>
  <c r="AP80" i="5" a="1"/>
  <c r="AP80" i="5" s="1"/>
  <c r="AK81" i="5" a="1"/>
  <c r="AK81" i="5" s="1"/>
  <c r="AL81" i="5" a="1"/>
  <c r="AL81" i="5" s="1"/>
  <c r="AM81" i="5" a="1"/>
  <c r="AM81" i="5"/>
  <c r="AN81" i="5" a="1"/>
  <c r="AN81" i="5"/>
  <c r="AO81" i="5" a="1"/>
  <c r="AO81" i="5" s="1"/>
  <c r="AP81" i="5" a="1"/>
  <c r="AP81" i="5" s="1"/>
  <c r="AK82" i="5" a="1"/>
  <c r="AK82" i="5" s="1"/>
  <c r="AL82" i="5" a="1"/>
  <c r="AL82" i="5"/>
  <c r="AM82" i="5" a="1"/>
  <c r="AM82" i="5"/>
  <c r="AN82" i="5" a="1"/>
  <c r="AN82" i="5" s="1"/>
  <c r="AO82" i="5" a="1"/>
  <c r="AO82" i="5" s="1"/>
  <c r="AP82" i="5" a="1"/>
  <c r="AP82" i="5"/>
  <c r="AK83" i="5" a="1"/>
  <c r="AK83" i="5" s="1"/>
  <c r="AL83" i="5" a="1"/>
  <c r="AL83" i="5"/>
  <c r="AM83" i="5" a="1"/>
  <c r="AM83" i="5" s="1"/>
  <c r="AN83" i="5" a="1"/>
  <c r="AN83" i="5" s="1"/>
  <c r="AO83" i="5" a="1"/>
  <c r="AO83" i="5" s="1"/>
  <c r="AP83" i="5" a="1"/>
  <c r="AP83" i="5" s="1"/>
  <c r="AK84" i="5" a="1"/>
  <c r="AK84" i="5" s="1"/>
  <c r="AL84" i="5" a="1"/>
  <c r="AL84" i="5" s="1"/>
  <c r="AM84" i="5" a="1"/>
  <c r="AM84" i="5"/>
  <c r="AN84" i="5" a="1"/>
  <c r="AN84" i="5" s="1"/>
  <c r="AO84" i="5" a="1"/>
  <c r="AO84" i="5"/>
  <c r="AP84" i="5" a="1"/>
  <c r="AP84" i="5" s="1"/>
  <c r="AK85" i="5" a="1"/>
  <c r="AK85" i="5" s="1"/>
  <c r="AL85" i="5" a="1"/>
  <c r="AL85" i="5" s="1"/>
  <c r="AM85" i="5" a="1"/>
  <c r="AM85" i="5"/>
  <c r="AN85" i="5" a="1"/>
  <c r="AN85" i="5" s="1"/>
  <c r="AO85" i="5" a="1"/>
  <c r="AO85" i="5"/>
  <c r="AP85" i="5" a="1"/>
  <c r="AP85" i="5" s="1"/>
  <c r="AK86" i="5" a="1"/>
  <c r="AK86" i="5" s="1"/>
  <c r="AL86" i="5" a="1"/>
  <c r="AL86" i="5"/>
  <c r="AM86" i="5" a="1"/>
  <c r="AM86" i="5" s="1"/>
  <c r="AN86" i="5" a="1"/>
  <c r="AN86" i="5"/>
  <c r="AO86" i="5" a="1"/>
  <c r="AO86" i="5" s="1"/>
  <c r="AP86" i="5" a="1"/>
  <c r="AP86" i="5"/>
  <c r="AK87" i="5" a="1"/>
  <c r="AK87" i="5" s="1"/>
  <c r="AL87" i="5" a="1"/>
  <c r="AL87" i="5" s="1"/>
  <c r="AM87" i="5" a="1"/>
  <c r="AM87" i="5" s="1"/>
  <c r="AN87" i="5" a="1"/>
  <c r="AN87" i="5"/>
  <c r="AO87" i="5" a="1"/>
  <c r="AO87" i="5"/>
  <c r="AP87" i="5" a="1"/>
  <c r="AP87" i="5"/>
  <c r="AK88" i="5" a="1"/>
  <c r="AK88" i="5" s="1"/>
  <c r="AL88" i="5" a="1"/>
  <c r="AL88" i="5"/>
  <c r="AM88" i="5" a="1"/>
  <c r="AM88" i="5"/>
  <c r="AN88" i="5" a="1"/>
  <c r="AN88" i="5" s="1"/>
  <c r="AO88" i="5" a="1"/>
  <c r="AO88" i="5"/>
  <c r="AP88" i="5" a="1"/>
  <c r="AP88" i="5" s="1"/>
  <c r="AK89" i="5" a="1"/>
  <c r="AK89" i="5" s="1"/>
  <c r="AL89" i="5" a="1"/>
  <c r="AL89" i="5" s="1"/>
  <c r="AM89" i="5" a="1"/>
  <c r="AM89" i="5" s="1"/>
  <c r="AN89" i="5" a="1"/>
  <c r="AN89" i="5" s="1"/>
  <c r="AO89" i="5" a="1"/>
  <c r="AO89" i="5"/>
  <c r="AP89" i="5" a="1"/>
  <c r="AP89" i="5" s="1"/>
  <c r="AK90" i="5" a="1"/>
  <c r="AK90" i="5" s="1"/>
  <c r="AL90" i="5" a="1"/>
  <c r="AL90" i="5" s="1"/>
  <c r="AM90" i="5" a="1"/>
  <c r="AM90" i="5" s="1"/>
  <c r="AN90" i="5" a="1"/>
  <c r="AN90" i="5"/>
  <c r="AO90" i="5" a="1"/>
  <c r="AO90" i="5" s="1"/>
  <c r="AP90" i="5" a="1"/>
  <c r="AP90" i="5"/>
  <c r="AK91" i="5" a="1"/>
  <c r="AK91" i="5" s="1"/>
  <c r="AL91" i="5" a="1"/>
  <c r="AL91" i="5"/>
  <c r="AM91" i="5" a="1"/>
  <c r="AM91" i="5" s="1"/>
  <c r="AN91" i="5" a="1"/>
  <c r="AN91" i="5" s="1"/>
  <c r="AO91" i="5" a="1"/>
  <c r="AO91" i="5" s="1"/>
  <c r="AP91" i="5" a="1"/>
  <c r="AP91" i="5"/>
  <c r="AK92" i="5" a="1"/>
  <c r="AK92" i="5" s="1"/>
  <c r="AL92" i="5" a="1"/>
  <c r="AL92" i="5" s="1"/>
  <c r="AM92" i="5" a="1"/>
  <c r="AM92" i="5" s="1"/>
  <c r="AN92" i="5" a="1"/>
  <c r="AN92" i="5"/>
  <c r="AO92" i="5" a="1"/>
  <c r="AO92" i="5"/>
  <c r="AP92" i="5" a="1"/>
  <c r="AP92" i="5" s="1"/>
  <c r="AK93" i="5" a="1"/>
  <c r="AK93" i="5" s="1"/>
  <c r="AL93" i="5" a="1"/>
  <c r="AL93" i="5"/>
  <c r="AM93" i="5" a="1"/>
  <c r="AM93" i="5"/>
  <c r="AN93" i="5" a="1"/>
  <c r="AN93" i="5" s="1"/>
  <c r="AO93" i="5" a="1"/>
  <c r="AO93" i="5" s="1"/>
  <c r="AP93" i="5" a="1"/>
  <c r="AP93" i="5" s="1"/>
  <c r="AK94" i="5" a="1"/>
  <c r="AK94" i="5"/>
  <c r="AL94" i="5" a="1"/>
  <c r="AL94" i="5"/>
  <c r="AM94" i="5" a="1"/>
  <c r="AM94" i="5" s="1"/>
  <c r="AN94" i="5" a="1"/>
  <c r="AN94" i="5" s="1"/>
  <c r="AO94" i="5" a="1"/>
  <c r="AO94" i="5"/>
  <c r="AP94" i="5" a="1"/>
  <c r="AP94" i="5" s="1"/>
  <c r="AK95" i="5" a="1"/>
  <c r="AK95" i="5" s="1"/>
  <c r="AL95" i="5" a="1"/>
  <c r="AL95" i="5" s="1"/>
  <c r="AM95" i="5" a="1"/>
  <c r="AM95" i="5"/>
  <c r="AN95" i="5" a="1"/>
  <c r="AN95" i="5"/>
  <c r="AO95" i="5" a="1"/>
  <c r="AO95" i="5" s="1"/>
  <c r="AP95" i="5" a="1"/>
  <c r="AP95" i="5" s="1"/>
  <c r="AK96" i="5" a="1"/>
  <c r="AK96" i="5"/>
  <c r="AL96" i="5" a="1"/>
  <c r="AL96" i="5"/>
  <c r="AM96" i="5" a="1"/>
  <c r="AM96" i="5"/>
  <c r="AN96" i="5" a="1"/>
  <c r="AN96" i="5" s="1"/>
  <c r="AO96" i="5" a="1"/>
  <c r="AO96" i="5" s="1"/>
  <c r="AP96" i="5" a="1"/>
  <c r="AP96" i="5" s="1"/>
  <c r="AK97" i="5" a="1"/>
  <c r="AK97" i="5" s="1"/>
  <c r="AL97" i="5" a="1"/>
  <c r="AL97" i="5" s="1"/>
  <c r="AM97" i="5" a="1"/>
  <c r="AM97" i="5" s="1"/>
  <c r="AN97" i="5" a="1"/>
  <c r="AN97" i="5"/>
  <c r="AO97" i="5" a="1"/>
  <c r="AO97" i="5"/>
  <c r="AP97" i="5" a="1"/>
  <c r="AP97" i="5" s="1"/>
  <c r="AK98" i="5" a="1"/>
  <c r="AK98" i="5"/>
  <c r="AL98" i="5" a="1"/>
  <c r="AL98" i="5"/>
  <c r="AM98" i="5" a="1"/>
  <c r="AM98" i="5"/>
  <c r="AN98" i="5" a="1"/>
  <c r="AN98" i="5"/>
  <c r="AO98" i="5" a="1"/>
  <c r="AO98" i="5" s="1"/>
  <c r="AP98" i="5" a="1"/>
  <c r="AP98" i="5" s="1"/>
  <c r="AK99" i="5" a="1"/>
  <c r="AK99" i="5" s="1"/>
  <c r="AL99" i="5" a="1"/>
  <c r="AL99" i="5" s="1"/>
  <c r="AM99" i="5" a="1"/>
  <c r="AM99" i="5" s="1"/>
  <c r="AN99" i="5" a="1"/>
  <c r="AN99" i="5" s="1"/>
  <c r="AO99" i="5" a="1"/>
  <c r="AO99" i="5"/>
  <c r="AP99" i="5" a="1"/>
  <c r="AP99" i="5" s="1"/>
  <c r="AK100" i="5" a="1"/>
  <c r="AK100" i="5" s="1"/>
  <c r="AL100" i="5" a="1"/>
  <c r="AL100" i="5"/>
  <c r="AM100" i="5" a="1"/>
  <c r="AM100" i="5"/>
  <c r="AN100" i="5" a="1"/>
  <c r="AN100" i="5"/>
  <c r="AO100" i="5" a="1"/>
  <c r="AO100" i="5"/>
  <c r="AP100" i="5" a="1"/>
  <c r="AP100" i="5" s="1"/>
  <c r="AK101" i="5" a="1"/>
  <c r="AK101" i="5"/>
  <c r="AL101" i="5" a="1"/>
  <c r="AL101" i="5" s="1"/>
  <c r="AM101" i="5" a="1"/>
  <c r="AM101" i="5" s="1"/>
  <c r="AN101" i="5" a="1"/>
  <c r="AN101" i="5" s="1"/>
  <c r="AO101" i="5" a="1"/>
  <c r="AO101" i="5" s="1"/>
  <c r="AP101" i="5" a="1"/>
  <c r="AP101" i="5" s="1"/>
  <c r="AK102" i="5" a="1"/>
  <c r="AK102" i="5" s="1"/>
  <c r="AL102" i="5" a="1"/>
  <c r="AL102" i="5" s="1"/>
  <c r="AM102" i="5" a="1"/>
  <c r="AM102" i="5"/>
  <c r="AN102" i="5" a="1"/>
  <c r="AN102" i="5"/>
  <c r="AO102" i="5" a="1"/>
  <c r="AO102" i="5"/>
  <c r="AP102" i="5" a="1"/>
  <c r="AP102" i="5" s="1"/>
  <c r="AK103" i="5" a="1"/>
  <c r="AK103" i="5"/>
  <c r="AL103" i="5" a="1"/>
  <c r="AL103" i="5"/>
  <c r="AM103" i="5" a="1"/>
  <c r="AM103" i="5" s="1"/>
  <c r="AN103" i="5" a="1"/>
  <c r="AN103" i="5" s="1"/>
  <c r="AO103" i="5" a="1"/>
  <c r="AO103" i="5" s="1"/>
  <c r="AP103" i="5" a="1"/>
  <c r="AP103" i="5" s="1"/>
  <c r="AK104" i="5" a="1"/>
  <c r="AK104" i="5"/>
  <c r="AL104" i="5" a="1"/>
  <c r="AL104" i="5" s="1"/>
  <c r="AM104" i="5" a="1"/>
  <c r="AM104" i="5" s="1"/>
  <c r="AN104" i="5" a="1"/>
  <c r="AN104" i="5"/>
  <c r="AO104" i="5" a="1"/>
  <c r="AO104" i="5"/>
  <c r="AP104" i="5" a="1"/>
  <c r="AP104" i="5" s="1"/>
  <c r="AK105" i="5" a="1"/>
  <c r="AK105" i="5" s="1"/>
  <c r="AL105" i="5" a="1"/>
  <c r="AL105" i="5"/>
  <c r="AM105" i="5" a="1"/>
  <c r="AM105" i="5"/>
  <c r="AN105" i="5" a="1"/>
  <c r="AN105" i="5" s="1"/>
  <c r="AO105" i="5" a="1"/>
  <c r="AO105" i="5" s="1"/>
  <c r="AP105" i="5" a="1"/>
  <c r="AP105" i="5" s="1"/>
  <c r="AK106" i="5" a="1"/>
  <c r="AK106" i="5"/>
  <c r="AL106" i="5" a="1"/>
  <c r="AL106" i="5"/>
  <c r="AM106" i="5" a="1"/>
  <c r="AM106" i="5" s="1"/>
  <c r="AN106" i="5" a="1"/>
  <c r="AN106" i="5" s="1"/>
  <c r="AO106" i="5" a="1"/>
  <c r="AO106" i="5"/>
  <c r="AP106" i="5" a="1"/>
  <c r="AP106" i="5" s="1"/>
  <c r="AK107" i="5" a="1"/>
  <c r="AK107" i="5" s="1"/>
  <c r="AL107" i="5" a="1"/>
  <c r="AL107" i="5" s="1"/>
  <c r="AM107" i="5" a="1"/>
  <c r="AM107" i="5"/>
  <c r="AN107" i="5" a="1"/>
  <c r="AN107" i="5"/>
  <c r="AO107" i="5" a="1"/>
  <c r="AO107" i="5" s="1"/>
  <c r="AP107" i="5" a="1"/>
  <c r="AP107" i="5" s="1"/>
  <c r="AK108" i="5" a="1"/>
  <c r="AK108" i="5"/>
  <c r="AL108" i="5" a="1"/>
  <c r="AL108" i="5"/>
  <c r="AM108" i="5" a="1"/>
  <c r="AM108" i="5"/>
  <c r="AN108" i="5" a="1"/>
  <c r="AN108" i="5" s="1"/>
  <c r="AO108" i="5" a="1"/>
  <c r="AO108" i="5" s="1"/>
  <c r="AP108" i="5" a="1"/>
  <c r="AP108" i="5" s="1"/>
  <c r="AK109" i="5" a="1"/>
  <c r="AK109" i="5" s="1"/>
  <c r="AL109" i="5" a="1"/>
  <c r="AL109" i="5" s="1"/>
  <c r="AM109" i="5" a="1"/>
  <c r="AM109" i="5" s="1"/>
  <c r="AN109" i="5" a="1"/>
  <c r="AN109" i="5"/>
  <c r="AO109" i="5" a="1"/>
  <c r="AO109" i="5"/>
  <c r="AP109" i="5" a="1"/>
  <c r="AP109" i="5" s="1"/>
  <c r="AK110" i="5" a="1"/>
  <c r="AK110" i="5"/>
  <c r="AL110" i="5" a="1"/>
  <c r="AL110" i="5"/>
  <c r="AM110" i="5" a="1"/>
  <c r="AM110" i="5"/>
  <c r="AN110" i="5" a="1"/>
  <c r="AN110" i="5"/>
  <c r="AO110" i="5" a="1"/>
  <c r="AO110" i="5" s="1"/>
  <c r="AP110" i="5" a="1"/>
  <c r="AP110" i="5" s="1"/>
  <c r="AK111" i="5" a="1"/>
  <c r="AK111" i="5" s="1"/>
  <c r="AL111" i="5" a="1"/>
  <c r="AL111" i="5" s="1"/>
  <c r="AM111" i="5" a="1"/>
  <c r="AM111" i="5" s="1"/>
  <c r="AN111" i="5" a="1"/>
  <c r="AN111" i="5" s="1"/>
  <c r="AO111" i="5" a="1"/>
  <c r="AO111" i="5"/>
  <c r="AP111" i="5" a="1"/>
  <c r="AP111" i="5" s="1"/>
  <c r="AK112" i="5" a="1"/>
  <c r="AK112" i="5" s="1"/>
  <c r="AL112" i="5" a="1"/>
  <c r="AL112" i="5"/>
  <c r="AM112" i="5" a="1"/>
  <c r="AM112" i="5"/>
  <c r="AN112" i="5" a="1"/>
  <c r="AN112" i="5"/>
  <c r="AO112" i="5" a="1"/>
  <c r="AO112" i="5"/>
  <c r="AP112" i="5" a="1"/>
  <c r="AP112" i="5" s="1"/>
  <c r="AK113" i="5" a="1"/>
  <c r="AK113" i="5"/>
  <c r="AL113" i="5" a="1"/>
  <c r="AL113" i="5" s="1"/>
  <c r="AM113" i="5" a="1"/>
  <c r="AM113" i="5" s="1"/>
  <c r="AN113" i="5" a="1"/>
  <c r="AN113" i="5" s="1"/>
  <c r="AO113" i="5" a="1"/>
  <c r="AO113" i="5" s="1"/>
  <c r="AP113" i="5" a="1"/>
  <c r="AP113" i="5" s="1"/>
  <c r="AK114" i="5" a="1"/>
  <c r="AK114" i="5" s="1"/>
  <c r="AL114" i="5" a="1"/>
  <c r="AL114" i="5" s="1"/>
  <c r="AM114" i="5" a="1"/>
  <c r="AM114" i="5"/>
  <c r="AN114" i="5" a="1"/>
  <c r="AN114" i="5"/>
  <c r="AO114" i="5" a="1"/>
  <c r="AO114" i="5"/>
  <c r="AP114" i="5" a="1"/>
  <c r="AP114" i="5" s="1"/>
  <c r="AK115" i="5" a="1"/>
  <c r="AK115" i="5"/>
  <c r="AL115" i="5" a="1"/>
  <c r="AL115" i="5"/>
  <c r="AM115" i="5" a="1"/>
  <c r="AM115" i="5" s="1"/>
  <c r="AN115" i="5" a="1"/>
  <c r="AN115" i="5" s="1"/>
  <c r="AO115" i="5" a="1"/>
  <c r="AO115" i="5" s="1"/>
  <c r="AP115" i="5" a="1"/>
  <c r="AP115" i="5" s="1"/>
  <c r="AK116" i="5" a="1"/>
  <c r="AK116" i="5"/>
  <c r="AL116" i="5" a="1"/>
  <c r="AL116" i="5" s="1"/>
  <c r="AM116" i="5" a="1"/>
  <c r="AM116" i="5" s="1"/>
  <c r="AN116" i="5" a="1"/>
  <c r="AN116" i="5"/>
  <c r="AO116" i="5" a="1"/>
  <c r="AO116" i="5"/>
  <c r="AP116" i="5" a="1"/>
  <c r="AP116" i="5" s="1"/>
  <c r="AK117" i="5" a="1"/>
  <c r="AK117" i="5" s="1"/>
  <c r="AL117" i="5" a="1"/>
  <c r="AL117" i="5"/>
  <c r="AM117" i="5" a="1"/>
  <c r="AM117" i="5"/>
  <c r="AN117" i="5" a="1"/>
  <c r="AN117" i="5" s="1"/>
  <c r="AO117" i="5" a="1"/>
  <c r="AO117" i="5" s="1"/>
  <c r="AP117" i="5" a="1"/>
  <c r="AP117" i="5" s="1"/>
  <c r="AK118" i="5" a="1"/>
  <c r="AK118" i="5"/>
  <c r="AL118" i="5" a="1"/>
  <c r="AL118" i="5"/>
  <c r="AM118" i="5" a="1"/>
  <c r="AM118" i="5" s="1"/>
  <c r="AN118" i="5" a="1"/>
  <c r="AN118" i="5" s="1"/>
  <c r="AO118" i="5" a="1"/>
  <c r="AO118" i="5"/>
  <c r="AP118" i="5" a="1"/>
  <c r="AP118" i="5" s="1"/>
  <c r="AK119" i="5" a="1"/>
  <c r="AK119" i="5" s="1"/>
  <c r="AL119" i="5" a="1"/>
  <c r="AL119" i="5" s="1"/>
  <c r="AM119" i="5" a="1"/>
  <c r="AM119" i="5"/>
  <c r="AN119" i="5" a="1"/>
  <c r="AN119" i="5"/>
  <c r="AO119" i="5" a="1"/>
  <c r="AO119" i="5" s="1"/>
  <c r="AP119" i="5" a="1"/>
  <c r="AP119" i="5" s="1"/>
  <c r="AK120" i="5" a="1"/>
  <c r="AK120" i="5"/>
  <c r="AL120" i="5" a="1"/>
  <c r="AL120" i="5"/>
  <c r="AM120" i="5" a="1"/>
  <c r="AM120" i="5"/>
  <c r="AN120" i="5" a="1"/>
  <c r="AN120" i="5" s="1"/>
  <c r="AO120" i="5" a="1"/>
  <c r="AO120" i="5" s="1"/>
  <c r="AP120" i="5" a="1"/>
  <c r="AP120" i="5" s="1"/>
  <c r="AK121" i="5" a="1"/>
  <c r="AK121" i="5" s="1"/>
  <c r="AL121" i="5" a="1"/>
  <c r="AL121" i="5" s="1"/>
  <c r="AM121" i="5" a="1"/>
  <c r="AM121" i="5" s="1"/>
  <c r="AN121" i="5" a="1"/>
  <c r="AN121" i="5"/>
  <c r="AO121" i="5" a="1"/>
  <c r="AO121" i="5"/>
  <c r="AP121" i="5" a="1"/>
  <c r="AP121" i="5" s="1"/>
  <c r="AK122" i="5" a="1"/>
  <c r="AK122" i="5"/>
  <c r="AL122" i="5" a="1"/>
  <c r="AL122" i="5"/>
  <c r="AM122" i="5" a="1"/>
  <c r="AM122" i="5"/>
  <c r="AN122" i="5" a="1"/>
  <c r="AN122" i="5"/>
  <c r="AO122" i="5" a="1"/>
  <c r="AO122" i="5" s="1"/>
  <c r="AP122" i="5" a="1"/>
  <c r="AP122" i="5" s="1"/>
  <c r="AK123" i="5" a="1"/>
  <c r="AK123" i="5" s="1"/>
  <c r="AL123" i="5" a="1"/>
  <c r="AL123" i="5" s="1"/>
  <c r="AM123" i="5" a="1"/>
  <c r="AM123" i="5" s="1"/>
  <c r="AN123" i="5" a="1"/>
  <c r="AN123" i="5" s="1"/>
  <c r="AO123" i="5" a="1"/>
  <c r="AO123" i="5"/>
  <c r="AP123" i="5" a="1"/>
  <c r="AP123" i="5" s="1"/>
  <c r="AK124" i="5" a="1"/>
  <c r="AK124" i="5" s="1"/>
  <c r="AL124" i="5" a="1"/>
  <c r="AL124" i="5"/>
  <c r="AM124" i="5" a="1"/>
  <c r="AM124" i="5"/>
  <c r="AN124" i="5" a="1"/>
  <c r="AN124" i="5"/>
  <c r="AO124" i="5" a="1"/>
  <c r="AO124" i="5"/>
  <c r="AP124" i="5" a="1"/>
  <c r="AP124" i="5" s="1"/>
  <c r="AK125" i="5" a="1"/>
  <c r="AK125" i="5"/>
  <c r="AL125" i="5" a="1"/>
  <c r="AL125" i="5" s="1"/>
  <c r="AM125" i="5" a="1"/>
  <c r="AM125" i="5" s="1"/>
  <c r="AN125" i="5" a="1"/>
  <c r="AN125" i="5" s="1"/>
  <c r="AO125" i="5" a="1"/>
  <c r="AO125" i="5" s="1"/>
  <c r="AP125" i="5" a="1"/>
  <c r="AP125" i="5" s="1"/>
  <c r="AK126" i="5" a="1"/>
  <c r="AK126" i="5" s="1"/>
  <c r="AL126" i="5" a="1"/>
  <c r="AL126" i="5" s="1"/>
  <c r="AM126" i="5" a="1"/>
  <c r="AM126" i="5"/>
  <c r="AN126" i="5" a="1"/>
  <c r="AN126" i="5"/>
  <c r="AO126" i="5" a="1"/>
  <c r="AO126" i="5"/>
  <c r="AP126" i="5" a="1"/>
  <c r="AP126" i="5" s="1"/>
  <c r="AK127" i="5" a="1"/>
  <c r="AK127" i="5"/>
  <c r="AL127" i="5" a="1"/>
  <c r="AL127" i="5"/>
  <c r="AM127" i="5" a="1"/>
  <c r="AM127" i="5" s="1"/>
  <c r="AN127" i="5" a="1"/>
  <c r="AN127" i="5" s="1"/>
  <c r="AO127" i="5" a="1"/>
  <c r="AO127" i="5" s="1"/>
  <c r="AP127" i="5" a="1"/>
  <c r="AP127" i="5" s="1"/>
  <c r="AK128" i="5" a="1"/>
  <c r="AK128" i="5"/>
  <c r="AL128" i="5" a="1"/>
  <c r="AL128" i="5" s="1"/>
  <c r="AM128" i="5" a="1"/>
  <c r="AM128" i="5" s="1"/>
  <c r="AN128" i="5" a="1"/>
  <c r="AN128" i="5"/>
  <c r="AO128" i="5" a="1"/>
  <c r="AO128" i="5"/>
  <c r="AP128" i="5" a="1"/>
  <c r="AP128" i="5" s="1"/>
  <c r="AK129" i="5" a="1"/>
  <c r="AK129" i="5" s="1"/>
  <c r="AL129" i="5" a="1"/>
  <c r="AL129" i="5"/>
  <c r="AM129" i="5" a="1"/>
  <c r="AM129" i="5"/>
  <c r="AN129" i="5" a="1"/>
  <c r="AN129" i="5" s="1"/>
  <c r="AO129" i="5" a="1"/>
  <c r="AO129" i="5" s="1"/>
  <c r="AP129" i="5" a="1"/>
  <c r="AP129" i="5" s="1"/>
  <c r="AK130" i="5" a="1"/>
  <c r="AK130" i="5"/>
  <c r="AL130" i="5" a="1"/>
  <c r="AL130" i="5"/>
  <c r="AM130" i="5" a="1"/>
  <c r="AM130" i="5" s="1"/>
  <c r="AN130" i="5" a="1"/>
  <c r="AN130" i="5"/>
  <c r="AO130" i="5" a="1"/>
  <c r="AO130" i="5"/>
  <c r="AP130" i="5" a="1"/>
  <c r="AP130" i="5" s="1"/>
  <c r="AK131" i="5" a="1"/>
  <c r="AK131" i="5" s="1"/>
  <c r="AL131" i="5" a="1"/>
  <c r="AL131" i="5" s="1"/>
  <c r="AM131" i="5" a="1"/>
  <c r="AM131" i="5"/>
  <c r="AN131" i="5" a="1"/>
  <c r="AN131" i="5"/>
  <c r="AO131" i="5" a="1"/>
  <c r="AO131" i="5" s="1"/>
  <c r="AP131" i="5" a="1"/>
  <c r="AP131" i="5" s="1"/>
  <c r="AK132" i="5" a="1"/>
  <c r="AK132" i="5"/>
  <c r="AL132" i="5" a="1"/>
  <c r="AL132" i="5"/>
  <c r="AM132" i="5" a="1"/>
  <c r="AM132" i="5"/>
  <c r="AN132" i="5" a="1"/>
  <c r="AN132" i="5" s="1"/>
  <c r="AO132" i="5" a="1"/>
  <c r="AO132" i="5"/>
  <c r="AP132" i="5" a="1"/>
  <c r="AP132" i="5" s="1"/>
  <c r="AK133" i="5" a="1"/>
  <c r="AK133" i="5" s="1"/>
  <c r="AL133" i="5" a="1"/>
  <c r="AL133" i="5" s="1"/>
  <c r="AM133" i="5" a="1"/>
  <c r="AM133" i="5" s="1"/>
  <c r="AN133" i="5" a="1"/>
  <c r="AN133" i="5"/>
  <c r="AO133" i="5" a="1"/>
  <c r="AO133" i="5"/>
  <c r="AP133" i="5" a="1"/>
  <c r="AP133" i="5" s="1"/>
  <c r="AK134" i="5" a="1"/>
  <c r="AK134" i="5"/>
  <c r="AL134" i="5" a="1"/>
  <c r="AL134" i="5"/>
  <c r="AM134" i="5" a="1"/>
  <c r="AM134" i="5"/>
  <c r="AN134" i="5" a="1"/>
  <c r="AN134" i="5"/>
  <c r="AO134" i="5" a="1"/>
  <c r="AO134" i="5" s="1"/>
  <c r="AP134" i="5" a="1"/>
  <c r="AP134" i="5" s="1"/>
  <c r="AK135" i="5" a="1"/>
  <c r="AK135" i="5" s="1"/>
  <c r="AL135" i="5" a="1"/>
  <c r="AL135" i="5" s="1"/>
  <c r="AM135" i="5" a="1"/>
  <c r="AM135" i="5" s="1"/>
  <c r="AN135" i="5" a="1"/>
  <c r="AN135" i="5" s="1"/>
  <c r="AO135" i="5" a="1"/>
  <c r="AO135" i="5"/>
  <c r="AP135" i="5" a="1"/>
  <c r="AP135" i="5" s="1"/>
  <c r="AK136" i="5" a="1"/>
  <c r="AK136" i="5"/>
  <c r="AL136" i="5" a="1"/>
  <c r="AL136" i="5"/>
  <c r="AM136" i="5" a="1"/>
  <c r="AM136" i="5"/>
  <c r="AN136" i="5" a="1"/>
  <c r="AN136" i="5"/>
  <c r="AO136" i="5" a="1"/>
  <c r="AO136" i="5"/>
  <c r="AP136" i="5" a="1"/>
  <c r="AP136" i="5" s="1"/>
  <c r="AK137" i="5" a="1"/>
  <c r="AK137" i="5" s="1"/>
  <c r="AL137" i="5" a="1"/>
  <c r="AL137" i="5" s="1"/>
  <c r="AM137" i="5" a="1"/>
  <c r="AM137" i="5" s="1"/>
  <c r="AN137" i="5" a="1"/>
  <c r="AN137" i="5" s="1"/>
  <c r="AO137" i="5" a="1"/>
  <c r="AO137" i="5" s="1"/>
  <c r="AP137" i="5" a="1"/>
  <c r="AP137" i="5" s="1"/>
  <c r="AK138" i="5" a="1"/>
  <c r="AK138" i="5" s="1"/>
  <c r="AL138" i="5" a="1"/>
  <c r="AL138" i="5"/>
  <c r="AM138" i="5" a="1"/>
  <c r="AM138" i="5"/>
  <c r="AN138" i="5" a="1"/>
  <c r="AN138" i="5"/>
  <c r="AO138" i="5" a="1"/>
  <c r="AO138" i="5"/>
  <c r="AP138" i="5" a="1"/>
  <c r="AP138" i="5" s="1"/>
  <c r="AK139" i="5" a="1"/>
  <c r="AK139" i="5"/>
  <c r="AL139" i="5" a="1"/>
  <c r="AL139" i="5" s="1"/>
  <c r="AM139" i="5" a="1"/>
  <c r="AM139" i="5" s="1"/>
  <c r="AN139" i="5" a="1"/>
  <c r="AN139" i="5"/>
  <c r="AO139" i="5" a="1"/>
  <c r="AO139" i="5" s="1"/>
  <c r="AP139" i="5" a="1"/>
  <c r="AP139" i="5" s="1"/>
  <c r="AK140" i="5" a="1"/>
  <c r="AK140" i="5"/>
  <c r="AL140" i="5" a="1"/>
  <c r="AL140" i="5" s="1"/>
  <c r="AM140" i="5" a="1"/>
  <c r="AM140" i="5"/>
  <c r="AN140" i="5" a="1"/>
  <c r="AN140" i="5"/>
  <c r="AO140" i="5" a="1"/>
  <c r="AO140" i="5"/>
  <c r="AP140" i="5" a="1"/>
  <c r="AP140" i="5" s="1"/>
  <c r="AK141" i="5" a="1"/>
  <c r="AK141" i="5" s="1"/>
  <c r="AL141" i="5" a="1"/>
  <c r="AL141" i="5"/>
  <c r="AM141" i="5" a="1"/>
  <c r="AM141" i="5" s="1"/>
  <c r="AN141" i="5" a="1"/>
  <c r="AN141" i="5" s="1"/>
  <c r="AO141" i="5" a="1"/>
  <c r="AO141" i="5"/>
  <c r="AP141" i="5" a="1"/>
  <c r="AP141" i="5" s="1"/>
  <c r="AK142" i="5" a="1"/>
  <c r="AK142" i="5"/>
  <c r="AL142" i="5" a="1"/>
  <c r="AL142" i="5"/>
  <c r="AM142" i="5" a="1"/>
  <c r="AM142" i="5" s="1"/>
  <c r="AN142" i="5" a="1"/>
  <c r="AN142" i="5"/>
  <c r="AO142" i="5" a="1"/>
  <c r="AO142" i="5"/>
  <c r="AP142" i="5" a="1"/>
  <c r="AP142" i="5" s="1"/>
  <c r="AK143" i="5" a="1"/>
  <c r="AK143" i="5" s="1"/>
  <c r="AL143" i="5" a="1"/>
  <c r="AL143" i="5" s="1"/>
  <c r="AM143" i="5" a="1"/>
  <c r="AM143" i="5"/>
  <c r="AN143" i="5" a="1"/>
  <c r="AN143" i="5" s="1"/>
  <c r="AO143" i="5" a="1"/>
  <c r="AO143" i="5" s="1"/>
  <c r="AP143" i="5" a="1"/>
  <c r="AP143" i="5" s="1"/>
  <c r="AK144" i="5" a="1"/>
  <c r="AK144" i="5"/>
  <c r="AL144" i="5" a="1"/>
  <c r="AL144" i="5"/>
  <c r="AM144" i="5" a="1"/>
  <c r="AM144" i="5"/>
  <c r="AN144" i="5" a="1"/>
  <c r="AN144" i="5" s="1"/>
  <c r="AO144" i="5" a="1"/>
  <c r="AO144" i="5"/>
  <c r="AP144" i="5" a="1"/>
  <c r="AP144" i="5" s="1"/>
  <c r="AK145" i="5" a="1"/>
  <c r="AK145" i="5"/>
  <c r="AL145" i="5" a="1"/>
  <c r="AL145" i="5" s="1"/>
  <c r="AM145" i="5" a="1"/>
  <c r="AM145" i="5" s="1"/>
  <c r="AN145" i="5" a="1"/>
  <c r="AN145" i="5"/>
  <c r="AO145" i="5" a="1"/>
  <c r="AO145" i="5" s="1"/>
  <c r="AP145" i="5" a="1"/>
  <c r="AP145" i="5" s="1"/>
  <c r="AK146" i="5" a="1"/>
  <c r="AK146" i="5"/>
  <c r="AL146" i="5" a="1"/>
  <c r="AL146" i="5"/>
  <c r="AM146" i="5" a="1"/>
  <c r="AM146" i="5"/>
  <c r="AN146" i="5" a="1"/>
  <c r="AN146" i="5"/>
  <c r="AO146" i="5" a="1"/>
  <c r="AO146" i="5" s="1"/>
  <c r="AP146" i="5" a="1"/>
  <c r="AP146" i="5" s="1"/>
  <c r="AK147" i="5" a="1"/>
  <c r="AK147" i="5" s="1"/>
  <c r="AL147" i="5" a="1"/>
  <c r="AL147" i="5"/>
  <c r="AM147" i="5" a="1"/>
  <c r="AM147" i="5" s="1"/>
  <c r="AN147" i="5" a="1"/>
  <c r="AN147" i="5" s="1"/>
  <c r="AO147" i="5" a="1"/>
  <c r="AO147" i="5"/>
  <c r="AP147" i="5" a="1"/>
  <c r="AP147" i="5" s="1"/>
  <c r="AK148" i="5" a="1"/>
  <c r="AK148" i="5"/>
  <c r="AL148" i="5" a="1"/>
  <c r="AL148" i="5"/>
  <c r="AM148" i="5" a="1"/>
  <c r="AM148" i="5"/>
  <c r="AN148" i="5" a="1"/>
  <c r="AN148" i="5"/>
  <c r="AO148" i="5" a="1"/>
  <c r="AO148" i="5"/>
  <c r="AP148" i="5" a="1"/>
  <c r="AP148" i="5" s="1"/>
  <c r="AK149" i="5" a="1"/>
  <c r="AK149" i="5" s="1"/>
  <c r="AL149" i="5" a="1"/>
  <c r="AL149" i="5" s="1"/>
  <c r="AM149" i="5" a="1"/>
  <c r="AM149" i="5"/>
  <c r="AN149" i="5" a="1"/>
  <c r="AN149" i="5" s="1"/>
  <c r="AO149" i="5" a="1"/>
  <c r="AO149" i="5" s="1"/>
  <c r="AP149" i="5" a="1"/>
  <c r="AP149" i="5" s="1"/>
  <c r="AK150" i="5" a="1"/>
  <c r="AK150" i="5" s="1"/>
  <c r="AL150" i="5" a="1"/>
  <c r="AL150" i="5"/>
  <c r="AM150" i="5" a="1"/>
  <c r="AM150" i="5"/>
  <c r="AN150" i="5" a="1"/>
  <c r="AN150" i="5"/>
  <c r="AO150" i="5" a="1"/>
  <c r="AO150" i="5"/>
  <c r="AP150" i="5" a="1"/>
  <c r="AP150" i="5"/>
  <c r="AK151" i="5" a="1"/>
  <c r="AK151" i="5" s="1"/>
  <c r="AL151" i="5" a="1"/>
  <c r="AL151" i="5" s="1"/>
  <c r="AM151" i="5" a="1"/>
  <c r="AM151" i="5"/>
  <c r="AN151" i="5" a="1"/>
  <c r="AN151" i="5"/>
  <c r="AO151" i="5" a="1"/>
  <c r="AO151" i="5"/>
  <c r="AP151" i="5" a="1"/>
  <c r="AP151" i="5"/>
  <c r="AK152" i="5" a="1"/>
  <c r="AK152" i="5" s="1"/>
  <c r="AL152" i="5" a="1"/>
  <c r="AL152" i="5" s="1"/>
  <c r="AM152" i="5" a="1"/>
  <c r="AM152" i="5"/>
  <c r="AN152" i="5" a="1"/>
  <c r="AN152" i="5"/>
  <c r="AO152" i="5" a="1"/>
  <c r="AO152" i="5"/>
  <c r="AP152" i="5" a="1"/>
  <c r="AP152" i="5"/>
  <c r="AK153" i="5" a="1"/>
  <c r="AK153" i="5" s="1"/>
  <c r="AL153" i="5" a="1"/>
  <c r="AL153" i="5" s="1"/>
  <c r="AM153" i="5" a="1"/>
  <c r="AM153" i="5"/>
  <c r="AN153" i="5" a="1"/>
  <c r="AN153" i="5"/>
  <c r="AO153" i="5" a="1"/>
  <c r="AO153" i="5" s="1"/>
  <c r="AP153" i="5" a="1"/>
  <c r="AP153" i="5"/>
  <c r="AK154" i="5" a="1"/>
  <c r="AK154" i="5" s="1"/>
  <c r="AL154" i="5" a="1"/>
  <c r="AL154" i="5" s="1"/>
  <c r="AM154" i="5" a="1"/>
  <c r="AM154" i="5"/>
  <c r="AN154" i="5" a="1"/>
  <c r="AN154" i="5"/>
  <c r="AO154" i="5" a="1"/>
  <c r="AO154" i="5" s="1"/>
  <c r="AP154" i="5" a="1"/>
  <c r="AP154" i="5"/>
  <c r="AK155" i="5" a="1"/>
  <c r="AK155" i="5" s="1"/>
  <c r="AL155" i="5" a="1"/>
  <c r="AL155" i="5" s="1"/>
  <c r="AM155" i="5" a="1"/>
  <c r="AM155" i="5"/>
  <c r="AN155" i="5" a="1"/>
  <c r="AN155" i="5"/>
  <c r="AO155" i="5" a="1"/>
  <c r="AO155" i="5" s="1"/>
  <c r="AP155" i="5" a="1"/>
  <c r="AP155" i="5"/>
  <c r="AK156" i="5" a="1"/>
  <c r="AK156" i="5" s="1"/>
  <c r="AL156" i="5" a="1"/>
  <c r="AL156" i="5" s="1"/>
  <c r="AM156" i="5" a="1"/>
  <c r="AM156" i="5"/>
  <c r="AN156" i="5" a="1"/>
  <c r="AN156" i="5"/>
  <c r="AO156" i="5" a="1"/>
  <c r="AO156" i="5" s="1"/>
  <c r="AP156" i="5" a="1"/>
  <c r="AP156" i="5"/>
  <c r="AK157" i="5" a="1"/>
  <c r="AK157" i="5" s="1"/>
  <c r="AL157" i="5" a="1"/>
  <c r="AL157" i="5" s="1"/>
  <c r="AM157" i="5" a="1"/>
  <c r="AM157" i="5"/>
  <c r="AN157" i="5" a="1"/>
  <c r="AN157" i="5"/>
  <c r="AO157" i="5" a="1"/>
  <c r="AO157" i="5" s="1"/>
  <c r="AP157" i="5" a="1"/>
  <c r="AP157" i="5"/>
  <c r="AK158" i="5" a="1"/>
  <c r="AK158" i="5" s="1"/>
  <c r="AL158" i="5" a="1"/>
  <c r="AL158" i="5" s="1"/>
  <c r="AM158" i="5" a="1"/>
  <c r="AM158" i="5"/>
  <c r="AN158" i="5" a="1"/>
  <c r="AN158" i="5"/>
  <c r="AO158" i="5" a="1"/>
  <c r="AO158" i="5" s="1"/>
  <c r="AP158" i="5" a="1"/>
  <c r="AP158" i="5"/>
  <c r="AF8" i="5" a="1"/>
  <c r="AF8" i="5" s="1"/>
  <c r="AG8" i="5" a="1"/>
  <c r="AG8" i="5" s="1"/>
  <c r="AH8" i="5" a="1"/>
  <c r="AH8" i="5" s="1"/>
  <c r="AI8" i="5" a="1"/>
  <c r="AI8" i="5" s="1"/>
  <c r="AJ8" i="5" a="1"/>
  <c r="AJ8" i="5" s="1"/>
  <c r="AF9" i="5" a="1"/>
  <c r="AF9" i="5" s="1"/>
  <c r="AG9" i="5" a="1"/>
  <c r="AG9" i="5" s="1"/>
  <c r="AH9" i="5" a="1"/>
  <c r="AH9" i="5" s="1"/>
  <c r="AI9" i="5" a="1"/>
  <c r="AI9" i="5" s="1"/>
  <c r="AJ9" i="5" a="1"/>
  <c r="AJ9" i="5" s="1"/>
  <c r="AF10" i="5" a="1"/>
  <c r="AF10" i="5" s="1"/>
  <c r="AG10" i="5" a="1"/>
  <c r="AG10" i="5" s="1"/>
  <c r="AH10" i="5" a="1"/>
  <c r="AH10" i="5" s="1"/>
  <c r="AI10" i="5" a="1"/>
  <c r="AI10" i="5" s="1"/>
  <c r="AJ10" i="5" a="1"/>
  <c r="AJ10" i="5" s="1"/>
  <c r="AF11" i="5" a="1"/>
  <c r="AF11" i="5" s="1"/>
  <c r="AG11" i="5" a="1"/>
  <c r="AG11" i="5" s="1"/>
  <c r="AH11" i="5" a="1"/>
  <c r="AH11" i="5" s="1"/>
  <c r="AI11" i="5" a="1"/>
  <c r="AI11" i="5" s="1"/>
  <c r="AJ11" i="5" a="1"/>
  <c r="AJ11" i="5" s="1"/>
  <c r="AF12" i="5" a="1"/>
  <c r="AF12" i="5" s="1"/>
  <c r="AG12" i="5" a="1"/>
  <c r="AG12" i="5" s="1"/>
  <c r="AH12" i="5" a="1"/>
  <c r="AH12" i="5" s="1"/>
  <c r="AI12" i="5" a="1"/>
  <c r="AI12" i="5" s="1"/>
  <c r="AJ12" i="5" a="1"/>
  <c r="AJ12" i="5" s="1"/>
  <c r="AF13" i="5" a="1"/>
  <c r="AF13" i="5" s="1"/>
  <c r="AG13" i="5" a="1"/>
  <c r="AG13" i="5" s="1"/>
  <c r="AH13" i="5" a="1"/>
  <c r="AH13" i="5" s="1"/>
  <c r="AI13" i="5" a="1"/>
  <c r="AI13" i="5" s="1"/>
  <c r="AJ13" i="5" a="1"/>
  <c r="AJ13" i="5" s="1"/>
  <c r="AF14" i="5" a="1"/>
  <c r="AF14" i="5" s="1"/>
  <c r="AG14" i="5" a="1"/>
  <c r="AG14" i="5" s="1"/>
  <c r="AH14" i="5" a="1"/>
  <c r="AH14" i="5" s="1"/>
  <c r="AI14" i="5" a="1"/>
  <c r="AI14" i="5" s="1"/>
  <c r="AJ14" i="5" a="1"/>
  <c r="AJ14" i="5" s="1"/>
  <c r="AF15" i="5" a="1"/>
  <c r="AF15" i="5" s="1"/>
  <c r="AG15" i="5" a="1"/>
  <c r="AG15" i="5" s="1"/>
  <c r="AH15" i="5" a="1"/>
  <c r="AH15" i="5" s="1"/>
  <c r="AI15" i="5" a="1"/>
  <c r="AI15" i="5" s="1"/>
  <c r="AJ15" i="5" a="1"/>
  <c r="AJ15" i="5" s="1"/>
  <c r="AF16" i="5" a="1"/>
  <c r="AF16" i="5" s="1"/>
  <c r="AG16" i="5" a="1"/>
  <c r="AG16" i="5" s="1"/>
  <c r="AH16" i="5" a="1"/>
  <c r="AH16" i="5" s="1"/>
  <c r="AI16" i="5" a="1"/>
  <c r="AI16" i="5" s="1"/>
  <c r="AJ16" i="5" a="1"/>
  <c r="AJ16" i="5" s="1"/>
  <c r="AF17" i="5" a="1"/>
  <c r="AF17" i="5" s="1"/>
  <c r="AG17" i="5" a="1"/>
  <c r="AG17" i="5" s="1"/>
  <c r="AH17" i="5" a="1"/>
  <c r="AH17" i="5" s="1"/>
  <c r="AI17" i="5" a="1"/>
  <c r="AI17" i="5" s="1"/>
  <c r="AJ17" i="5" a="1"/>
  <c r="AJ17" i="5" s="1"/>
  <c r="AF18" i="5" a="1"/>
  <c r="AF18" i="5" s="1"/>
  <c r="AG18" i="5" a="1"/>
  <c r="AG18" i="5" s="1"/>
  <c r="AH18" i="5" a="1"/>
  <c r="AH18" i="5" s="1"/>
  <c r="AI18" i="5" a="1"/>
  <c r="AI18" i="5" s="1"/>
  <c r="AJ18" i="5" a="1"/>
  <c r="AJ18" i="5" s="1"/>
  <c r="AF19" i="5" a="1"/>
  <c r="AF19" i="5" s="1"/>
  <c r="AG19" i="5" a="1"/>
  <c r="AG19" i="5" s="1"/>
  <c r="AH19" i="5" a="1"/>
  <c r="AH19" i="5" s="1"/>
  <c r="AI19" i="5" a="1"/>
  <c r="AI19" i="5" s="1"/>
  <c r="AJ19" i="5" a="1"/>
  <c r="AJ19" i="5" s="1"/>
  <c r="AF20" i="5" a="1"/>
  <c r="AF20" i="5" s="1"/>
  <c r="AG20" i="5" a="1"/>
  <c r="AG20" i="5" s="1"/>
  <c r="AH20" i="5" a="1"/>
  <c r="AH20" i="5" s="1"/>
  <c r="AI20" i="5" a="1"/>
  <c r="AI20" i="5" s="1"/>
  <c r="AJ20" i="5" a="1"/>
  <c r="AJ20" i="5" s="1"/>
  <c r="AF21" i="5" a="1"/>
  <c r="AF21" i="5" s="1"/>
  <c r="AG21" i="5" a="1"/>
  <c r="AG21" i="5" s="1"/>
  <c r="AH21" i="5" a="1"/>
  <c r="AH21" i="5" s="1"/>
  <c r="AI21" i="5" a="1"/>
  <c r="AI21" i="5" s="1"/>
  <c r="AJ21" i="5" a="1"/>
  <c r="AJ21" i="5" s="1"/>
  <c r="AF22" i="5" a="1"/>
  <c r="AF22" i="5" s="1"/>
  <c r="AG22" i="5" a="1"/>
  <c r="AG22" i="5" s="1"/>
  <c r="AH22" i="5" a="1"/>
  <c r="AH22" i="5" s="1"/>
  <c r="AI22" i="5" a="1"/>
  <c r="AI22" i="5" s="1"/>
  <c r="AJ22" i="5" a="1"/>
  <c r="AJ22" i="5" s="1"/>
  <c r="AF23" i="5" a="1"/>
  <c r="AF23" i="5" s="1"/>
  <c r="AG23" i="5" a="1"/>
  <c r="AG23" i="5" s="1"/>
  <c r="AH23" i="5" a="1"/>
  <c r="AH23" i="5" s="1"/>
  <c r="AI23" i="5" a="1"/>
  <c r="AI23" i="5" s="1"/>
  <c r="AJ23" i="5" a="1"/>
  <c r="AJ23" i="5" s="1"/>
  <c r="AF24" i="5" a="1"/>
  <c r="AF24" i="5" s="1"/>
  <c r="AG24" i="5" a="1"/>
  <c r="AG24" i="5" s="1"/>
  <c r="AH24" i="5" a="1"/>
  <c r="AH24" i="5" s="1"/>
  <c r="AI24" i="5" a="1"/>
  <c r="AI24" i="5" s="1"/>
  <c r="AJ24" i="5" a="1"/>
  <c r="AJ24" i="5" s="1"/>
  <c r="AF25" i="5" a="1"/>
  <c r="AF25" i="5" s="1"/>
  <c r="AG25" i="5" a="1"/>
  <c r="AG25" i="5" s="1"/>
  <c r="AH25" i="5" a="1"/>
  <c r="AH25" i="5" s="1"/>
  <c r="AI25" i="5" a="1"/>
  <c r="AI25" i="5" s="1"/>
  <c r="AJ25" i="5" a="1"/>
  <c r="AJ25" i="5" s="1"/>
  <c r="AF26" i="5" a="1"/>
  <c r="AF26" i="5" s="1"/>
  <c r="AG26" i="5" a="1"/>
  <c r="AG26" i="5" s="1"/>
  <c r="AH26" i="5" a="1"/>
  <c r="AH26" i="5" s="1"/>
  <c r="AI26" i="5" a="1"/>
  <c r="AI26" i="5" s="1"/>
  <c r="AJ26" i="5" a="1"/>
  <c r="AJ26" i="5" s="1"/>
  <c r="AF27" i="5" a="1"/>
  <c r="AF27" i="5" s="1"/>
  <c r="AG27" i="5" a="1"/>
  <c r="AG27" i="5" s="1"/>
  <c r="AH27" i="5" a="1"/>
  <c r="AH27" i="5" s="1"/>
  <c r="AI27" i="5" a="1"/>
  <c r="AI27" i="5" s="1"/>
  <c r="AJ27" i="5" a="1"/>
  <c r="AJ27" i="5" s="1"/>
  <c r="AF28" i="5" a="1"/>
  <c r="AF28" i="5" s="1"/>
  <c r="AG28" i="5" a="1"/>
  <c r="AG28" i="5" s="1"/>
  <c r="AH28" i="5" a="1"/>
  <c r="AH28" i="5" s="1"/>
  <c r="AI28" i="5" a="1"/>
  <c r="AI28" i="5" s="1"/>
  <c r="AJ28" i="5" a="1"/>
  <c r="AJ28" i="5" s="1"/>
  <c r="AF29" i="5" a="1"/>
  <c r="AF29" i="5" s="1"/>
  <c r="AG29" i="5" a="1"/>
  <c r="AG29" i="5" s="1"/>
  <c r="AH29" i="5" a="1"/>
  <c r="AH29" i="5" s="1"/>
  <c r="AI29" i="5" a="1"/>
  <c r="AI29" i="5" s="1"/>
  <c r="AJ29" i="5" a="1"/>
  <c r="AJ29" i="5" s="1"/>
  <c r="AF30" i="5" a="1"/>
  <c r="AF30" i="5" s="1"/>
  <c r="AG30" i="5" a="1"/>
  <c r="AG30" i="5" s="1"/>
  <c r="AH30" i="5" a="1"/>
  <c r="AH30" i="5" s="1"/>
  <c r="AI30" i="5" a="1"/>
  <c r="AI30" i="5" s="1"/>
  <c r="AJ30" i="5" a="1"/>
  <c r="AJ30" i="5" s="1"/>
  <c r="AF31" i="5" a="1"/>
  <c r="AF31" i="5" s="1"/>
  <c r="AG31" i="5" a="1"/>
  <c r="AG31" i="5" s="1"/>
  <c r="AH31" i="5" a="1"/>
  <c r="AH31" i="5" s="1"/>
  <c r="AI31" i="5" a="1"/>
  <c r="AI31" i="5" s="1"/>
  <c r="AJ31" i="5" a="1"/>
  <c r="AJ31" i="5" s="1"/>
  <c r="AF32" i="5" a="1"/>
  <c r="AF32" i="5" s="1"/>
  <c r="AG32" i="5" a="1"/>
  <c r="AG32" i="5" s="1"/>
  <c r="AH32" i="5" a="1"/>
  <c r="AH32" i="5" s="1"/>
  <c r="AI32" i="5" a="1"/>
  <c r="AI32" i="5" s="1"/>
  <c r="AJ32" i="5" a="1"/>
  <c r="AJ32" i="5" s="1"/>
  <c r="AF33" i="5" a="1"/>
  <c r="AF33" i="5" s="1"/>
  <c r="AG33" i="5" a="1"/>
  <c r="AG33" i="5" s="1"/>
  <c r="AH33" i="5" a="1"/>
  <c r="AH33" i="5" s="1"/>
  <c r="AI33" i="5" a="1"/>
  <c r="AI33" i="5" s="1"/>
  <c r="AJ33" i="5" a="1"/>
  <c r="AJ33" i="5" s="1"/>
  <c r="AF34" i="5" a="1"/>
  <c r="AF34" i="5" s="1"/>
  <c r="AG34" i="5" a="1"/>
  <c r="AG34" i="5" s="1"/>
  <c r="AH34" i="5" a="1"/>
  <c r="AH34" i="5" s="1"/>
  <c r="AI34" i="5" a="1"/>
  <c r="AI34" i="5" s="1"/>
  <c r="AJ34" i="5" a="1"/>
  <c r="AJ34" i="5" s="1"/>
  <c r="AF35" i="5" a="1"/>
  <c r="AF35" i="5" s="1"/>
  <c r="AG35" i="5" a="1"/>
  <c r="AG35" i="5" s="1"/>
  <c r="AH35" i="5" a="1"/>
  <c r="AH35" i="5" s="1"/>
  <c r="AI35" i="5" a="1"/>
  <c r="AI35" i="5" s="1"/>
  <c r="AJ35" i="5" a="1"/>
  <c r="AJ35" i="5" s="1"/>
  <c r="AF36" i="5" a="1"/>
  <c r="AF36" i="5" s="1"/>
  <c r="AG36" i="5" a="1"/>
  <c r="AG36" i="5" s="1"/>
  <c r="AH36" i="5" a="1"/>
  <c r="AH36" i="5" s="1"/>
  <c r="AI36" i="5" a="1"/>
  <c r="AI36" i="5" s="1"/>
  <c r="AJ36" i="5" a="1"/>
  <c r="AJ36" i="5" s="1"/>
  <c r="AF37" i="5" a="1"/>
  <c r="AF37" i="5" s="1"/>
  <c r="AG37" i="5" a="1"/>
  <c r="AG37" i="5" s="1"/>
  <c r="AH37" i="5" a="1"/>
  <c r="AH37" i="5" s="1"/>
  <c r="AI37" i="5" a="1"/>
  <c r="AI37" i="5" s="1"/>
  <c r="AJ37" i="5" a="1"/>
  <c r="AJ37" i="5" s="1"/>
  <c r="AF38" i="5" a="1"/>
  <c r="AF38" i="5" s="1"/>
  <c r="AG38" i="5" a="1"/>
  <c r="AG38" i="5" s="1"/>
  <c r="AH38" i="5" a="1"/>
  <c r="AH38" i="5" s="1"/>
  <c r="AI38" i="5" a="1"/>
  <c r="AI38" i="5" s="1"/>
  <c r="AJ38" i="5" a="1"/>
  <c r="AJ38" i="5" s="1"/>
  <c r="AF39" i="5" a="1"/>
  <c r="AF39" i="5" s="1"/>
  <c r="AG39" i="5" a="1"/>
  <c r="AG39" i="5" s="1"/>
  <c r="AH39" i="5" a="1"/>
  <c r="AH39" i="5" s="1"/>
  <c r="AI39" i="5" a="1"/>
  <c r="AI39" i="5" s="1"/>
  <c r="AJ39" i="5" a="1"/>
  <c r="AJ39" i="5" s="1"/>
  <c r="AF40" i="5" a="1"/>
  <c r="AF40" i="5" s="1"/>
  <c r="AG40" i="5" a="1"/>
  <c r="AG40" i="5" s="1"/>
  <c r="AH40" i="5" a="1"/>
  <c r="AH40" i="5" s="1"/>
  <c r="AI40" i="5" a="1"/>
  <c r="AI40" i="5" s="1"/>
  <c r="AJ40" i="5" a="1"/>
  <c r="AJ40" i="5" s="1"/>
  <c r="AF41" i="5" a="1"/>
  <c r="AF41" i="5" s="1"/>
  <c r="AG41" i="5" a="1"/>
  <c r="AG41" i="5" s="1"/>
  <c r="AH41" i="5" a="1"/>
  <c r="AH41" i="5" s="1"/>
  <c r="AI41" i="5" a="1"/>
  <c r="AI41" i="5" s="1"/>
  <c r="AJ41" i="5" a="1"/>
  <c r="AJ41" i="5" s="1"/>
  <c r="AF42" i="5" a="1"/>
  <c r="AF42" i="5" s="1"/>
  <c r="AG42" i="5" a="1"/>
  <c r="AG42" i="5" s="1"/>
  <c r="AH42" i="5" a="1"/>
  <c r="AH42" i="5" s="1"/>
  <c r="AI42" i="5" a="1"/>
  <c r="AI42" i="5" s="1"/>
  <c r="AJ42" i="5" a="1"/>
  <c r="AJ42" i="5" s="1"/>
  <c r="AF43" i="5" a="1"/>
  <c r="AF43" i="5" s="1"/>
  <c r="AG43" i="5" a="1"/>
  <c r="AG43" i="5" s="1"/>
  <c r="AH43" i="5" a="1"/>
  <c r="AH43" i="5" s="1"/>
  <c r="AI43" i="5" a="1"/>
  <c r="AI43" i="5" s="1"/>
  <c r="AJ43" i="5" a="1"/>
  <c r="AJ43" i="5" s="1"/>
  <c r="AF44" i="5" a="1"/>
  <c r="AF44" i="5" s="1"/>
  <c r="AG44" i="5" a="1"/>
  <c r="AG44" i="5" s="1"/>
  <c r="AH44" i="5" a="1"/>
  <c r="AH44" i="5" s="1"/>
  <c r="AI44" i="5" a="1"/>
  <c r="AI44" i="5" s="1"/>
  <c r="AJ44" i="5" a="1"/>
  <c r="AJ44" i="5" s="1"/>
  <c r="AF45" i="5" a="1"/>
  <c r="AF45" i="5" s="1"/>
  <c r="AG45" i="5" a="1"/>
  <c r="AG45" i="5" s="1"/>
  <c r="AH45" i="5" a="1"/>
  <c r="AH45" i="5" s="1"/>
  <c r="AI45" i="5" a="1"/>
  <c r="AI45" i="5" s="1"/>
  <c r="AJ45" i="5" a="1"/>
  <c r="AJ45" i="5" s="1"/>
  <c r="AF46" i="5" a="1"/>
  <c r="AF46" i="5" s="1"/>
  <c r="AG46" i="5" a="1"/>
  <c r="AG46" i="5" s="1"/>
  <c r="AH46" i="5" a="1"/>
  <c r="AH46" i="5" s="1"/>
  <c r="AI46" i="5" a="1"/>
  <c r="AI46" i="5" s="1"/>
  <c r="AJ46" i="5" a="1"/>
  <c r="AJ46" i="5" s="1"/>
  <c r="AF47" i="5" a="1"/>
  <c r="AF47" i="5" s="1"/>
  <c r="AG47" i="5" a="1"/>
  <c r="AG47" i="5" s="1"/>
  <c r="AH47" i="5" a="1"/>
  <c r="AH47" i="5" s="1"/>
  <c r="AI47" i="5" a="1"/>
  <c r="AI47" i="5" s="1"/>
  <c r="AJ47" i="5" a="1"/>
  <c r="AJ47" i="5" s="1"/>
  <c r="AF48" i="5" a="1"/>
  <c r="AF48" i="5" s="1"/>
  <c r="AG48" i="5" a="1"/>
  <c r="AG48" i="5" s="1"/>
  <c r="AH48" i="5" a="1"/>
  <c r="AH48" i="5" s="1"/>
  <c r="AI48" i="5" a="1"/>
  <c r="AI48" i="5" s="1"/>
  <c r="AJ48" i="5" a="1"/>
  <c r="AJ48" i="5" s="1"/>
  <c r="AF49" i="5" a="1"/>
  <c r="AF49" i="5" s="1"/>
  <c r="AG49" i="5" a="1"/>
  <c r="AG49" i="5" s="1"/>
  <c r="AH49" i="5" a="1"/>
  <c r="AH49" i="5" s="1"/>
  <c r="AI49" i="5" a="1"/>
  <c r="AI49" i="5" s="1"/>
  <c r="AJ49" i="5" a="1"/>
  <c r="AJ49" i="5" s="1"/>
  <c r="AF50" i="5" a="1"/>
  <c r="AF50" i="5" s="1"/>
  <c r="AG50" i="5" a="1"/>
  <c r="AG50" i="5" s="1"/>
  <c r="AH50" i="5" a="1"/>
  <c r="AH50" i="5" s="1"/>
  <c r="AI50" i="5" a="1"/>
  <c r="AI50" i="5" s="1"/>
  <c r="AJ50" i="5" a="1"/>
  <c r="AJ50" i="5" s="1"/>
  <c r="AF51" i="5" a="1"/>
  <c r="AF51" i="5" s="1"/>
  <c r="AG51" i="5" a="1"/>
  <c r="AG51" i="5" s="1"/>
  <c r="AH51" i="5" a="1"/>
  <c r="AH51" i="5" s="1"/>
  <c r="AI51" i="5" a="1"/>
  <c r="AI51" i="5" s="1"/>
  <c r="AJ51" i="5" a="1"/>
  <c r="AJ51" i="5" s="1"/>
  <c r="AF52" i="5" a="1"/>
  <c r="AF52" i="5" s="1"/>
  <c r="AG52" i="5" a="1"/>
  <c r="AG52" i="5" s="1"/>
  <c r="AH52" i="5" a="1"/>
  <c r="AH52" i="5" s="1"/>
  <c r="AI52" i="5" a="1"/>
  <c r="AI52" i="5" s="1"/>
  <c r="AJ52" i="5" a="1"/>
  <c r="AJ52" i="5" s="1"/>
  <c r="AF53" i="5" a="1"/>
  <c r="AF53" i="5" s="1"/>
  <c r="AG53" i="5" a="1"/>
  <c r="AG53" i="5" s="1"/>
  <c r="AH53" i="5" a="1"/>
  <c r="AH53" i="5" s="1"/>
  <c r="AI53" i="5" a="1"/>
  <c r="AI53" i="5" s="1"/>
  <c r="AJ53" i="5" a="1"/>
  <c r="AJ53" i="5" s="1"/>
  <c r="AF54" i="5" a="1"/>
  <c r="AF54" i="5" s="1"/>
  <c r="AG54" i="5" a="1"/>
  <c r="AG54" i="5" s="1"/>
  <c r="AH54" i="5" a="1"/>
  <c r="AH54" i="5" s="1"/>
  <c r="AI54" i="5" a="1"/>
  <c r="AI54" i="5" s="1"/>
  <c r="AJ54" i="5" a="1"/>
  <c r="AJ54" i="5" s="1"/>
  <c r="AF55" i="5" a="1"/>
  <c r="AF55" i="5" s="1"/>
  <c r="AG55" i="5" a="1"/>
  <c r="AG55" i="5" s="1"/>
  <c r="AH55" i="5" a="1"/>
  <c r="AH55" i="5" s="1"/>
  <c r="AI55" i="5" a="1"/>
  <c r="AI55" i="5" s="1"/>
  <c r="AJ55" i="5" a="1"/>
  <c r="AJ55" i="5" s="1"/>
  <c r="AF56" i="5" a="1"/>
  <c r="AF56" i="5" s="1"/>
  <c r="AG56" i="5" a="1"/>
  <c r="AG56" i="5" s="1"/>
  <c r="AH56" i="5" a="1"/>
  <c r="AH56" i="5" s="1"/>
  <c r="AI56" i="5" a="1"/>
  <c r="AI56" i="5" s="1"/>
  <c r="AJ56" i="5" a="1"/>
  <c r="AJ56" i="5" s="1"/>
  <c r="AF57" i="5" a="1"/>
  <c r="AF57" i="5" s="1"/>
  <c r="AG57" i="5" a="1"/>
  <c r="AG57" i="5" s="1"/>
  <c r="AH57" i="5" a="1"/>
  <c r="AH57" i="5" s="1"/>
  <c r="AI57" i="5" a="1"/>
  <c r="AI57" i="5" s="1"/>
  <c r="AJ57" i="5" a="1"/>
  <c r="AJ57" i="5" s="1"/>
  <c r="AF58" i="5" a="1"/>
  <c r="AF58" i="5" s="1"/>
  <c r="AG58" i="5" a="1"/>
  <c r="AG58" i="5" s="1"/>
  <c r="AH58" i="5" a="1"/>
  <c r="AH58" i="5" s="1"/>
  <c r="AI58" i="5" a="1"/>
  <c r="AI58" i="5" s="1"/>
  <c r="AJ58" i="5" a="1"/>
  <c r="AJ58" i="5" s="1"/>
  <c r="AF59" i="5" a="1"/>
  <c r="AF59" i="5" s="1"/>
  <c r="AG59" i="5" a="1"/>
  <c r="AG59" i="5" s="1"/>
  <c r="AH59" i="5" a="1"/>
  <c r="AH59" i="5" s="1"/>
  <c r="AI59" i="5" a="1"/>
  <c r="AI59" i="5" s="1"/>
  <c r="AJ59" i="5" a="1"/>
  <c r="AJ59" i="5" s="1"/>
  <c r="AF60" i="5" a="1"/>
  <c r="AF60" i="5" s="1"/>
  <c r="AG60" i="5" a="1"/>
  <c r="AG60" i="5" s="1"/>
  <c r="AH60" i="5" a="1"/>
  <c r="AH60" i="5" s="1"/>
  <c r="AI60" i="5" a="1"/>
  <c r="AI60" i="5" s="1"/>
  <c r="AJ60" i="5" a="1"/>
  <c r="AJ60" i="5" s="1"/>
  <c r="AF61" i="5" a="1"/>
  <c r="AF61" i="5" s="1"/>
  <c r="AG61" i="5" a="1"/>
  <c r="AG61" i="5" s="1"/>
  <c r="AH61" i="5" a="1"/>
  <c r="AH61" i="5" s="1"/>
  <c r="AI61" i="5" a="1"/>
  <c r="AI61" i="5" s="1"/>
  <c r="AJ61" i="5" a="1"/>
  <c r="AJ61" i="5" s="1"/>
  <c r="AF62" i="5" a="1"/>
  <c r="AF62" i="5" s="1"/>
  <c r="AG62" i="5" a="1"/>
  <c r="AG62" i="5" s="1"/>
  <c r="AH62" i="5" a="1"/>
  <c r="AH62" i="5" s="1"/>
  <c r="AI62" i="5" a="1"/>
  <c r="AI62" i="5" s="1"/>
  <c r="AJ62" i="5" a="1"/>
  <c r="AJ62" i="5" s="1"/>
  <c r="AF63" i="5" a="1"/>
  <c r="AF63" i="5" s="1"/>
  <c r="AG63" i="5" a="1"/>
  <c r="AG63" i="5" s="1"/>
  <c r="AH63" i="5" a="1"/>
  <c r="AH63" i="5" s="1"/>
  <c r="AI63" i="5" a="1"/>
  <c r="AI63" i="5" s="1"/>
  <c r="AJ63" i="5" a="1"/>
  <c r="AJ63" i="5" s="1"/>
  <c r="AF64" i="5" a="1"/>
  <c r="AF64" i="5" s="1"/>
  <c r="AG64" i="5" a="1"/>
  <c r="AG64" i="5" s="1"/>
  <c r="AH64" i="5" a="1"/>
  <c r="AH64" i="5" s="1"/>
  <c r="AI64" i="5" a="1"/>
  <c r="AI64" i="5" s="1"/>
  <c r="AJ64" i="5" a="1"/>
  <c r="AJ64" i="5" s="1"/>
  <c r="AF65" i="5" a="1"/>
  <c r="AF65" i="5" s="1"/>
  <c r="AG65" i="5" a="1"/>
  <c r="AG65" i="5" s="1"/>
  <c r="AH65" i="5" a="1"/>
  <c r="AH65" i="5" s="1"/>
  <c r="AI65" i="5" a="1"/>
  <c r="AI65" i="5" s="1"/>
  <c r="AJ65" i="5" a="1"/>
  <c r="AJ65" i="5" s="1"/>
  <c r="AF66" i="5" a="1"/>
  <c r="AF66" i="5" s="1"/>
  <c r="AG66" i="5" a="1"/>
  <c r="AG66" i="5" s="1"/>
  <c r="AH66" i="5" a="1"/>
  <c r="AH66" i="5" s="1"/>
  <c r="AI66" i="5" a="1"/>
  <c r="AI66" i="5" s="1"/>
  <c r="AJ66" i="5" a="1"/>
  <c r="AJ66" i="5" s="1"/>
  <c r="AF67" i="5" a="1"/>
  <c r="AF67" i="5" s="1"/>
  <c r="AG67" i="5" a="1"/>
  <c r="AG67" i="5" s="1"/>
  <c r="AH67" i="5" a="1"/>
  <c r="AH67" i="5" s="1"/>
  <c r="AI67" i="5" a="1"/>
  <c r="AI67" i="5" s="1"/>
  <c r="AJ67" i="5" a="1"/>
  <c r="AJ67" i="5" s="1"/>
  <c r="AF68" i="5" a="1"/>
  <c r="AF68" i="5" s="1"/>
  <c r="AG68" i="5" a="1"/>
  <c r="AG68" i="5" s="1"/>
  <c r="AH68" i="5" a="1"/>
  <c r="AH68" i="5" s="1"/>
  <c r="AI68" i="5" a="1"/>
  <c r="AI68" i="5" s="1"/>
  <c r="AJ68" i="5" a="1"/>
  <c r="AJ68" i="5" s="1"/>
  <c r="AF69" i="5" a="1"/>
  <c r="AF69" i="5" s="1"/>
  <c r="AG69" i="5" a="1"/>
  <c r="AG69" i="5" s="1"/>
  <c r="AH69" i="5" a="1"/>
  <c r="AH69" i="5" s="1"/>
  <c r="AI69" i="5" a="1"/>
  <c r="AI69" i="5" s="1"/>
  <c r="AJ69" i="5" a="1"/>
  <c r="AJ69" i="5" s="1"/>
  <c r="AF70" i="5" a="1"/>
  <c r="AF70" i="5" s="1"/>
  <c r="AG70" i="5" a="1"/>
  <c r="AG70" i="5" s="1"/>
  <c r="AH70" i="5" a="1"/>
  <c r="AH70" i="5" s="1"/>
  <c r="AI70" i="5" a="1"/>
  <c r="AI70" i="5" s="1"/>
  <c r="AJ70" i="5" a="1"/>
  <c r="AJ70" i="5" s="1"/>
  <c r="AF71" i="5" a="1"/>
  <c r="AF71" i="5" s="1"/>
  <c r="AG71" i="5" a="1"/>
  <c r="AG71" i="5" s="1"/>
  <c r="AH71" i="5" a="1"/>
  <c r="AH71" i="5" s="1"/>
  <c r="AI71" i="5" a="1"/>
  <c r="AI71" i="5" s="1"/>
  <c r="AJ71" i="5" a="1"/>
  <c r="AJ71" i="5" s="1"/>
  <c r="AF72" i="5" a="1"/>
  <c r="AF72" i="5" s="1"/>
  <c r="AG72" i="5" a="1"/>
  <c r="AG72" i="5" s="1"/>
  <c r="AH72" i="5" a="1"/>
  <c r="AH72" i="5" s="1"/>
  <c r="AI72" i="5" a="1"/>
  <c r="AI72" i="5" s="1"/>
  <c r="AJ72" i="5" a="1"/>
  <c r="AJ72" i="5" s="1"/>
  <c r="AF73" i="5" a="1"/>
  <c r="AF73" i="5" s="1"/>
  <c r="AG73" i="5" a="1"/>
  <c r="AG73" i="5" s="1"/>
  <c r="AH73" i="5" a="1"/>
  <c r="AH73" i="5" s="1"/>
  <c r="AI73" i="5" a="1"/>
  <c r="AI73" i="5" s="1"/>
  <c r="AJ73" i="5" a="1"/>
  <c r="AJ73" i="5" s="1"/>
  <c r="AF74" i="5" a="1"/>
  <c r="AF74" i="5" s="1"/>
  <c r="AG74" i="5" a="1"/>
  <c r="AG74" i="5" s="1"/>
  <c r="AH74" i="5" a="1"/>
  <c r="AH74" i="5" s="1"/>
  <c r="AI74" i="5" a="1"/>
  <c r="AI74" i="5" s="1"/>
  <c r="AJ74" i="5" a="1"/>
  <c r="AJ74" i="5" s="1"/>
  <c r="AF75" i="5" a="1"/>
  <c r="AF75" i="5" s="1"/>
  <c r="AG75" i="5" a="1"/>
  <c r="AG75" i="5" s="1"/>
  <c r="AH75" i="5" a="1"/>
  <c r="AH75" i="5"/>
  <c r="AI75" i="5" a="1"/>
  <c r="AI75" i="5" s="1"/>
  <c r="AJ75" i="5" a="1"/>
  <c r="AJ75" i="5" s="1"/>
  <c r="AF76" i="5" a="1"/>
  <c r="AF76" i="5"/>
  <c r="AG76" i="5" a="1"/>
  <c r="AG76" i="5"/>
  <c r="AH76" i="5" a="1"/>
  <c r="AH76" i="5" s="1"/>
  <c r="AI76" i="5" a="1"/>
  <c r="AI76" i="5" s="1"/>
  <c r="AJ76" i="5" a="1"/>
  <c r="AJ76" i="5" s="1"/>
  <c r="AF77" i="5" a="1"/>
  <c r="AF77" i="5" s="1"/>
  <c r="AG77" i="5" a="1"/>
  <c r="AG77" i="5" s="1"/>
  <c r="AH77" i="5" a="1"/>
  <c r="AH77" i="5" s="1"/>
  <c r="AI77" i="5" a="1"/>
  <c r="AI77" i="5" s="1"/>
  <c r="AJ77" i="5" a="1"/>
  <c r="AJ77" i="5"/>
  <c r="AF78" i="5" a="1"/>
  <c r="AF78" i="5" s="1"/>
  <c r="AG78" i="5" a="1"/>
  <c r="AG78" i="5" s="1"/>
  <c r="AH78" i="5" a="1"/>
  <c r="AH78" i="5"/>
  <c r="AI78" i="5" a="1"/>
  <c r="AI78" i="5"/>
  <c r="AJ78" i="5" a="1"/>
  <c r="AJ78" i="5" s="1"/>
  <c r="AF79" i="5" a="1"/>
  <c r="AF79" i="5" s="1"/>
  <c r="AG79" i="5" a="1"/>
  <c r="AG79" i="5" s="1"/>
  <c r="AH79" i="5" a="1"/>
  <c r="AH79" i="5" s="1"/>
  <c r="AI79" i="5" a="1"/>
  <c r="AI79" i="5" s="1"/>
  <c r="AJ79" i="5" a="1"/>
  <c r="AJ79" i="5" s="1"/>
  <c r="AF80" i="5" a="1"/>
  <c r="AF80" i="5" s="1"/>
  <c r="AG80" i="5" a="1"/>
  <c r="AG80" i="5"/>
  <c r="AH80" i="5" a="1"/>
  <c r="AH80" i="5" s="1"/>
  <c r="AI80" i="5" a="1"/>
  <c r="AI80" i="5" s="1"/>
  <c r="AJ80" i="5" a="1"/>
  <c r="AJ80" i="5"/>
  <c r="AF81" i="5" a="1"/>
  <c r="AF81" i="5"/>
  <c r="AG81" i="5" a="1"/>
  <c r="AG81" i="5" s="1"/>
  <c r="AH81" i="5" a="1"/>
  <c r="AH81" i="5" s="1"/>
  <c r="AI81" i="5" a="1"/>
  <c r="AI81" i="5" s="1"/>
  <c r="AJ81" i="5" a="1"/>
  <c r="AJ81" i="5" s="1"/>
  <c r="AF82" i="5" a="1"/>
  <c r="AF82" i="5" s="1"/>
  <c r="AG82" i="5" a="1"/>
  <c r="AG82" i="5" s="1"/>
  <c r="AH82" i="5" a="1"/>
  <c r="AH82" i="5" s="1"/>
  <c r="AI82" i="5" a="1"/>
  <c r="AI82" i="5"/>
  <c r="AJ82" i="5" a="1"/>
  <c r="AJ82" i="5" s="1"/>
  <c r="AF83" i="5" a="1"/>
  <c r="AF83" i="5" s="1"/>
  <c r="AG83" i="5" a="1"/>
  <c r="AG83" i="5"/>
  <c r="AH83" i="5" a="1"/>
  <c r="AH83" i="5"/>
  <c r="AI83" i="5" a="1"/>
  <c r="AI83" i="5" s="1"/>
  <c r="AJ83" i="5" a="1"/>
  <c r="AJ83" i="5" s="1"/>
  <c r="AF84" i="5" a="1"/>
  <c r="AF84" i="5" s="1"/>
  <c r="AG84" i="5" a="1"/>
  <c r="AG84" i="5" s="1"/>
  <c r="AH84" i="5" a="1"/>
  <c r="AH84" i="5" s="1"/>
  <c r="AI84" i="5" a="1"/>
  <c r="AI84" i="5" s="1"/>
  <c r="AJ84" i="5" a="1"/>
  <c r="AJ84" i="5" s="1"/>
  <c r="AF85" i="5" a="1"/>
  <c r="AF85" i="5"/>
  <c r="AG85" i="5" a="1"/>
  <c r="AG85" i="5" s="1"/>
  <c r="AH85" i="5" a="1"/>
  <c r="AH85" i="5" s="1"/>
  <c r="AI85" i="5" a="1"/>
  <c r="AI85" i="5"/>
  <c r="AJ85" i="5" a="1"/>
  <c r="AJ85" i="5"/>
  <c r="AF86" i="5" a="1"/>
  <c r="AF86" i="5" s="1"/>
  <c r="AG86" i="5" a="1"/>
  <c r="AG86" i="5" s="1"/>
  <c r="AH86" i="5" a="1"/>
  <c r="AH86" i="5" s="1"/>
  <c r="AI86" i="5" a="1"/>
  <c r="AI86" i="5" s="1"/>
  <c r="AJ86" i="5" a="1"/>
  <c r="AJ86" i="5" s="1"/>
  <c r="AF87" i="5" a="1"/>
  <c r="AF87" i="5" s="1"/>
  <c r="AG87" i="5" a="1"/>
  <c r="AG87" i="5" s="1"/>
  <c r="AH87" i="5" a="1"/>
  <c r="AH87" i="5"/>
  <c r="AI87" i="5" a="1"/>
  <c r="AI87" i="5" s="1"/>
  <c r="AJ87" i="5" a="1"/>
  <c r="AJ87" i="5" s="1"/>
  <c r="AF88" i="5" a="1"/>
  <c r="AF88" i="5"/>
  <c r="AG88" i="5" a="1"/>
  <c r="AG88" i="5"/>
  <c r="AH88" i="5" a="1"/>
  <c r="AH88" i="5" s="1"/>
  <c r="AI88" i="5" a="1"/>
  <c r="AI88" i="5" s="1"/>
  <c r="AJ88" i="5" a="1"/>
  <c r="AJ88" i="5" s="1"/>
  <c r="AF89" i="5" a="1"/>
  <c r="AF89" i="5" s="1"/>
  <c r="AG89" i="5" a="1"/>
  <c r="AG89" i="5" s="1"/>
  <c r="AH89" i="5" a="1"/>
  <c r="AH89" i="5" s="1"/>
  <c r="AI89" i="5" a="1"/>
  <c r="AI89" i="5" s="1"/>
  <c r="AJ89" i="5" a="1"/>
  <c r="AJ89" i="5"/>
  <c r="AF90" i="5" a="1"/>
  <c r="AF90" i="5" s="1"/>
  <c r="AG90" i="5" a="1"/>
  <c r="AG90" i="5" s="1"/>
  <c r="AH90" i="5" a="1"/>
  <c r="AH90" i="5"/>
  <c r="AI90" i="5" a="1"/>
  <c r="AI90" i="5"/>
  <c r="AJ90" i="5" a="1"/>
  <c r="AJ90" i="5" s="1"/>
  <c r="AF91" i="5" a="1"/>
  <c r="AF91" i="5" s="1"/>
  <c r="AG91" i="5" a="1"/>
  <c r="AG91" i="5" s="1"/>
  <c r="AH91" i="5" a="1"/>
  <c r="AH91" i="5"/>
  <c r="AI91" i="5" a="1"/>
  <c r="AI91" i="5"/>
  <c r="AJ91" i="5" a="1"/>
  <c r="AJ91" i="5"/>
  <c r="AF92" i="5" a="1"/>
  <c r="AF92" i="5" s="1"/>
  <c r="AG92" i="5" a="1"/>
  <c r="AG92" i="5" s="1"/>
  <c r="AH92" i="5" a="1"/>
  <c r="AH92" i="5" s="1"/>
  <c r="AI92" i="5" a="1"/>
  <c r="AI92" i="5" s="1"/>
  <c r="AJ92" i="5" a="1"/>
  <c r="AJ92" i="5" s="1"/>
  <c r="AF93" i="5" a="1"/>
  <c r="AF93" i="5" s="1"/>
  <c r="AG93" i="5" a="1"/>
  <c r="AG93" i="5" s="1"/>
  <c r="AH93" i="5" a="1"/>
  <c r="AH93" i="5"/>
  <c r="AI93" i="5" a="1"/>
  <c r="AI93" i="5"/>
  <c r="AJ93" i="5" a="1"/>
  <c r="AJ93" i="5"/>
  <c r="AF94" i="5" a="1"/>
  <c r="AF94" i="5"/>
  <c r="AG94" i="5" a="1"/>
  <c r="AG94" i="5"/>
  <c r="AH94" i="5" a="1"/>
  <c r="AH94" i="5" s="1"/>
  <c r="AI94" i="5" a="1"/>
  <c r="AI94" i="5" s="1"/>
  <c r="AJ94" i="5" a="1"/>
  <c r="AJ94" i="5" s="1"/>
  <c r="AF95" i="5" a="1"/>
  <c r="AF95" i="5" s="1"/>
  <c r="AG95" i="5" a="1"/>
  <c r="AG95" i="5" s="1"/>
  <c r="AH95" i="5" a="1"/>
  <c r="AH95" i="5" s="1"/>
  <c r="AI95" i="5" a="1"/>
  <c r="AI95" i="5" s="1"/>
  <c r="AJ95" i="5" a="1"/>
  <c r="AJ95" i="5"/>
  <c r="AF96" i="5" a="1"/>
  <c r="AF96" i="5"/>
  <c r="AG96" i="5" a="1"/>
  <c r="AG96" i="5"/>
  <c r="AH96" i="5" a="1"/>
  <c r="AH96" i="5"/>
  <c r="AI96" i="5" a="1"/>
  <c r="AI96" i="5"/>
  <c r="AJ96" i="5" a="1"/>
  <c r="AJ96" i="5" s="1"/>
  <c r="AF97" i="5" a="1"/>
  <c r="AF97" i="5" s="1"/>
  <c r="AG97" i="5" a="1"/>
  <c r="AG97" i="5" s="1"/>
  <c r="AH97" i="5" a="1"/>
  <c r="AH97" i="5" s="1"/>
  <c r="AI97" i="5" a="1"/>
  <c r="AI97" i="5" s="1"/>
  <c r="AJ97" i="5" a="1"/>
  <c r="AJ97" i="5" s="1"/>
  <c r="AF98" i="5" a="1"/>
  <c r="AF98" i="5" s="1"/>
  <c r="AG98" i="5" a="1"/>
  <c r="AG98" i="5"/>
  <c r="AH98" i="5" a="1"/>
  <c r="AH98" i="5"/>
  <c r="AI98" i="5" a="1"/>
  <c r="AI98" i="5"/>
  <c r="AJ98" i="5" a="1"/>
  <c r="AJ98" i="5"/>
  <c r="AF99" i="5" a="1"/>
  <c r="AF99" i="5"/>
  <c r="AG99" i="5" a="1"/>
  <c r="AG99" i="5" s="1"/>
  <c r="AH99" i="5" a="1"/>
  <c r="AH99" i="5" s="1"/>
  <c r="AI99" i="5" a="1"/>
  <c r="AI99" i="5" s="1"/>
  <c r="AJ99" i="5" a="1"/>
  <c r="AJ99" i="5" s="1"/>
  <c r="AF100" i="5" a="1"/>
  <c r="AF100" i="5" s="1"/>
  <c r="AG100" i="5" a="1"/>
  <c r="AG100" i="5" s="1"/>
  <c r="AH100" i="5" a="1"/>
  <c r="AH100" i="5" s="1"/>
  <c r="AI100" i="5" a="1"/>
  <c r="AI100" i="5"/>
  <c r="AJ100" i="5" a="1"/>
  <c r="AJ100" i="5"/>
  <c r="AF101" i="5" a="1"/>
  <c r="AF101" i="5"/>
  <c r="AG101" i="5" a="1"/>
  <c r="AG101" i="5"/>
  <c r="AH101" i="5" a="1"/>
  <c r="AH101" i="5"/>
  <c r="AI101" i="5" a="1"/>
  <c r="AI101" i="5" s="1"/>
  <c r="AJ101" i="5" a="1"/>
  <c r="AJ101" i="5" s="1"/>
  <c r="AF102" i="5" a="1"/>
  <c r="AF102" i="5" s="1"/>
  <c r="AG102" i="5" a="1"/>
  <c r="AG102" i="5" s="1"/>
  <c r="AH102" i="5" a="1"/>
  <c r="AH102" i="5" s="1"/>
  <c r="AI102" i="5" a="1"/>
  <c r="AI102" i="5" s="1"/>
  <c r="AJ102" i="5" a="1"/>
  <c r="AJ102" i="5" s="1"/>
  <c r="AF103" i="5" a="1"/>
  <c r="AF103" i="5"/>
  <c r="AG103" i="5" a="1"/>
  <c r="AG103" i="5"/>
  <c r="AH103" i="5" a="1"/>
  <c r="AH103" i="5"/>
  <c r="AI103" i="5" a="1"/>
  <c r="AI103" i="5"/>
  <c r="AJ103" i="5" a="1"/>
  <c r="AJ103" i="5"/>
  <c r="AF104" i="5" a="1"/>
  <c r="AF104" i="5" s="1"/>
  <c r="AG104" i="5" a="1"/>
  <c r="AG104" i="5" s="1"/>
  <c r="AH104" i="5" a="1"/>
  <c r="AH104" i="5" s="1"/>
  <c r="AI104" i="5" a="1"/>
  <c r="AI104" i="5" s="1"/>
  <c r="AJ104" i="5" a="1"/>
  <c r="AJ104" i="5" s="1"/>
  <c r="AF105" i="5" a="1"/>
  <c r="AF105" i="5" s="1"/>
  <c r="AG105" i="5" a="1"/>
  <c r="AG105" i="5" s="1"/>
  <c r="AH105" i="5" a="1"/>
  <c r="AH105" i="5"/>
  <c r="AI105" i="5" a="1"/>
  <c r="AI105" i="5"/>
  <c r="AJ105" i="5" a="1"/>
  <c r="AJ105" i="5"/>
  <c r="AF106" i="5" a="1"/>
  <c r="AF106" i="5"/>
  <c r="AG106" i="5" a="1"/>
  <c r="AG106" i="5"/>
  <c r="AH106" i="5" a="1"/>
  <c r="AH106" i="5" s="1"/>
  <c r="AI106" i="5" a="1"/>
  <c r="AI106" i="5" s="1"/>
  <c r="AJ106" i="5" a="1"/>
  <c r="AJ106" i="5" s="1"/>
  <c r="AF107" i="5" a="1"/>
  <c r="AF107" i="5" s="1"/>
  <c r="AG107" i="5" a="1"/>
  <c r="AG107" i="5" s="1"/>
  <c r="AH107" i="5" a="1"/>
  <c r="AH107" i="5" s="1"/>
  <c r="AI107" i="5" a="1"/>
  <c r="AI107" i="5" s="1"/>
  <c r="AJ107" i="5" a="1"/>
  <c r="AJ107" i="5"/>
  <c r="AF108" i="5" a="1"/>
  <c r="AF108" i="5"/>
  <c r="AG108" i="5" a="1"/>
  <c r="AG108" i="5"/>
  <c r="AH108" i="5" a="1"/>
  <c r="AH108" i="5"/>
  <c r="AI108" i="5" a="1"/>
  <c r="AI108" i="5"/>
  <c r="AJ108" i="5" a="1"/>
  <c r="AJ108" i="5" s="1"/>
  <c r="AF109" i="5" a="1"/>
  <c r="AF109" i="5" s="1"/>
  <c r="AG109" i="5" a="1"/>
  <c r="AG109" i="5" s="1"/>
  <c r="AH109" i="5" a="1"/>
  <c r="AH109" i="5" s="1"/>
  <c r="AI109" i="5" a="1"/>
  <c r="AI109" i="5" s="1"/>
  <c r="AJ109" i="5" a="1"/>
  <c r="AJ109" i="5" s="1"/>
  <c r="AF110" i="5" a="1"/>
  <c r="AF110" i="5" s="1"/>
  <c r="AG110" i="5" a="1"/>
  <c r="AG110" i="5" s="1"/>
  <c r="AH110" i="5" a="1"/>
  <c r="AH110" i="5" s="1"/>
  <c r="AI110" i="5" a="1"/>
  <c r="AI110" i="5" s="1"/>
  <c r="AJ110" i="5" a="1"/>
  <c r="AJ110" i="5" s="1"/>
  <c r="AF111" i="5" a="1"/>
  <c r="AF111" i="5" s="1"/>
  <c r="AG111" i="5" a="1"/>
  <c r="AG111" i="5" s="1"/>
  <c r="AH111" i="5" a="1"/>
  <c r="AH111" i="5" s="1"/>
  <c r="AI111" i="5" a="1"/>
  <c r="AI111" i="5" s="1"/>
  <c r="AJ111" i="5" a="1"/>
  <c r="AJ111" i="5" s="1"/>
  <c r="AF112" i="5" a="1"/>
  <c r="AF112" i="5" s="1"/>
  <c r="AG112" i="5" a="1"/>
  <c r="AG112" i="5" s="1"/>
  <c r="AH112" i="5" a="1"/>
  <c r="AH112" i="5" s="1"/>
  <c r="AI112" i="5" a="1"/>
  <c r="AI112" i="5" s="1"/>
  <c r="AJ112" i="5" a="1"/>
  <c r="AJ112" i="5" s="1"/>
  <c r="AF113" i="5" a="1"/>
  <c r="AF113" i="5" s="1"/>
  <c r="AG113" i="5" a="1"/>
  <c r="AG113" i="5" s="1"/>
  <c r="AH113" i="5" a="1"/>
  <c r="AH113" i="5" s="1"/>
  <c r="AI113" i="5" a="1"/>
  <c r="AI113" i="5" s="1"/>
  <c r="AJ113" i="5" a="1"/>
  <c r="AJ113" i="5" s="1"/>
  <c r="AF114" i="5" a="1"/>
  <c r="AF114" i="5" s="1"/>
  <c r="AG114" i="5" a="1"/>
  <c r="AG114" i="5" s="1"/>
  <c r="AH114" i="5" a="1"/>
  <c r="AH114" i="5" s="1"/>
  <c r="AI114" i="5" a="1"/>
  <c r="AI114" i="5" s="1"/>
  <c r="AJ114" i="5" a="1"/>
  <c r="AJ114" i="5" s="1"/>
  <c r="AF115" i="5" a="1"/>
  <c r="AF115" i="5" s="1"/>
  <c r="AG115" i="5" a="1"/>
  <c r="AG115" i="5" s="1"/>
  <c r="AH115" i="5" a="1"/>
  <c r="AH115" i="5" s="1"/>
  <c r="AI115" i="5" a="1"/>
  <c r="AI115" i="5" s="1"/>
  <c r="AJ115" i="5" a="1"/>
  <c r="AJ115" i="5" s="1"/>
  <c r="AF116" i="5" a="1"/>
  <c r="AF116" i="5" s="1"/>
  <c r="AG116" i="5" a="1"/>
  <c r="AG116" i="5" s="1"/>
  <c r="AH116" i="5" a="1"/>
  <c r="AH116" i="5" s="1"/>
  <c r="AI116" i="5" a="1"/>
  <c r="AI116" i="5" s="1"/>
  <c r="AJ116" i="5" a="1"/>
  <c r="AJ116" i="5" s="1"/>
  <c r="AF117" i="5" a="1"/>
  <c r="AF117" i="5" s="1"/>
  <c r="AG117" i="5" a="1"/>
  <c r="AG117" i="5" s="1"/>
  <c r="AH117" i="5" a="1"/>
  <c r="AH117" i="5" s="1"/>
  <c r="AI117" i="5" a="1"/>
  <c r="AI117" i="5" s="1"/>
  <c r="AJ117" i="5" a="1"/>
  <c r="AJ117" i="5" s="1"/>
  <c r="AF118" i="5" a="1"/>
  <c r="AF118" i="5" s="1"/>
  <c r="AG118" i="5" a="1"/>
  <c r="AG118" i="5" s="1"/>
  <c r="AH118" i="5" a="1"/>
  <c r="AH118" i="5" s="1"/>
  <c r="AI118" i="5" a="1"/>
  <c r="AI118" i="5" s="1"/>
  <c r="AJ118" i="5" a="1"/>
  <c r="AJ118" i="5" s="1"/>
  <c r="AF119" i="5" a="1"/>
  <c r="AF119" i="5" s="1"/>
  <c r="AG119" i="5" a="1"/>
  <c r="AG119" i="5" s="1"/>
  <c r="AH119" i="5" a="1"/>
  <c r="AH119" i="5" s="1"/>
  <c r="AI119" i="5" a="1"/>
  <c r="AI119" i="5" s="1"/>
  <c r="AJ119" i="5" a="1"/>
  <c r="AJ119" i="5" s="1"/>
  <c r="AF120" i="5" a="1"/>
  <c r="AF120" i="5" s="1"/>
  <c r="AG120" i="5" a="1"/>
  <c r="AG120" i="5" s="1"/>
  <c r="AH120" i="5" a="1"/>
  <c r="AH120" i="5" s="1"/>
  <c r="AI120" i="5" a="1"/>
  <c r="AI120" i="5" s="1"/>
  <c r="AJ120" i="5" a="1"/>
  <c r="AJ120" i="5" s="1"/>
  <c r="AF121" i="5" a="1"/>
  <c r="AF121" i="5" s="1"/>
  <c r="AG121" i="5" a="1"/>
  <c r="AG121" i="5" s="1"/>
  <c r="AH121" i="5" a="1"/>
  <c r="AH121" i="5" s="1"/>
  <c r="AI121" i="5" a="1"/>
  <c r="AI121" i="5" s="1"/>
  <c r="AJ121" i="5" a="1"/>
  <c r="AJ121" i="5" s="1"/>
  <c r="AF122" i="5" a="1"/>
  <c r="AF122" i="5" s="1"/>
  <c r="AG122" i="5" a="1"/>
  <c r="AG122" i="5" s="1"/>
  <c r="AH122" i="5" a="1"/>
  <c r="AH122" i="5" s="1"/>
  <c r="AI122" i="5" a="1"/>
  <c r="AI122" i="5" s="1"/>
  <c r="AJ122" i="5" a="1"/>
  <c r="AJ122" i="5" s="1"/>
  <c r="AF123" i="5" a="1"/>
  <c r="AF123" i="5" s="1"/>
  <c r="AG123" i="5" a="1"/>
  <c r="AG123" i="5" s="1"/>
  <c r="AH123" i="5" a="1"/>
  <c r="AH123" i="5" s="1"/>
  <c r="AI123" i="5" a="1"/>
  <c r="AI123" i="5" s="1"/>
  <c r="AJ123" i="5" a="1"/>
  <c r="AJ123" i="5" s="1"/>
  <c r="AF124" i="5" a="1"/>
  <c r="AF124" i="5" s="1"/>
  <c r="AG124" i="5" a="1"/>
  <c r="AG124" i="5" s="1"/>
  <c r="AH124" i="5" a="1"/>
  <c r="AH124" i="5" s="1"/>
  <c r="AI124" i="5" a="1"/>
  <c r="AI124" i="5" s="1"/>
  <c r="AJ124" i="5" a="1"/>
  <c r="AJ124" i="5" s="1"/>
  <c r="AF125" i="5" a="1"/>
  <c r="AF125" i="5" s="1"/>
  <c r="AG125" i="5" a="1"/>
  <c r="AG125" i="5" s="1"/>
  <c r="AH125" i="5" a="1"/>
  <c r="AH125" i="5" s="1"/>
  <c r="AI125" i="5" a="1"/>
  <c r="AI125" i="5" s="1"/>
  <c r="AJ125" i="5" a="1"/>
  <c r="AJ125" i="5" s="1"/>
  <c r="AF126" i="5" a="1"/>
  <c r="AF126" i="5" s="1"/>
  <c r="AG126" i="5" a="1"/>
  <c r="AG126" i="5" s="1"/>
  <c r="AH126" i="5" a="1"/>
  <c r="AH126" i="5" s="1"/>
  <c r="AI126" i="5" a="1"/>
  <c r="AI126" i="5" s="1"/>
  <c r="AJ126" i="5" a="1"/>
  <c r="AJ126" i="5" s="1"/>
  <c r="AF127" i="5" a="1"/>
  <c r="AF127" i="5" s="1"/>
  <c r="AG127" i="5" a="1"/>
  <c r="AG127" i="5" s="1"/>
  <c r="AH127" i="5" a="1"/>
  <c r="AH127" i="5" s="1"/>
  <c r="AI127" i="5" a="1"/>
  <c r="AI127" i="5" s="1"/>
  <c r="AJ127" i="5" a="1"/>
  <c r="AJ127" i="5" s="1"/>
  <c r="AF128" i="5" a="1"/>
  <c r="AF128" i="5" s="1"/>
  <c r="AG128" i="5" a="1"/>
  <c r="AG128" i="5" s="1"/>
  <c r="AH128" i="5" a="1"/>
  <c r="AH128" i="5" s="1"/>
  <c r="AI128" i="5" a="1"/>
  <c r="AI128" i="5" s="1"/>
  <c r="AJ128" i="5" a="1"/>
  <c r="AJ128" i="5" s="1"/>
  <c r="AF129" i="5" a="1"/>
  <c r="AF129" i="5" s="1"/>
  <c r="AG129" i="5" a="1"/>
  <c r="AG129" i="5" s="1"/>
  <c r="AH129" i="5" a="1"/>
  <c r="AH129" i="5" s="1"/>
  <c r="AI129" i="5" a="1"/>
  <c r="AI129" i="5" s="1"/>
  <c r="AJ129" i="5" a="1"/>
  <c r="AJ129" i="5" s="1"/>
  <c r="AF130" i="5" a="1"/>
  <c r="AF130" i="5" s="1"/>
  <c r="AG130" i="5" a="1"/>
  <c r="AG130" i="5" s="1"/>
  <c r="AH130" i="5" a="1"/>
  <c r="AH130" i="5" s="1"/>
  <c r="AI130" i="5" a="1"/>
  <c r="AI130" i="5" s="1"/>
  <c r="AJ130" i="5" a="1"/>
  <c r="AJ130" i="5" s="1"/>
  <c r="AF131" i="5" a="1"/>
  <c r="AF131" i="5" s="1"/>
  <c r="AG131" i="5" a="1"/>
  <c r="AG131" i="5" s="1"/>
  <c r="AH131" i="5" a="1"/>
  <c r="AH131" i="5" s="1"/>
  <c r="AI131" i="5" a="1"/>
  <c r="AI131" i="5" s="1"/>
  <c r="AJ131" i="5" a="1"/>
  <c r="AJ131" i="5" s="1"/>
  <c r="AF132" i="5" a="1"/>
  <c r="AF132" i="5" s="1"/>
  <c r="AG132" i="5" a="1"/>
  <c r="AG132" i="5" s="1"/>
  <c r="AH132" i="5" a="1"/>
  <c r="AH132" i="5" s="1"/>
  <c r="AI132" i="5" a="1"/>
  <c r="AI132" i="5" s="1"/>
  <c r="AJ132" i="5" a="1"/>
  <c r="AJ132" i="5" s="1"/>
  <c r="AF133" i="5" a="1"/>
  <c r="AF133" i="5" s="1"/>
  <c r="AG133" i="5" a="1"/>
  <c r="AG133" i="5" s="1"/>
  <c r="AH133" i="5" a="1"/>
  <c r="AH133" i="5" s="1"/>
  <c r="AI133" i="5" a="1"/>
  <c r="AI133" i="5" s="1"/>
  <c r="AJ133" i="5" a="1"/>
  <c r="AJ133" i="5" s="1"/>
  <c r="AF134" i="5" a="1"/>
  <c r="AF134" i="5" s="1"/>
  <c r="AG134" i="5" a="1"/>
  <c r="AG134" i="5" s="1"/>
  <c r="AH134" i="5" a="1"/>
  <c r="AH134" i="5" s="1"/>
  <c r="AI134" i="5" a="1"/>
  <c r="AI134" i="5" s="1"/>
  <c r="AJ134" i="5" a="1"/>
  <c r="AJ134" i="5" s="1"/>
  <c r="AF135" i="5" a="1"/>
  <c r="AF135" i="5" s="1"/>
  <c r="AG135" i="5" a="1"/>
  <c r="AG135" i="5" s="1"/>
  <c r="AH135" i="5" a="1"/>
  <c r="AH135" i="5" s="1"/>
  <c r="AI135" i="5" a="1"/>
  <c r="AI135" i="5" s="1"/>
  <c r="AJ135" i="5" a="1"/>
  <c r="AJ135" i="5" s="1"/>
  <c r="AF136" i="5" a="1"/>
  <c r="AF136" i="5" s="1"/>
  <c r="AG136" i="5" a="1"/>
  <c r="AG136" i="5" s="1"/>
  <c r="AH136" i="5" a="1"/>
  <c r="AH136" i="5" s="1"/>
  <c r="AI136" i="5" a="1"/>
  <c r="AI136" i="5" s="1"/>
  <c r="AJ136" i="5" a="1"/>
  <c r="AJ136" i="5" s="1"/>
  <c r="AF137" i="5" a="1"/>
  <c r="AF137" i="5" s="1"/>
  <c r="AG137" i="5" a="1"/>
  <c r="AG137" i="5" s="1"/>
  <c r="AH137" i="5" a="1"/>
  <c r="AH137" i="5" s="1"/>
  <c r="AI137" i="5" a="1"/>
  <c r="AI137" i="5" s="1"/>
  <c r="AJ137" i="5" a="1"/>
  <c r="AJ137" i="5" s="1"/>
  <c r="AF138" i="5" a="1"/>
  <c r="AF138" i="5" s="1"/>
  <c r="AG138" i="5" a="1"/>
  <c r="AG138" i="5" s="1"/>
  <c r="AH138" i="5" a="1"/>
  <c r="AH138" i="5" s="1"/>
  <c r="AI138" i="5" a="1"/>
  <c r="AI138" i="5" s="1"/>
  <c r="AJ138" i="5" a="1"/>
  <c r="AJ138" i="5" s="1"/>
  <c r="AF139" i="5" a="1"/>
  <c r="AF139" i="5" s="1"/>
  <c r="AG139" i="5" a="1"/>
  <c r="AG139" i="5" s="1"/>
  <c r="AH139" i="5" a="1"/>
  <c r="AH139" i="5" s="1"/>
  <c r="AI139" i="5" a="1"/>
  <c r="AI139" i="5" s="1"/>
  <c r="AJ139" i="5" a="1"/>
  <c r="AJ139" i="5" s="1"/>
  <c r="AF140" i="5" a="1"/>
  <c r="AF140" i="5" s="1"/>
  <c r="AG140" i="5" a="1"/>
  <c r="AG140" i="5" s="1"/>
  <c r="AH140" i="5" a="1"/>
  <c r="AH140" i="5" s="1"/>
  <c r="AI140" i="5" a="1"/>
  <c r="AI140" i="5" s="1"/>
  <c r="AJ140" i="5" a="1"/>
  <c r="AJ140" i="5" s="1"/>
  <c r="AF141" i="5" a="1"/>
  <c r="AF141" i="5" s="1"/>
  <c r="AG141" i="5" a="1"/>
  <c r="AG141" i="5" s="1"/>
  <c r="AH141" i="5" a="1"/>
  <c r="AH141" i="5" s="1"/>
  <c r="AI141" i="5" a="1"/>
  <c r="AI141" i="5" s="1"/>
  <c r="AJ141" i="5" a="1"/>
  <c r="AJ141" i="5" s="1"/>
  <c r="AF142" i="5" a="1"/>
  <c r="AF142" i="5" s="1"/>
  <c r="AG142" i="5" a="1"/>
  <c r="AG142" i="5" s="1"/>
  <c r="AH142" i="5" a="1"/>
  <c r="AH142" i="5" s="1"/>
  <c r="AI142" i="5" a="1"/>
  <c r="AI142" i="5" s="1"/>
  <c r="AJ142" i="5" a="1"/>
  <c r="AJ142" i="5" s="1"/>
  <c r="AF143" i="5" a="1"/>
  <c r="AF143" i="5" s="1"/>
  <c r="AG143" i="5" a="1"/>
  <c r="AG143" i="5" s="1"/>
  <c r="AH143" i="5" a="1"/>
  <c r="AH143" i="5" s="1"/>
  <c r="AI143" i="5" a="1"/>
  <c r="AI143" i="5" s="1"/>
  <c r="AJ143" i="5" a="1"/>
  <c r="AJ143" i="5" s="1"/>
  <c r="AF144" i="5" a="1"/>
  <c r="AF144" i="5" s="1"/>
  <c r="AG144" i="5" a="1"/>
  <c r="AG144" i="5" s="1"/>
  <c r="AH144" i="5" a="1"/>
  <c r="AH144" i="5" s="1"/>
  <c r="AI144" i="5" a="1"/>
  <c r="AI144" i="5" s="1"/>
  <c r="AJ144" i="5" a="1"/>
  <c r="AJ144" i="5" s="1"/>
  <c r="AF145" i="5" a="1"/>
  <c r="AF145" i="5" s="1"/>
  <c r="AG145" i="5" a="1"/>
  <c r="AG145" i="5" s="1"/>
  <c r="AH145" i="5" a="1"/>
  <c r="AH145" i="5" s="1"/>
  <c r="AI145" i="5" a="1"/>
  <c r="AI145" i="5" s="1"/>
  <c r="AJ145" i="5" a="1"/>
  <c r="AJ145" i="5" s="1"/>
  <c r="AF146" i="5" a="1"/>
  <c r="AF146" i="5" s="1"/>
  <c r="AG146" i="5" a="1"/>
  <c r="AG146" i="5" s="1"/>
  <c r="AH146" i="5" a="1"/>
  <c r="AH146" i="5" s="1"/>
  <c r="AI146" i="5" a="1"/>
  <c r="AI146" i="5" s="1"/>
  <c r="AJ146" i="5" a="1"/>
  <c r="AJ146" i="5" s="1"/>
  <c r="AF147" i="5" a="1"/>
  <c r="AF147" i="5" s="1"/>
  <c r="AG147" i="5" a="1"/>
  <c r="AG147" i="5" s="1"/>
  <c r="AH147" i="5" a="1"/>
  <c r="AH147" i="5" s="1"/>
  <c r="AI147" i="5" a="1"/>
  <c r="AI147" i="5" s="1"/>
  <c r="AJ147" i="5" a="1"/>
  <c r="AJ147" i="5" s="1"/>
  <c r="AF148" i="5" a="1"/>
  <c r="AF148" i="5" s="1"/>
  <c r="AG148" i="5" a="1"/>
  <c r="AG148" i="5" s="1"/>
  <c r="AH148" i="5" a="1"/>
  <c r="AH148" i="5" s="1"/>
  <c r="AI148" i="5" a="1"/>
  <c r="AI148" i="5" s="1"/>
  <c r="AJ148" i="5" a="1"/>
  <c r="AJ148" i="5" s="1"/>
  <c r="AF149" i="5" a="1"/>
  <c r="AF149" i="5" s="1"/>
  <c r="AG149" i="5" a="1"/>
  <c r="AG149" i="5" s="1"/>
  <c r="AH149" i="5" a="1"/>
  <c r="AH149" i="5" s="1"/>
  <c r="AI149" i="5" a="1"/>
  <c r="AI149" i="5" s="1"/>
  <c r="AJ149" i="5" a="1"/>
  <c r="AJ149" i="5" s="1"/>
  <c r="AF150" i="5" a="1"/>
  <c r="AF150" i="5" s="1"/>
  <c r="AG150" i="5" a="1"/>
  <c r="AG150" i="5" s="1"/>
  <c r="AH150" i="5" a="1"/>
  <c r="AH150" i="5" s="1"/>
  <c r="AI150" i="5" a="1"/>
  <c r="AI150" i="5" s="1"/>
  <c r="AJ150" i="5" a="1"/>
  <c r="AJ150" i="5" s="1"/>
  <c r="AF151" i="5" a="1"/>
  <c r="AF151" i="5" s="1"/>
  <c r="AG151" i="5" a="1"/>
  <c r="AG151" i="5" s="1"/>
  <c r="AH151" i="5" a="1"/>
  <c r="AH151" i="5" s="1"/>
  <c r="AI151" i="5" a="1"/>
  <c r="AI151" i="5" s="1"/>
  <c r="AJ151" i="5" a="1"/>
  <c r="AJ151" i="5" s="1"/>
  <c r="AF152" i="5" a="1"/>
  <c r="AF152" i="5" s="1"/>
  <c r="AG152" i="5" a="1"/>
  <c r="AG152" i="5" s="1"/>
  <c r="AH152" i="5" a="1"/>
  <c r="AH152" i="5" s="1"/>
  <c r="AI152" i="5" a="1"/>
  <c r="AI152" i="5" s="1"/>
  <c r="AJ152" i="5" a="1"/>
  <c r="AJ152" i="5" s="1"/>
  <c r="AF153" i="5" a="1"/>
  <c r="AF153" i="5" s="1"/>
  <c r="AG153" i="5" a="1"/>
  <c r="AG153" i="5" s="1"/>
  <c r="AH153" i="5" a="1"/>
  <c r="AH153" i="5" s="1"/>
  <c r="AI153" i="5" a="1"/>
  <c r="AI153" i="5" s="1"/>
  <c r="AJ153" i="5" a="1"/>
  <c r="AJ153" i="5" s="1"/>
  <c r="AF154" i="5" a="1"/>
  <c r="AF154" i="5" s="1"/>
  <c r="AG154" i="5" a="1"/>
  <c r="AG154" i="5" s="1"/>
  <c r="AH154" i="5" a="1"/>
  <c r="AH154" i="5" s="1"/>
  <c r="AI154" i="5" a="1"/>
  <c r="AI154" i="5" s="1"/>
  <c r="AJ154" i="5" a="1"/>
  <c r="AJ154" i="5" s="1"/>
  <c r="AF155" i="5" a="1"/>
  <c r="AF155" i="5" s="1"/>
  <c r="AG155" i="5" a="1"/>
  <c r="AG155" i="5" s="1"/>
  <c r="AH155" i="5" a="1"/>
  <c r="AH155" i="5" s="1"/>
  <c r="AI155" i="5" a="1"/>
  <c r="AI155" i="5" s="1"/>
  <c r="AJ155" i="5" a="1"/>
  <c r="AJ155" i="5" s="1"/>
  <c r="AF156" i="5" a="1"/>
  <c r="AF156" i="5" s="1"/>
  <c r="AG156" i="5" a="1"/>
  <c r="AG156" i="5" s="1"/>
  <c r="AH156" i="5" a="1"/>
  <c r="AH156" i="5" s="1"/>
  <c r="AI156" i="5" a="1"/>
  <c r="AI156" i="5" s="1"/>
  <c r="AJ156" i="5" a="1"/>
  <c r="AJ156" i="5" s="1"/>
  <c r="AF157" i="5" a="1"/>
  <c r="AF157" i="5" s="1"/>
  <c r="AG157" i="5" a="1"/>
  <c r="AG157" i="5" s="1"/>
  <c r="AH157" i="5" a="1"/>
  <c r="AH157" i="5" s="1"/>
  <c r="AI157" i="5" a="1"/>
  <c r="AI157" i="5" s="1"/>
  <c r="AJ157" i="5" a="1"/>
  <c r="AJ157" i="5" s="1"/>
  <c r="AF158" i="5" a="1"/>
  <c r="AF158" i="5" s="1"/>
  <c r="AG158" i="5" a="1"/>
  <c r="AG158" i="5" s="1"/>
  <c r="AH158" i="5" a="1"/>
  <c r="AH158" i="5" s="1"/>
  <c r="AI158" i="5" a="1"/>
  <c r="AI158" i="5" s="1"/>
  <c r="AJ158" i="5" a="1"/>
  <c r="AJ158" i="5" s="1"/>
  <c r="AA8" i="5" a="1"/>
  <c r="AA8" i="5" s="1"/>
  <c r="AB8" i="5" a="1"/>
  <c r="AB8" i="5" s="1"/>
  <c r="AC8" i="5" a="1"/>
  <c r="AC8" i="5" s="1"/>
  <c r="AD8" i="5" a="1"/>
  <c r="AD8" i="5"/>
  <c r="AE8" i="5" a="1"/>
  <c r="AE8" i="5" s="1"/>
  <c r="AA9" i="5" a="1"/>
  <c r="AA9" i="5" s="1"/>
  <c r="AB9" i="5" a="1"/>
  <c r="AB9" i="5" s="1"/>
  <c r="AC9" i="5" a="1"/>
  <c r="AC9" i="5" s="1"/>
  <c r="AD9" i="5" a="1"/>
  <c r="AD9" i="5" s="1"/>
  <c r="AE9" i="5" a="1"/>
  <c r="AE9" i="5" s="1"/>
  <c r="AA10" i="5" a="1"/>
  <c r="AA10" i="5" s="1"/>
  <c r="AB10" i="5" a="1"/>
  <c r="AB10" i="5" s="1"/>
  <c r="AC10" i="5" a="1"/>
  <c r="AC10" i="5" s="1"/>
  <c r="AD10" i="5" a="1"/>
  <c r="AD10" i="5" s="1"/>
  <c r="AE10" i="5" a="1"/>
  <c r="AE10" i="5" s="1"/>
  <c r="AA11" i="5" a="1"/>
  <c r="AA11" i="5" s="1"/>
  <c r="AB11" i="5" a="1"/>
  <c r="AB11" i="5" s="1"/>
  <c r="AC11" i="5" a="1"/>
  <c r="AC11" i="5" s="1"/>
  <c r="AD11" i="5" a="1"/>
  <c r="AD11" i="5" s="1"/>
  <c r="AE11" i="5" a="1"/>
  <c r="AE11" i="5" s="1"/>
  <c r="AA12" i="5" a="1"/>
  <c r="AA12" i="5" s="1"/>
  <c r="AB12" i="5" a="1"/>
  <c r="AB12" i="5"/>
  <c r="AC12" i="5" a="1"/>
  <c r="AC12" i="5"/>
  <c r="AD12" i="5" a="1"/>
  <c r="AD12" i="5"/>
  <c r="AE12" i="5" a="1"/>
  <c r="AE12" i="5" s="1"/>
  <c r="AA13" i="5" a="1"/>
  <c r="AA13" i="5" s="1"/>
  <c r="AB13" i="5" a="1"/>
  <c r="AB13" i="5" s="1"/>
  <c r="AC13" i="5" a="1"/>
  <c r="AC13" i="5" s="1"/>
  <c r="AD13" i="5" a="1"/>
  <c r="AD13" i="5"/>
  <c r="AE13" i="5" a="1"/>
  <c r="AE13" i="5" s="1"/>
  <c r="AA14" i="5" a="1"/>
  <c r="AA14" i="5" s="1"/>
  <c r="AB14" i="5" a="1"/>
  <c r="AB14" i="5" s="1"/>
  <c r="AC14" i="5" a="1"/>
  <c r="AC14" i="5" s="1"/>
  <c r="AD14" i="5" a="1"/>
  <c r="AD14" i="5" s="1"/>
  <c r="AE14" i="5" a="1"/>
  <c r="AE14" i="5"/>
  <c r="AA15" i="5" a="1"/>
  <c r="AA15" i="5" s="1"/>
  <c r="AB15" i="5" a="1"/>
  <c r="AB15" i="5" s="1"/>
  <c r="AC15" i="5" a="1"/>
  <c r="AC15" i="5" s="1"/>
  <c r="AD15" i="5" a="1"/>
  <c r="AD15" i="5" s="1"/>
  <c r="AE15" i="5" a="1"/>
  <c r="AE15" i="5" s="1"/>
  <c r="AA16" i="5" a="1"/>
  <c r="AA16" i="5" s="1"/>
  <c r="AB16" i="5" a="1"/>
  <c r="AB16" i="5" s="1"/>
  <c r="AC16" i="5" a="1"/>
  <c r="AC16" i="5" s="1"/>
  <c r="AD16" i="5" a="1"/>
  <c r="AD16" i="5" s="1"/>
  <c r="AE16" i="5" a="1"/>
  <c r="AE16" i="5" s="1"/>
  <c r="AA17" i="5" a="1"/>
  <c r="AA17" i="5"/>
  <c r="AB17" i="5" a="1"/>
  <c r="AB17" i="5"/>
  <c r="AC17" i="5" a="1"/>
  <c r="AC17" i="5"/>
  <c r="AD17" i="5" a="1"/>
  <c r="AD17" i="5" s="1"/>
  <c r="AE17" i="5" a="1"/>
  <c r="AE17" i="5" s="1"/>
  <c r="AA18" i="5" a="1"/>
  <c r="AA18" i="5" s="1"/>
  <c r="AB18" i="5" a="1"/>
  <c r="AB18" i="5" s="1"/>
  <c r="AC18" i="5" a="1"/>
  <c r="AC18" i="5"/>
  <c r="AD18" i="5" a="1"/>
  <c r="AD18" i="5" s="1"/>
  <c r="AE18" i="5" a="1"/>
  <c r="AE18" i="5" s="1"/>
  <c r="AA19" i="5" a="1"/>
  <c r="AA19" i="5" s="1"/>
  <c r="AB19" i="5" a="1"/>
  <c r="AB19" i="5" s="1"/>
  <c r="AC19" i="5" a="1"/>
  <c r="AC19" i="5" s="1"/>
  <c r="AD19" i="5" a="1"/>
  <c r="AD19" i="5"/>
  <c r="AE19" i="5" a="1"/>
  <c r="AE19" i="5"/>
  <c r="AA20" i="5" a="1"/>
  <c r="AA20" i="5" s="1"/>
  <c r="AB20" i="5" a="1"/>
  <c r="AB20" i="5" s="1"/>
  <c r="AC20" i="5" a="1"/>
  <c r="AC20" i="5" s="1"/>
  <c r="AD20" i="5" a="1"/>
  <c r="AD20" i="5" s="1"/>
  <c r="AE20" i="5" a="1"/>
  <c r="AE20" i="5" s="1"/>
  <c r="AA21" i="5" a="1"/>
  <c r="AA21" i="5" s="1"/>
  <c r="AB21" i="5" a="1"/>
  <c r="AB21" i="5" s="1"/>
  <c r="AC21" i="5" a="1"/>
  <c r="AC21" i="5" s="1"/>
  <c r="AD21" i="5" a="1"/>
  <c r="AD21" i="5" s="1"/>
  <c r="AE21" i="5" a="1"/>
  <c r="AE21" i="5"/>
  <c r="AA22" i="5" a="1"/>
  <c r="AA22" i="5"/>
  <c r="AB22" i="5" a="1"/>
  <c r="AB22" i="5"/>
  <c r="AC22" i="5" a="1"/>
  <c r="AC22" i="5" s="1"/>
  <c r="AD22" i="5" a="1"/>
  <c r="AD22" i="5" s="1"/>
  <c r="AE22" i="5" a="1"/>
  <c r="AE22" i="5" s="1"/>
  <c r="AA23" i="5" a="1"/>
  <c r="AA23" i="5" s="1"/>
  <c r="AB23" i="5" a="1"/>
  <c r="AB23" i="5"/>
  <c r="AC23" i="5" a="1"/>
  <c r="AC23" i="5" s="1"/>
  <c r="AD23" i="5" a="1"/>
  <c r="AD23" i="5" s="1"/>
  <c r="AE23" i="5" a="1"/>
  <c r="AE23" i="5" s="1"/>
  <c r="AA24" i="5" a="1"/>
  <c r="AA24" i="5" s="1"/>
  <c r="AB24" i="5" a="1"/>
  <c r="AB24" i="5" s="1"/>
  <c r="AC24" i="5" a="1"/>
  <c r="AC24" i="5"/>
  <c r="AD24" i="5" a="1"/>
  <c r="AD24" i="5"/>
  <c r="AE24" i="5" a="1"/>
  <c r="AE24" i="5" s="1"/>
  <c r="AA25" i="5" a="1"/>
  <c r="AA25" i="5" s="1"/>
  <c r="AB25" i="5" a="1"/>
  <c r="AB25" i="5" s="1"/>
  <c r="AC25" i="5" a="1"/>
  <c r="AC25" i="5" s="1"/>
  <c r="AD25" i="5" a="1"/>
  <c r="AD25" i="5" s="1"/>
  <c r="AE25" i="5" a="1"/>
  <c r="AE25" i="5" s="1"/>
  <c r="AA26" i="5" a="1"/>
  <c r="AA26" i="5" s="1"/>
  <c r="AB26" i="5" a="1"/>
  <c r="AB26" i="5" s="1"/>
  <c r="AC26" i="5" a="1"/>
  <c r="AC26" i="5" s="1"/>
  <c r="AD26" i="5" a="1"/>
  <c r="AD26" i="5"/>
  <c r="AE26" i="5" a="1"/>
  <c r="AE26" i="5"/>
  <c r="AA27" i="5" a="1"/>
  <c r="AA27" i="5"/>
  <c r="AB27" i="5" a="1"/>
  <c r="AB27" i="5" s="1"/>
  <c r="AC27" i="5" a="1"/>
  <c r="AC27" i="5" s="1"/>
  <c r="AD27" i="5" a="1"/>
  <c r="AD27" i="5" s="1"/>
  <c r="AE27" i="5" a="1"/>
  <c r="AE27" i="5" s="1"/>
  <c r="AA28" i="5" a="1"/>
  <c r="AA28" i="5"/>
  <c r="AB28" i="5" a="1"/>
  <c r="AB28" i="5" s="1"/>
  <c r="AC28" i="5" a="1"/>
  <c r="AC28" i="5" s="1"/>
  <c r="AD28" i="5" a="1"/>
  <c r="AD28" i="5" s="1"/>
  <c r="AE28" i="5" a="1"/>
  <c r="AE28" i="5" s="1"/>
  <c r="AA29" i="5" a="1"/>
  <c r="AA29" i="5" s="1"/>
  <c r="AB29" i="5" a="1"/>
  <c r="AB29" i="5"/>
  <c r="AC29" i="5" a="1"/>
  <c r="AC29" i="5"/>
  <c r="AD29" i="5" a="1"/>
  <c r="AD29" i="5" s="1"/>
  <c r="AE29" i="5" a="1"/>
  <c r="AE29" i="5" s="1"/>
  <c r="AA30" i="5" a="1"/>
  <c r="AA30" i="5" s="1"/>
  <c r="AB30" i="5" a="1"/>
  <c r="AB30" i="5" s="1"/>
  <c r="AC30" i="5" a="1"/>
  <c r="AC30" i="5" s="1"/>
  <c r="AD30" i="5" a="1"/>
  <c r="AD30" i="5" s="1"/>
  <c r="AE30" i="5" a="1"/>
  <c r="AE30" i="5" s="1"/>
  <c r="AA31" i="5" a="1"/>
  <c r="AA31" i="5" s="1"/>
  <c r="AB31" i="5" a="1"/>
  <c r="AB31" i="5" s="1"/>
  <c r="AC31" i="5" a="1"/>
  <c r="AC31" i="5"/>
  <c r="AD31" i="5" a="1"/>
  <c r="AD31" i="5"/>
  <c r="AE31" i="5" a="1"/>
  <c r="AE31" i="5"/>
  <c r="AA32" i="5" a="1"/>
  <c r="AA32" i="5" s="1"/>
  <c r="AB32" i="5" a="1"/>
  <c r="AB32" i="5" s="1"/>
  <c r="AC32" i="5" a="1"/>
  <c r="AC32" i="5" s="1"/>
  <c r="AD32" i="5" a="1"/>
  <c r="AD32" i="5" s="1"/>
  <c r="AE32" i="5" a="1"/>
  <c r="AE32" i="5"/>
  <c r="AA33" i="5" a="1"/>
  <c r="AA33" i="5" s="1"/>
  <c r="AB33" i="5" a="1"/>
  <c r="AB33" i="5" s="1"/>
  <c r="AC33" i="5" a="1"/>
  <c r="AC33" i="5" s="1"/>
  <c r="AD33" i="5" a="1"/>
  <c r="AD33" i="5" s="1"/>
  <c r="AE33" i="5" a="1"/>
  <c r="AE33" i="5" s="1"/>
  <c r="AA34" i="5" a="1"/>
  <c r="AA34" i="5"/>
  <c r="AB34" i="5" a="1"/>
  <c r="AB34" i="5"/>
  <c r="AC34" i="5" a="1"/>
  <c r="AC34" i="5" s="1"/>
  <c r="AD34" i="5" a="1"/>
  <c r="AD34" i="5" s="1"/>
  <c r="AE34" i="5" a="1"/>
  <c r="AE34" i="5" s="1"/>
  <c r="AA35" i="5" a="1"/>
  <c r="AA35" i="5" s="1"/>
  <c r="AB35" i="5" a="1"/>
  <c r="AB35" i="5" s="1"/>
  <c r="AC35" i="5" a="1"/>
  <c r="AC35" i="5" s="1"/>
  <c r="AD35" i="5" a="1"/>
  <c r="AD35" i="5" s="1"/>
  <c r="AE35" i="5" a="1"/>
  <c r="AE35" i="5" s="1"/>
  <c r="AA36" i="5" a="1"/>
  <c r="AA36" i="5" s="1"/>
  <c r="AB36" i="5" a="1"/>
  <c r="AB36" i="5"/>
  <c r="AC36" i="5" a="1"/>
  <c r="AC36" i="5"/>
  <c r="AD36" i="5" a="1"/>
  <c r="AD36" i="5"/>
  <c r="AE36" i="5" a="1"/>
  <c r="AE36" i="5" s="1"/>
  <c r="AA37" i="5" a="1"/>
  <c r="AA37" i="5" s="1"/>
  <c r="AB37" i="5" a="1"/>
  <c r="AB37" i="5" s="1"/>
  <c r="AC37" i="5" a="1"/>
  <c r="AC37" i="5" s="1"/>
  <c r="AD37" i="5" a="1"/>
  <c r="AD37" i="5"/>
  <c r="AE37" i="5" a="1"/>
  <c r="AE37" i="5" s="1"/>
  <c r="AA38" i="5" a="1"/>
  <c r="AA38" i="5" s="1"/>
  <c r="AB38" i="5" a="1"/>
  <c r="AB38" i="5" s="1"/>
  <c r="AC38" i="5" a="1"/>
  <c r="AC38" i="5" s="1"/>
  <c r="AD38" i="5" a="1"/>
  <c r="AD38" i="5" s="1"/>
  <c r="AE38" i="5" a="1"/>
  <c r="AE38" i="5"/>
  <c r="AA39" i="5" a="1"/>
  <c r="AA39" i="5"/>
  <c r="AB39" i="5" a="1"/>
  <c r="AB39" i="5" s="1"/>
  <c r="AC39" i="5" a="1"/>
  <c r="AC39" i="5" s="1"/>
  <c r="AD39" i="5" a="1"/>
  <c r="AD39" i="5" s="1"/>
  <c r="AE39" i="5" a="1"/>
  <c r="AE39" i="5" s="1"/>
  <c r="AA40" i="5" a="1"/>
  <c r="AA40" i="5" s="1"/>
  <c r="AB40" i="5" a="1"/>
  <c r="AB40" i="5" s="1"/>
  <c r="AC40" i="5" a="1"/>
  <c r="AC40" i="5" s="1"/>
  <c r="AD40" i="5" a="1"/>
  <c r="AD40" i="5" s="1"/>
  <c r="AE40" i="5" a="1"/>
  <c r="AE40" i="5" s="1"/>
  <c r="AA41" i="5" a="1"/>
  <c r="AA41" i="5"/>
  <c r="AB41" i="5" a="1"/>
  <c r="AB41" i="5"/>
  <c r="AC41" i="5" a="1"/>
  <c r="AC41" i="5"/>
  <c r="AD41" i="5" a="1"/>
  <c r="AD41" i="5" s="1"/>
  <c r="AE41" i="5" a="1"/>
  <c r="AE41" i="5" s="1"/>
  <c r="AA42" i="5" a="1"/>
  <c r="AA42" i="5" s="1"/>
  <c r="AB42" i="5" a="1"/>
  <c r="AB42" i="5" s="1"/>
  <c r="AC42" i="5" a="1"/>
  <c r="AC42" i="5"/>
  <c r="AD42" i="5" a="1"/>
  <c r="AD42" i="5" s="1"/>
  <c r="AE42" i="5" a="1"/>
  <c r="AE42" i="5" s="1"/>
  <c r="AA43" i="5" a="1"/>
  <c r="AA43" i="5" s="1"/>
  <c r="AB43" i="5" a="1"/>
  <c r="AB43" i="5" s="1"/>
  <c r="AC43" i="5" a="1"/>
  <c r="AC43" i="5" s="1"/>
  <c r="AD43" i="5" a="1"/>
  <c r="AD43" i="5"/>
  <c r="AE43" i="5" a="1"/>
  <c r="AE43" i="5" s="1"/>
  <c r="AA44" i="5" a="1"/>
  <c r="AA44" i="5" s="1"/>
  <c r="AB44" i="5" a="1"/>
  <c r="AB44" i="5" s="1"/>
  <c r="AC44" i="5" a="1"/>
  <c r="AC44" i="5" s="1"/>
  <c r="AD44" i="5" a="1"/>
  <c r="AD44" i="5" s="1"/>
  <c r="AE44" i="5" a="1"/>
  <c r="AE44" i="5" s="1"/>
  <c r="AA45" i="5" a="1"/>
  <c r="AA45" i="5" s="1"/>
  <c r="AB45" i="5" a="1"/>
  <c r="AB45" i="5" s="1"/>
  <c r="AC45" i="5" a="1"/>
  <c r="AC45" i="5" s="1"/>
  <c r="AD45" i="5" a="1"/>
  <c r="AD45" i="5" s="1"/>
  <c r="AE45" i="5" a="1"/>
  <c r="AE45" i="5"/>
  <c r="AA46" i="5" a="1"/>
  <c r="AA46" i="5"/>
  <c r="AB46" i="5" a="1"/>
  <c r="AB46" i="5"/>
  <c r="AC46" i="5" a="1"/>
  <c r="AC46" i="5" s="1"/>
  <c r="AD46" i="5" a="1"/>
  <c r="AD46" i="5" s="1"/>
  <c r="AE46" i="5" a="1"/>
  <c r="AE46" i="5" s="1"/>
  <c r="AA47" i="5" a="1"/>
  <c r="AA47" i="5" s="1"/>
  <c r="AB47" i="5" a="1"/>
  <c r="AB47" i="5"/>
  <c r="AC47" i="5" a="1"/>
  <c r="AC47" i="5" s="1"/>
  <c r="AD47" i="5" a="1"/>
  <c r="AD47" i="5" s="1"/>
  <c r="AE47" i="5" a="1"/>
  <c r="AE47" i="5" s="1"/>
  <c r="AA48" i="5" a="1"/>
  <c r="AA48" i="5" s="1"/>
  <c r="AB48" i="5" a="1"/>
  <c r="AB48" i="5" s="1"/>
  <c r="AC48" i="5" a="1"/>
  <c r="AC48" i="5"/>
  <c r="AD48" i="5" a="1"/>
  <c r="AD48" i="5" s="1"/>
  <c r="AE48" i="5" a="1"/>
  <c r="AE48" i="5" s="1"/>
  <c r="AA49" i="5" a="1"/>
  <c r="AA49" i="5" s="1"/>
  <c r="AB49" i="5" a="1"/>
  <c r="AB49" i="5" s="1"/>
  <c r="AC49" i="5" a="1"/>
  <c r="AC49" i="5" s="1"/>
  <c r="AD49" i="5" a="1"/>
  <c r="AD49" i="5" s="1"/>
  <c r="AE49" i="5" a="1"/>
  <c r="AE49" i="5" s="1"/>
  <c r="AA50" i="5" a="1"/>
  <c r="AA50" i="5" s="1"/>
  <c r="AB50" i="5" a="1"/>
  <c r="AB50" i="5" s="1"/>
  <c r="AC50" i="5" a="1"/>
  <c r="AC50" i="5" s="1"/>
  <c r="AD50" i="5" a="1"/>
  <c r="AD50" i="5"/>
  <c r="AE50" i="5" a="1"/>
  <c r="AE50" i="5"/>
  <c r="AA51" i="5" a="1"/>
  <c r="AA51" i="5"/>
  <c r="AB51" i="5" a="1"/>
  <c r="AB51" i="5" s="1"/>
  <c r="AC51" i="5" a="1"/>
  <c r="AC51" i="5" s="1"/>
  <c r="AD51" i="5" a="1"/>
  <c r="AD51" i="5" s="1"/>
  <c r="AE51" i="5" a="1"/>
  <c r="AE51" i="5" s="1"/>
  <c r="AA52" i="5" a="1"/>
  <c r="AA52" i="5"/>
  <c r="AB52" i="5" a="1"/>
  <c r="AB52" i="5" s="1"/>
  <c r="AC52" i="5" a="1"/>
  <c r="AC52" i="5" s="1"/>
  <c r="AD52" i="5" a="1"/>
  <c r="AD52" i="5" s="1"/>
  <c r="AE52" i="5" a="1"/>
  <c r="AE52" i="5" s="1"/>
  <c r="AA53" i="5" a="1"/>
  <c r="AA53" i="5" s="1"/>
  <c r="AB53" i="5" a="1"/>
  <c r="AB53" i="5"/>
  <c r="AC53" i="5" a="1"/>
  <c r="AC53" i="5"/>
  <c r="AD53" i="5" a="1"/>
  <c r="AD53" i="5" s="1"/>
  <c r="AE53" i="5" a="1"/>
  <c r="AE53" i="5" s="1"/>
  <c r="AA54" i="5" a="1"/>
  <c r="AA54" i="5" s="1"/>
  <c r="AB54" i="5" a="1"/>
  <c r="AB54" i="5" s="1"/>
  <c r="AC54" i="5" a="1"/>
  <c r="AC54" i="5" s="1"/>
  <c r="AD54" i="5" a="1"/>
  <c r="AD54" i="5" s="1"/>
  <c r="AE54" i="5" a="1"/>
  <c r="AE54" i="5" s="1"/>
  <c r="AA55" i="5" a="1"/>
  <c r="AA55" i="5" s="1"/>
  <c r="AB55" i="5" a="1"/>
  <c r="AB55" i="5" s="1"/>
  <c r="AC55" i="5" a="1"/>
  <c r="AC55" i="5"/>
  <c r="AD55" i="5" a="1"/>
  <c r="AD55" i="5"/>
  <c r="AE55" i="5" a="1"/>
  <c r="AE55" i="5"/>
  <c r="AA56" i="5" a="1"/>
  <c r="AA56" i="5" s="1"/>
  <c r="AB56" i="5" a="1"/>
  <c r="AB56" i="5" s="1"/>
  <c r="AC56" i="5" a="1"/>
  <c r="AC56" i="5" s="1"/>
  <c r="AD56" i="5" a="1"/>
  <c r="AD56" i="5" s="1"/>
  <c r="AE56" i="5" a="1"/>
  <c r="AE56" i="5"/>
  <c r="AA57" i="5" a="1"/>
  <c r="AA57" i="5" s="1"/>
  <c r="AB57" i="5" a="1"/>
  <c r="AB57" i="5" s="1"/>
  <c r="AC57" i="5" a="1"/>
  <c r="AC57" i="5" s="1"/>
  <c r="AD57" i="5" a="1"/>
  <c r="AD57" i="5" s="1"/>
  <c r="AE57" i="5" a="1"/>
  <c r="AE57" i="5" s="1"/>
  <c r="AA58" i="5" a="1"/>
  <c r="AA58" i="5"/>
  <c r="AB58" i="5" a="1"/>
  <c r="AB58" i="5" s="1"/>
  <c r="AC58" i="5" a="1"/>
  <c r="AC58" i="5" s="1"/>
  <c r="AD58" i="5" a="1"/>
  <c r="AD58" i="5" s="1"/>
  <c r="AE58" i="5" a="1"/>
  <c r="AE58" i="5" s="1"/>
  <c r="AA59" i="5" a="1"/>
  <c r="AA59" i="5" s="1"/>
  <c r="AB59" i="5" a="1"/>
  <c r="AB59" i="5" s="1"/>
  <c r="AC59" i="5" a="1"/>
  <c r="AC59" i="5" s="1"/>
  <c r="AD59" i="5" a="1"/>
  <c r="AD59" i="5" s="1"/>
  <c r="AE59" i="5" a="1"/>
  <c r="AE59" i="5" s="1"/>
  <c r="AA60" i="5" a="1"/>
  <c r="AA60" i="5" s="1"/>
  <c r="AB60" i="5" a="1"/>
  <c r="AB60" i="5"/>
  <c r="AC60" i="5" a="1"/>
  <c r="AC60" i="5"/>
  <c r="AD60" i="5" a="1"/>
  <c r="AD60" i="5"/>
  <c r="AE60" i="5" a="1"/>
  <c r="AE60" i="5" s="1"/>
  <c r="AA61" i="5" a="1"/>
  <c r="AA61" i="5" s="1"/>
  <c r="AB61" i="5" a="1"/>
  <c r="AB61" i="5" s="1"/>
  <c r="AC61" i="5" a="1"/>
  <c r="AC61" i="5" s="1"/>
  <c r="AD61" i="5" a="1"/>
  <c r="AD61" i="5"/>
  <c r="AE61" i="5" a="1"/>
  <c r="AE61" i="5" s="1"/>
  <c r="AA62" i="5" a="1"/>
  <c r="AA62" i="5" s="1"/>
  <c r="AB62" i="5" a="1"/>
  <c r="AB62" i="5" s="1"/>
  <c r="AC62" i="5" a="1"/>
  <c r="AC62" i="5" s="1"/>
  <c r="AD62" i="5" a="1"/>
  <c r="AD62" i="5" s="1"/>
  <c r="AE62" i="5" a="1"/>
  <c r="AE62" i="5"/>
  <c r="AA63" i="5" a="1"/>
  <c r="AA63" i="5" s="1"/>
  <c r="AB63" i="5" a="1"/>
  <c r="AB63" i="5" s="1"/>
  <c r="AC63" i="5" a="1"/>
  <c r="AC63" i="5" s="1"/>
  <c r="AD63" i="5" a="1"/>
  <c r="AD63" i="5" s="1"/>
  <c r="AE63" i="5" a="1"/>
  <c r="AE63" i="5" s="1"/>
  <c r="AA64" i="5" a="1"/>
  <c r="AA64" i="5" s="1"/>
  <c r="AB64" i="5" a="1"/>
  <c r="AB64" i="5" s="1"/>
  <c r="AC64" i="5" a="1"/>
  <c r="AC64" i="5" s="1"/>
  <c r="AD64" i="5" a="1"/>
  <c r="AD64" i="5" s="1"/>
  <c r="AE64" i="5" a="1"/>
  <c r="AE64" i="5" s="1"/>
  <c r="AA65" i="5" a="1"/>
  <c r="AA65" i="5"/>
  <c r="AB65" i="5" a="1"/>
  <c r="AB65" i="5"/>
  <c r="AC65" i="5" a="1"/>
  <c r="AC65" i="5" s="1"/>
  <c r="AD65" i="5" a="1"/>
  <c r="AD65" i="5" s="1"/>
  <c r="AE65" i="5" a="1"/>
  <c r="AE65" i="5" s="1"/>
  <c r="AA66" i="5" a="1"/>
  <c r="AA66" i="5" s="1"/>
  <c r="AB66" i="5" a="1"/>
  <c r="AB66" i="5" s="1"/>
  <c r="AC66" i="5" a="1"/>
  <c r="AC66" i="5"/>
  <c r="AD66" i="5" a="1"/>
  <c r="AD66" i="5" s="1"/>
  <c r="AE66" i="5" a="1"/>
  <c r="AE66" i="5" s="1"/>
  <c r="AA67" i="5" a="1"/>
  <c r="AA67" i="5" s="1"/>
  <c r="AB67" i="5" a="1"/>
  <c r="AB67" i="5" s="1"/>
  <c r="AC67" i="5" a="1"/>
  <c r="AC67" i="5" s="1"/>
  <c r="AD67" i="5" a="1"/>
  <c r="AD67" i="5"/>
  <c r="AE67" i="5" a="1"/>
  <c r="AE67" i="5" s="1"/>
  <c r="AA68" i="5" a="1"/>
  <c r="AA68" i="5" s="1"/>
  <c r="AB68" i="5" a="1"/>
  <c r="AB68" i="5" s="1"/>
  <c r="AC68" i="5" a="1"/>
  <c r="AC68" i="5" s="1"/>
  <c r="AD68" i="5" a="1"/>
  <c r="AD68" i="5" s="1"/>
  <c r="AE68" i="5" a="1"/>
  <c r="AE68" i="5" s="1"/>
  <c r="AA69" i="5" a="1"/>
  <c r="AA69" i="5" s="1"/>
  <c r="AB69" i="5" a="1"/>
  <c r="AB69" i="5" s="1"/>
  <c r="AC69" i="5" a="1"/>
  <c r="AC69" i="5" s="1"/>
  <c r="AD69" i="5" a="1"/>
  <c r="AD69" i="5" s="1"/>
  <c r="AE69" i="5" a="1"/>
  <c r="AE69" i="5"/>
  <c r="AA70" i="5" a="1"/>
  <c r="AA70" i="5"/>
  <c r="AB70" i="5" a="1"/>
  <c r="AB70" i="5" s="1"/>
  <c r="AC70" i="5" a="1"/>
  <c r="AC70" i="5" s="1"/>
  <c r="AD70" i="5" a="1"/>
  <c r="AD70" i="5" s="1"/>
  <c r="AE70" i="5" a="1"/>
  <c r="AE70" i="5" s="1"/>
  <c r="AA71" i="5" a="1"/>
  <c r="AA71" i="5" s="1"/>
  <c r="AB71" i="5" a="1"/>
  <c r="AB71" i="5"/>
  <c r="AC71" i="5" a="1"/>
  <c r="AC71" i="5" s="1"/>
  <c r="AD71" i="5" a="1"/>
  <c r="AD71" i="5" s="1"/>
  <c r="AE71" i="5" a="1"/>
  <c r="AE71" i="5" s="1"/>
  <c r="AA72" i="5" a="1"/>
  <c r="AA72" i="5" s="1"/>
  <c r="AB72" i="5" a="1"/>
  <c r="AB72" i="5" s="1"/>
  <c r="AC72" i="5" a="1"/>
  <c r="AC72" i="5"/>
  <c r="AD72" i="5" a="1"/>
  <c r="AD72" i="5" s="1"/>
  <c r="AE72" i="5" a="1"/>
  <c r="AE72" i="5" s="1"/>
  <c r="AA73" i="5" a="1"/>
  <c r="AA73" i="5" s="1"/>
  <c r="AB73" i="5" a="1"/>
  <c r="AB73" i="5" s="1"/>
  <c r="AC73" i="5" a="1"/>
  <c r="AC73" i="5"/>
  <c r="AD73" i="5" a="1"/>
  <c r="AD73" i="5" s="1"/>
  <c r="AE73" i="5" a="1"/>
  <c r="AE73" i="5" s="1"/>
  <c r="AA74" i="5" a="1"/>
  <c r="AA74" i="5" s="1"/>
  <c r="AB74" i="5" a="1"/>
  <c r="AB74" i="5" s="1"/>
  <c r="AC74" i="5" a="1"/>
  <c r="AC74" i="5" s="1"/>
  <c r="AD74" i="5" a="1"/>
  <c r="AD74" i="5"/>
  <c r="AE74" i="5" a="1"/>
  <c r="AE74" i="5"/>
  <c r="AA75" i="5" a="1"/>
  <c r="AA75" i="5" s="1"/>
  <c r="AB75" i="5" a="1"/>
  <c r="AB75" i="5" s="1"/>
  <c r="AC75" i="5" a="1"/>
  <c r="AC75" i="5" s="1"/>
  <c r="AD75" i="5" a="1"/>
  <c r="AD75" i="5" s="1"/>
  <c r="AE75" i="5" a="1"/>
  <c r="AE75" i="5" s="1"/>
  <c r="AA76" i="5" a="1"/>
  <c r="AA76" i="5"/>
  <c r="AB76" i="5" a="1"/>
  <c r="AB76" i="5" s="1"/>
  <c r="AC76" i="5" a="1"/>
  <c r="AC76" i="5" s="1"/>
  <c r="AD76" i="5" a="1"/>
  <c r="AD76" i="5" s="1"/>
  <c r="AE76" i="5" a="1"/>
  <c r="AE76" i="5" s="1"/>
  <c r="AA77" i="5" a="1"/>
  <c r="AA77" i="5" s="1"/>
  <c r="AB77" i="5" a="1"/>
  <c r="AB77" i="5"/>
  <c r="AC77" i="5" a="1"/>
  <c r="AC77" i="5"/>
  <c r="AD77" i="5" a="1"/>
  <c r="AD77" i="5" s="1"/>
  <c r="AE77" i="5" a="1"/>
  <c r="AE77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A79" i="5" a="1"/>
  <c r="AA79" i="5" s="1"/>
  <c r="AB79" i="5" a="1"/>
  <c r="AB79" i="5" s="1"/>
  <c r="AC79" i="5" a="1"/>
  <c r="AC79" i="5"/>
  <c r="AD79" i="5" a="1"/>
  <c r="AD79" i="5"/>
  <c r="AE79" i="5" a="1"/>
  <c r="AE79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/>
  <c r="AA81" i="5" a="1"/>
  <c r="AA81" i="5" s="1"/>
  <c r="AB81" i="5" a="1"/>
  <c r="AB81" i="5" s="1"/>
  <c r="AC81" i="5" a="1"/>
  <c r="AC81" i="5" s="1"/>
  <c r="AD81" i="5" a="1"/>
  <c r="AD81" i="5" s="1"/>
  <c r="AE81" i="5" a="1"/>
  <c r="AE81" i="5" s="1"/>
  <c r="AA82" i="5" a="1"/>
  <c r="AA82" i="5"/>
  <c r="AB82" i="5" a="1"/>
  <c r="AB82" i="5" s="1"/>
  <c r="AC82" i="5" a="1"/>
  <c r="AC82" i="5" s="1"/>
  <c r="AD82" i="5" a="1"/>
  <c r="AD82" i="5" s="1"/>
  <c r="AE82" i="5" a="1"/>
  <c r="AE82" i="5" s="1"/>
  <c r="AA83" i="5" a="1"/>
  <c r="AA83" i="5" s="1"/>
  <c r="AB83" i="5" a="1"/>
  <c r="AB83" i="5" s="1"/>
  <c r="AC83" i="5" a="1"/>
  <c r="AC83" i="5" s="1"/>
  <c r="AD83" i="5" a="1"/>
  <c r="AD83" i="5" s="1"/>
  <c r="AE83" i="5" a="1"/>
  <c r="AE83" i="5" s="1"/>
  <c r="AA84" i="5" a="1"/>
  <c r="AA84" i="5" s="1"/>
  <c r="AB84" i="5" a="1"/>
  <c r="AB84" i="5"/>
  <c r="AC84" i="5" a="1"/>
  <c r="AC84" i="5"/>
  <c r="AD84" i="5" a="1"/>
  <c r="AD84" i="5" s="1"/>
  <c r="AE84" i="5" a="1"/>
  <c r="AE84" i="5" s="1"/>
  <c r="AA85" i="5" a="1"/>
  <c r="AA85" i="5" s="1"/>
  <c r="AB85" i="5" a="1"/>
  <c r="AB85" i="5" s="1"/>
  <c r="AC85" i="5" a="1"/>
  <c r="AC85" i="5" s="1"/>
  <c r="AD85" i="5" a="1"/>
  <c r="AD85" i="5"/>
  <c r="AE85" i="5" a="1"/>
  <c r="AE85" i="5" s="1"/>
  <c r="AA86" i="5" a="1"/>
  <c r="AA86" i="5" s="1"/>
  <c r="AB86" i="5" a="1"/>
  <c r="AB86" i="5" s="1"/>
  <c r="AC86" i="5" a="1"/>
  <c r="AC86" i="5" s="1"/>
  <c r="AD86" i="5" a="1"/>
  <c r="AD86" i="5" s="1"/>
  <c r="AE86" i="5" a="1"/>
  <c r="AE86" i="5"/>
  <c r="AA87" i="5" a="1"/>
  <c r="AA87" i="5" s="1"/>
  <c r="AB87" i="5" a="1"/>
  <c r="AB87" i="5" s="1"/>
  <c r="AC87" i="5" a="1"/>
  <c r="AC87" i="5" s="1"/>
  <c r="AD87" i="5" a="1"/>
  <c r="AD87" i="5" s="1"/>
  <c r="AE87" i="5" a="1"/>
  <c r="AE87" i="5" s="1"/>
  <c r="AA88" i="5" a="1"/>
  <c r="AA88" i="5" s="1"/>
  <c r="AB88" i="5" a="1"/>
  <c r="AB88" i="5" s="1"/>
  <c r="AC88" i="5" a="1"/>
  <c r="AC88" i="5" s="1"/>
  <c r="AD88" i="5" a="1"/>
  <c r="AD88" i="5" s="1"/>
  <c r="AE88" i="5" a="1"/>
  <c r="AE88" i="5" s="1"/>
  <c r="AA89" i="5" a="1"/>
  <c r="AA89" i="5"/>
  <c r="AB89" i="5" a="1"/>
  <c r="AB89" i="5"/>
  <c r="AC89" i="5" a="1"/>
  <c r="AC89" i="5" s="1"/>
  <c r="AD89" i="5" a="1"/>
  <c r="AD89" i="5" s="1"/>
  <c r="AE89" i="5" a="1"/>
  <c r="AE89" i="5" s="1"/>
  <c r="AA90" i="5" a="1"/>
  <c r="AA90" i="5" s="1"/>
  <c r="AB90" i="5" a="1"/>
  <c r="AB90" i="5" s="1"/>
  <c r="AC90" i="5" a="1"/>
  <c r="AC90" i="5"/>
  <c r="AD90" i="5" a="1"/>
  <c r="AD90" i="5" s="1"/>
  <c r="AE90" i="5" a="1"/>
  <c r="AE90" i="5" s="1"/>
  <c r="AA91" i="5" a="1"/>
  <c r="AA91" i="5" s="1"/>
  <c r="AB91" i="5" a="1"/>
  <c r="AB91" i="5" s="1"/>
  <c r="AC91" i="5" a="1"/>
  <c r="AC91" i="5" s="1"/>
  <c r="AD91" i="5" a="1"/>
  <c r="AD91" i="5"/>
  <c r="AE91" i="5" a="1"/>
  <c r="AE91" i="5" s="1"/>
  <c r="AA92" i="5" a="1"/>
  <c r="AA92" i="5" s="1"/>
  <c r="AB92" i="5" a="1"/>
  <c r="AB92" i="5" s="1"/>
  <c r="AC92" i="5" a="1"/>
  <c r="AC92" i="5" s="1"/>
  <c r="AD92" i="5" a="1"/>
  <c r="AD92" i="5" s="1"/>
  <c r="AE92" i="5" a="1"/>
  <c r="AE92" i="5" s="1"/>
  <c r="AA93" i="5" a="1"/>
  <c r="AA93" i="5" s="1"/>
  <c r="AB93" i="5" a="1"/>
  <c r="AB93" i="5" s="1"/>
  <c r="AC93" i="5" a="1"/>
  <c r="AC93" i="5" s="1"/>
  <c r="AD93" i="5" a="1"/>
  <c r="AD93" i="5" s="1"/>
  <c r="AE93" i="5" a="1"/>
  <c r="AE93" i="5"/>
  <c r="AA94" i="5" a="1"/>
  <c r="AA94" i="5"/>
  <c r="AB94" i="5" a="1"/>
  <c r="AB94" i="5" s="1"/>
  <c r="AC94" i="5" a="1"/>
  <c r="AC94" i="5" s="1"/>
  <c r="AD94" i="5" a="1"/>
  <c r="AD94" i="5" s="1"/>
  <c r="AE94" i="5" a="1"/>
  <c r="AE94" i="5" s="1"/>
  <c r="AA95" i="5" a="1"/>
  <c r="AA95" i="5" s="1"/>
  <c r="AB95" i="5" a="1"/>
  <c r="AB95" i="5"/>
  <c r="AC95" i="5" a="1"/>
  <c r="AC95" i="5" s="1"/>
  <c r="AD95" i="5" a="1"/>
  <c r="AD95" i="5" s="1"/>
  <c r="AE95" i="5" a="1"/>
  <c r="AE95" i="5" s="1"/>
  <c r="AA96" i="5" a="1"/>
  <c r="AA96" i="5" s="1"/>
  <c r="AB96" i="5" a="1"/>
  <c r="AB96" i="5" s="1"/>
  <c r="AC96" i="5" a="1"/>
  <c r="AC96" i="5"/>
  <c r="AD96" i="5" a="1"/>
  <c r="AD96" i="5"/>
  <c r="AE96" i="5" a="1"/>
  <c r="AE96" i="5" s="1"/>
  <c r="AA97" i="5" a="1"/>
  <c r="AA97" i="5" s="1"/>
  <c r="AB97" i="5" a="1"/>
  <c r="AB97" i="5" s="1"/>
  <c r="AC97" i="5" a="1"/>
  <c r="AC97" i="5"/>
  <c r="AD97" i="5" a="1"/>
  <c r="AD97" i="5" s="1"/>
  <c r="AE97" i="5" a="1"/>
  <c r="AE97" i="5" s="1"/>
  <c r="AA98" i="5" a="1"/>
  <c r="AA98" i="5" s="1"/>
  <c r="AB98" i="5" a="1"/>
  <c r="AB98" i="5" s="1"/>
  <c r="AC98" i="5" a="1"/>
  <c r="AC98" i="5" s="1"/>
  <c r="AD98" i="5" a="1"/>
  <c r="AD98" i="5"/>
  <c r="AE98" i="5" a="1"/>
  <c r="AE98" i="5"/>
  <c r="AA99" i="5" a="1"/>
  <c r="AA99" i="5" s="1"/>
  <c r="AB99" i="5" a="1"/>
  <c r="AB99" i="5" s="1"/>
  <c r="AC99" i="5" a="1"/>
  <c r="AC99" i="5" s="1"/>
  <c r="AD99" i="5" a="1"/>
  <c r="AD99" i="5" s="1"/>
  <c r="AE99" i="5" a="1"/>
  <c r="AE99" i="5" s="1"/>
  <c r="AA100" i="5" a="1"/>
  <c r="AA100" i="5"/>
  <c r="AB100" i="5" a="1"/>
  <c r="AB100" i="5" s="1"/>
  <c r="AC100" i="5" a="1"/>
  <c r="AC100" i="5" s="1"/>
  <c r="AD100" i="5" a="1"/>
  <c r="AD100" i="5" s="1"/>
  <c r="AE100" i="5" a="1"/>
  <c r="AE100" i="5" s="1"/>
  <c r="AA101" i="5" a="1"/>
  <c r="AA101" i="5" s="1"/>
  <c r="AB101" i="5" a="1"/>
  <c r="AB101" i="5"/>
  <c r="AC101" i="5" a="1"/>
  <c r="AC101" i="5"/>
  <c r="AD101" i="5" a="1"/>
  <c r="AD101" i="5" s="1"/>
  <c r="AE101" i="5" a="1"/>
  <c r="AE101" i="5" s="1"/>
  <c r="AA102" i="5" a="1"/>
  <c r="AA102" i="5" s="1"/>
  <c r="AB102" i="5" a="1"/>
  <c r="AB102" i="5"/>
  <c r="AC102" i="5" a="1"/>
  <c r="AC102" i="5" s="1"/>
  <c r="AD102" i="5" a="1"/>
  <c r="AD102" i="5" s="1"/>
  <c r="AE102" i="5" a="1"/>
  <c r="AE102" i="5" s="1"/>
  <c r="AA103" i="5" a="1"/>
  <c r="AA103" i="5" s="1"/>
  <c r="AB103" i="5" a="1"/>
  <c r="AB103" i="5"/>
  <c r="AC103" i="5" a="1"/>
  <c r="AC103" i="5" s="1"/>
  <c r="AD103" i="5" a="1"/>
  <c r="AD103" i="5" s="1"/>
  <c r="AE103" i="5" a="1"/>
  <c r="AE103" i="5" s="1"/>
  <c r="AA104" i="5" a="1"/>
  <c r="AA104" i="5" s="1"/>
  <c r="AB104" i="5" a="1"/>
  <c r="AB104" i="5"/>
  <c r="AC104" i="5" a="1"/>
  <c r="AC104" i="5" s="1"/>
  <c r="AD104" i="5" a="1"/>
  <c r="AD104" i="5"/>
  <c r="AE104" i="5" a="1"/>
  <c r="AE104" i="5"/>
  <c r="AA105" i="5" a="1"/>
  <c r="AA105" i="5"/>
  <c r="AB105" i="5" a="1"/>
  <c r="AB105" i="5" s="1"/>
  <c r="AC105" i="5" a="1"/>
  <c r="AC105" i="5" s="1"/>
  <c r="AD105" i="5" a="1"/>
  <c r="AD105" i="5" s="1"/>
  <c r="AE105" i="5" a="1"/>
  <c r="AE105" i="5"/>
  <c r="AA106" i="5" a="1"/>
  <c r="AA106" i="5" s="1"/>
  <c r="AB106" i="5" a="1"/>
  <c r="AB106" i="5" s="1"/>
  <c r="AC106" i="5" a="1"/>
  <c r="AC106" i="5" s="1"/>
  <c r="AD106" i="5" a="1"/>
  <c r="AD106" i="5"/>
  <c r="AE106" i="5" a="1"/>
  <c r="AE106" i="5"/>
  <c r="AA107" i="5" a="1"/>
  <c r="AA107" i="5" s="1"/>
  <c r="AB107" i="5" a="1"/>
  <c r="AB107" i="5"/>
  <c r="AC107" i="5" a="1"/>
  <c r="AC107" i="5"/>
  <c r="AD107" i="5" a="1"/>
  <c r="AD107" i="5" s="1"/>
  <c r="AE107" i="5" a="1"/>
  <c r="AE107" i="5" s="1"/>
  <c r="AA108" i="5" a="1"/>
  <c r="AA108" i="5" s="1"/>
  <c r="AB108" i="5" a="1"/>
  <c r="AB108" i="5" s="1"/>
  <c r="AC108" i="5" a="1"/>
  <c r="AC108" i="5"/>
  <c r="AD108" i="5" a="1"/>
  <c r="AD108" i="5" s="1"/>
  <c r="AE108" i="5" a="1"/>
  <c r="AE108" i="5" s="1"/>
  <c r="AA109" i="5" a="1"/>
  <c r="AA109" i="5"/>
  <c r="AB109" i="5" a="1"/>
  <c r="AB109" i="5"/>
  <c r="AC109" i="5" a="1"/>
  <c r="AC109" i="5"/>
  <c r="AD109" i="5" a="1"/>
  <c r="AD109" i="5" s="1"/>
  <c r="AE109" i="5" a="1"/>
  <c r="AE109" i="5"/>
  <c r="AA110" i="5" a="1"/>
  <c r="AA110" i="5"/>
  <c r="AB110" i="5" a="1"/>
  <c r="AB110" i="5" s="1"/>
  <c r="AC110" i="5" a="1"/>
  <c r="AC110" i="5" s="1"/>
  <c r="AD110" i="5" a="1"/>
  <c r="AD110" i="5"/>
  <c r="AE110" i="5" a="1"/>
  <c r="AE110" i="5" s="1"/>
  <c r="AA111" i="5" a="1"/>
  <c r="AA111" i="5"/>
  <c r="AB111" i="5" a="1"/>
  <c r="AB111" i="5"/>
  <c r="AC111" i="5" a="1"/>
  <c r="AC111" i="5" s="1"/>
  <c r="AD111" i="5" a="1"/>
  <c r="AD111" i="5" s="1"/>
  <c r="AE111" i="5" a="1"/>
  <c r="AE111" i="5"/>
  <c r="AA112" i="5" a="1"/>
  <c r="AA112" i="5" s="1"/>
  <c r="AB112" i="5" a="1"/>
  <c r="AB112" i="5"/>
  <c r="AC112" i="5" a="1"/>
  <c r="AC112" i="5"/>
  <c r="AD112" i="5" a="1"/>
  <c r="AD112" i="5" s="1"/>
  <c r="AE112" i="5" a="1"/>
  <c r="AE112" i="5" s="1"/>
  <c r="AA113" i="5" a="1"/>
  <c r="AA113" i="5"/>
  <c r="AB113" i="5" a="1"/>
  <c r="AB113" i="5" s="1"/>
  <c r="AC113" i="5" a="1"/>
  <c r="AC113" i="5"/>
  <c r="AD113" i="5" a="1"/>
  <c r="AD113" i="5"/>
  <c r="AE113" i="5" a="1"/>
  <c r="AE113" i="5" s="1"/>
  <c r="AA114" i="5" a="1"/>
  <c r="AA114" i="5" s="1"/>
  <c r="AB114" i="5" a="1"/>
  <c r="AB114" i="5"/>
  <c r="AC114" i="5" a="1"/>
  <c r="AC114" i="5" s="1"/>
  <c r="AD114" i="5" a="1"/>
  <c r="AD114" i="5"/>
  <c r="AE114" i="5" a="1"/>
  <c r="AE114" i="5"/>
  <c r="AA115" i="5" a="1"/>
  <c r="AA115" i="5" s="1"/>
  <c r="AB115" i="5" a="1"/>
  <c r="AB115" i="5" s="1"/>
  <c r="AC115" i="5" a="1"/>
  <c r="AC115" i="5"/>
  <c r="AD115" i="5" a="1"/>
  <c r="AD115" i="5" s="1"/>
  <c r="AE115" i="5" a="1"/>
  <c r="AE115" i="5"/>
  <c r="AA116" i="5" a="1"/>
  <c r="AA116" i="5"/>
  <c r="AB116" i="5" a="1"/>
  <c r="AB116" i="5" s="1"/>
  <c r="AC116" i="5" a="1"/>
  <c r="AC116" i="5" s="1"/>
  <c r="AD116" i="5" a="1"/>
  <c r="AD116" i="5" s="1"/>
  <c r="AE116" i="5" a="1"/>
  <c r="AE116" i="5" s="1"/>
  <c r="AA117" i="5" a="1"/>
  <c r="AA117" i="5"/>
  <c r="AB117" i="5" a="1"/>
  <c r="AB117" i="5"/>
  <c r="AC117" i="5" a="1"/>
  <c r="AC117" i="5" s="1"/>
  <c r="AD117" i="5" a="1"/>
  <c r="AD117" i="5" s="1"/>
  <c r="AE117" i="5" a="1"/>
  <c r="AE117" i="5" s="1"/>
  <c r="AA118" i="5" a="1"/>
  <c r="AA118" i="5" s="1"/>
  <c r="AB118" i="5" a="1"/>
  <c r="AB118" i="5"/>
  <c r="AC118" i="5" a="1"/>
  <c r="AC118" i="5"/>
  <c r="AD118" i="5" a="1"/>
  <c r="AD118" i="5" s="1"/>
  <c r="AE118" i="5" a="1"/>
  <c r="AE118" i="5" s="1"/>
  <c r="AA119" i="5" a="1"/>
  <c r="AA119" i="5" s="1"/>
  <c r="AB119" i="5" a="1"/>
  <c r="AB119" i="5" s="1"/>
  <c r="AC119" i="5" a="1"/>
  <c r="AC119" i="5"/>
  <c r="AD119" i="5" a="1"/>
  <c r="AD119" i="5"/>
  <c r="AE119" i="5" a="1"/>
  <c r="AE119" i="5" s="1"/>
  <c r="AA120" i="5" a="1"/>
  <c r="AA120" i="5" s="1"/>
  <c r="AB120" i="5" a="1"/>
  <c r="AB120" i="5" s="1"/>
  <c r="AC120" i="5" a="1"/>
  <c r="AC120" i="5" s="1"/>
  <c r="AD120" i="5" a="1"/>
  <c r="AD120" i="5"/>
  <c r="AE120" i="5" a="1"/>
  <c r="AE120" i="5"/>
  <c r="AA121" i="5" a="1"/>
  <c r="AA121" i="5" s="1"/>
  <c r="AB121" i="5" a="1"/>
  <c r="AB121" i="5" s="1"/>
  <c r="AC121" i="5" a="1"/>
  <c r="AC121" i="5" s="1"/>
  <c r="AD121" i="5" a="1"/>
  <c r="AD121" i="5" s="1"/>
  <c r="AE121" i="5" a="1"/>
  <c r="AE121" i="5"/>
  <c r="AA122" i="5" a="1"/>
  <c r="AA122" i="5"/>
  <c r="AB122" i="5" a="1"/>
  <c r="AB122" i="5" s="1"/>
  <c r="AC122" i="5" a="1"/>
  <c r="AC122" i="5" s="1"/>
  <c r="AD122" i="5" a="1"/>
  <c r="AD122" i="5" s="1"/>
  <c r="AE122" i="5" a="1"/>
  <c r="AE122" i="5" s="1"/>
  <c r="AA123" i="5" a="1"/>
  <c r="AA123" i="5"/>
  <c r="AB123" i="5" a="1"/>
  <c r="AB123" i="5"/>
  <c r="AC123" i="5" a="1"/>
  <c r="AC123" i="5" s="1"/>
  <c r="AD123" i="5" a="1"/>
  <c r="AD123" i="5" s="1"/>
  <c r="AE123" i="5" a="1"/>
  <c r="AE123" i="5" s="1"/>
  <c r="AA124" i="5" a="1"/>
  <c r="AA124" i="5" s="1"/>
  <c r="AB124" i="5" a="1"/>
  <c r="AB124" i="5"/>
  <c r="AC124" i="5" a="1"/>
  <c r="AC124" i="5" s="1"/>
  <c r="AD124" i="5" a="1"/>
  <c r="AD124" i="5" s="1"/>
  <c r="AE124" i="5" a="1"/>
  <c r="AE124" i="5" s="1"/>
  <c r="AA125" i="5" a="1"/>
  <c r="AA125" i="5" s="1"/>
  <c r="AB125" i="5" a="1"/>
  <c r="AB125" i="5" s="1"/>
  <c r="AC125" i="5" a="1"/>
  <c r="AC125" i="5"/>
  <c r="AD125" i="5" a="1"/>
  <c r="AD125" i="5" s="1"/>
  <c r="AE125" i="5" a="1"/>
  <c r="AE125" i="5" s="1"/>
  <c r="AA126" i="5" a="1"/>
  <c r="AA126" i="5" s="1"/>
  <c r="AB126" i="5" a="1"/>
  <c r="AB126" i="5" s="1"/>
  <c r="AC126" i="5" a="1"/>
  <c r="AC126" i="5" s="1"/>
  <c r="AD126" i="5" a="1"/>
  <c r="AD126" i="5"/>
  <c r="AE126" i="5" a="1"/>
  <c r="AE126" i="5" s="1"/>
  <c r="AA127" i="5" a="1"/>
  <c r="AA127" i="5" s="1"/>
  <c r="AB127" i="5" a="1"/>
  <c r="AB127" i="5" s="1"/>
  <c r="AC127" i="5" a="1"/>
  <c r="AC127" i="5" s="1"/>
  <c r="AD127" i="5" a="1"/>
  <c r="AD127" i="5" s="1"/>
  <c r="AE127" i="5" a="1"/>
  <c r="AE127" i="5" s="1"/>
  <c r="AA128" i="5" a="1"/>
  <c r="AA128" i="5" s="1"/>
  <c r="AB128" i="5" a="1"/>
  <c r="AB128" i="5" s="1"/>
  <c r="AC128" i="5" a="1"/>
  <c r="AC128" i="5" s="1"/>
  <c r="AD128" i="5" a="1"/>
  <c r="AD128" i="5" s="1"/>
  <c r="AE128" i="5" a="1"/>
  <c r="AE128" i="5" s="1"/>
  <c r="AA129" i="5" a="1"/>
  <c r="AA129" i="5" s="1"/>
  <c r="AB129" i="5" a="1"/>
  <c r="AB129" i="5" s="1"/>
  <c r="AC129" i="5" a="1"/>
  <c r="AC129" i="5" s="1"/>
  <c r="AD129" i="5" a="1"/>
  <c r="AD129" i="5" s="1"/>
  <c r="AE129" i="5" a="1"/>
  <c r="AE129" i="5" s="1"/>
  <c r="AA130" i="5" a="1"/>
  <c r="AA130" i="5" s="1"/>
  <c r="AB130" i="5" a="1"/>
  <c r="AB130" i="5" s="1"/>
  <c r="AC130" i="5" a="1"/>
  <c r="AC130" i="5" s="1"/>
  <c r="AD130" i="5" a="1"/>
  <c r="AD130" i="5" s="1"/>
  <c r="AE130" i="5" a="1"/>
  <c r="AE130" i="5" s="1"/>
  <c r="AA131" i="5" a="1"/>
  <c r="AA131" i="5" s="1"/>
  <c r="AB131" i="5" a="1"/>
  <c r="AB131" i="5" s="1"/>
  <c r="AC131" i="5" a="1"/>
  <c r="AC131" i="5" s="1"/>
  <c r="AD131" i="5" a="1"/>
  <c r="AD131" i="5" s="1"/>
  <c r="AE131" i="5" a="1"/>
  <c r="AE131" i="5" s="1"/>
  <c r="AA132" i="5" a="1"/>
  <c r="AA132" i="5" s="1"/>
  <c r="AB132" i="5" a="1"/>
  <c r="AB132" i="5" s="1"/>
  <c r="AC132" i="5" a="1"/>
  <c r="AC132" i="5" s="1"/>
  <c r="AD132" i="5" a="1"/>
  <c r="AD132" i="5" s="1"/>
  <c r="AE132" i="5" a="1"/>
  <c r="AE132" i="5" s="1"/>
  <c r="AA133" i="5" a="1"/>
  <c r="AA133" i="5" s="1"/>
  <c r="AB133" i="5" a="1"/>
  <c r="AB133" i="5" s="1"/>
  <c r="AC133" i="5" a="1"/>
  <c r="AC133" i="5" s="1"/>
  <c r="AD133" i="5" a="1"/>
  <c r="AD133" i="5" s="1"/>
  <c r="AE133" i="5" a="1"/>
  <c r="AE133" i="5" s="1"/>
  <c r="AA134" i="5" a="1"/>
  <c r="AA134" i="5" s="1"/>
  <c r="AB134" i="5" a="1"/>
  <c r="AB134" i="5" s="1"/>
  <c r="AC134" i="5" a="1"/>
  <c r="AC134" i="5" s="1"/>
  <c r="AD134" i="5" a="1"/>
  <c r="AD134" i="5" s="1"/>
  <c r="AE134" i="5" a="1"/>
  <c r="AE134" i="5" s="1"/>
  <c r="AA135" i="5" a="1"/>
  <c r="AA135" i="5" s="1"/>
  <c r="AB135" i="5" a="1"/>
  <c r="AB135" i="5" s="1"/>
  <c r="AC135" i="5" a="1"/>
  <c r="AC135" i="5" s="1"/>
  <c r="AD135" i="5" a="1"/>
  <c r="AD135" i="5" s="1"/>
  <c r="AE135" i="5" a="1"/>
  <c r="AE135" i="5" s="1"/>
  <c r="AA136" i="5" a="1"/>
  <c r="AA136" i="5" s="1"/>
  <c r="AB136" i="5" a="1"/>
  <c r="AB136" i="5" s="1"/>
  <c r="AC136" i="5" a="1"/>
  <c r="AC136" i="5" s="1"/>
  <c r="AD136" i="5" a="1"/>
  <c r="AD136" i="5" s="1"/>
  <c r="AE136" i="5" a="1"/>
  <c r="AE136" i="5" s="1"/>
  <c r="AA137" i="5" a="1"/>
  <c r="AA137" i="5" s="1"/>
  <c r="AB137" i="5" a="1"/>
  <c r="AB137" i="5" s="1"/>
  <c r="AC137" i="5" a="1"/>
  <c r="AC137" i="5" s="1"/>
  <c r="AD137" i="5" a="1"/>
  <c r="AD137" i="5" s="1"/>
  <c r="AE137" i="5" a="1"/>
  <c r="AE137" i="5" s="1"/>
  <c r="AA138" i="5" a="1"/>
  <c r="AA138" i="5" s="1"/>
  <c r="AB138" i="5" a="1"/>
  <c r="AB138" i="5" s="1"/>
  <c r="AC138" i="5" a="1"/>
  <c r="AC138" i="5" s="1"/>
  <c r="AD138" i="5" a="1"/>
  <c r="AD138" i="5" s="1"/>
  <c r="AE138" i="5" a="1"/>
  <c r="AE138" i="5" s="1"/>
  <c r="AA139" i="5" a="1"/>
  <c r="AA139" i="5" s="1"/>
  <c r="AB139" i="5" a="1"/>
  <c r="AB139" i="5" s="1"/>
  <c r="AC139" i="5" a="1"/>
  <c r="AC139" i="5" s="1"/>
  <c r="AD139" i="5" a="1"/>
  <c r="AD139" i="5" s="1"/>
  <c r="AE139" i="5" a="1"/>
  <c r="AE139" i="5" s="1"/>
  <c r="AA140" i="5" a="1"/>
  <c r="AA140" i="5" s="1"/>
  <c r="AB140" i="5" a="1"/>
  <c r="AB140" i="5" s="1"/>
  <c r="AC140" i="5" a="1"/>
  <c r="AC140" i="5" s="1"/>
  <c r="AD140" i="5" a="1"/>
  <c r="AD140" i="5" s="1"/>
  <c r="AE140" i="5" a="1"/>
  <c r="AE140" i="5" s="1"/>
  <c r="AA141" i="5" a="1"/>
  <c r="AA141" i="5" s="1"/>
  <c r="AB141" i="5" a="1"/>
  <c r="AB141" i="5" s="1"/>
  <c r="AC141" i="5" a="1"/>
  <c r="AC141" i="5" s="1"/>
  <c r="AD141" i="5" a="1"/>
  <c r="AD141" i="5" s="1"/>
  <c r="AE141" i="5" a="1"/>
  <c r="AE141" i="5" s="1"/>
  <c r="AA142" i="5" a="1"/>
  <c r="AA142" i="5" s="1"/>
  <c r="AB142" i="5" a="1"/>
  <c r="AB142" i="5" s="1"/>
  <c r="AC142" i="5" a="1"/>
  <c r="AC142" i="5" s="1"/>
  <c r="AD142" i="5" a="1"/>
  <c r="AD142" i="5" s="1"/>
  <c r="AE142" i="5" a="1"/>
  <c r="AE142" i="5" s="1"/>
  <c r="AA143" i="5" a="1"/>
  <c r="AA143" i="5" s="1"/>
  <c r="AB143" i="5" a="1"/>
  <c r="AB143" i="5" s="1"/>
  <c r="AC143" i="5" a="1"/>
  <c r="AC143" i="5" s="1"/>
  <c r="AD143" i="5" a="1"/>
  <c r="AD143" i="5" s="1"/>
  <c r="AE143" i="5" a="1"/>
  <c r="AE143" i="5" s="1"/>
  <c r="AA144" i="5" a="1"/>
  <c r="AA144" i="5" s="1"/>
  <c r="AB144" i="5" a="1"/>
  <c r="AB144" i="5" s="1"/>
  <c r="AC144" i="5" a="1"/>
  <c r="AC144" i="5" s="1"/>
  <c r="AD144" i="5" a="1"/>
  <c r="AD144" i="5" s="1"/>
  <c r="AE144" i="5" a="1"/>
  <c r="AE144" i="5" s="1"/>
  <c r="AA145" i="5" a="1"/>
  <c r="AA145" i="5" s="1"/>
  <c r="AB145" i="5" a="1"/>
  <c r="AB145" i="5" s="1"/>
  <c r="AC145" i="5" a="1"/>
  <c r="AC145" i="5" s="1"/>
  <c r="AD145" i="5" a="1"/>
  <c r="AD145" i="5" s="1"/>
  <c r="AE145" i="5" a="1"/>
  <c r="AE145" i="5" s="1"/>
  <c r="AA146" i="5" a="1"/>
  <c r="AA146" i="5" s="1"/>
  <c r="AB146" i="5" a="1"/>
  <c r="AB146" i="5" s="1"/>
  <c r="AC146" i="5" a="1"/>
  <c r="AC146" i="5" s="1"/>
  <c r="AD146" i="5" a="1"/>
  <c r="AD146" i="5" s="1"/>
  <c r="AE146" i="5" a="1"/>
  <c r="AE146" i="5" s="1"/>
  <c r="AA147" i="5" a="1"/>
  <c r="AA147" i="5" s="1"/>
  <c r="AB147" i="5" a="1"/>
  <c r="AB147" i="5" s="1"/>
  <c r="AC147" i="5" a="1"/>
  <c r="AC147" i="5" s="1"/>
  <c r="AD147" i="5" a="1"/>
  <c r="AD147" i="5" s="1"/>
  <c r="AE147" i="5" a="1"/>
  <c r="AE147" i="5" s="1"/>
  <c r="AA148" i="5" a="1"/>
  <c r="AA148" i="5" s="1"/>
  <c r="AB148" i="5" a="1"/>
  <c r="AB148" i="5" s="1"/>
  <c r="AC148" i="5" a="1"/>
  <c r="AC148" i="5" s="1"/>
  <c r="AD148" i="5" a="1"/>
  <c r="AD148" i="5" s="1"/>
  <c r="AE148" i="5" a="1"/>
  <c r="AE148" i="5" s="1"/>
  <c r="AA149" i="5" a="1"/>
  <c r="AA149" i="5" s="1"/>
  <c r="AB149" i="5" a="1"/>
  <c r="AB149" i="5" s="1"/>
  <c r="AC149" i="5" a="1"/>
  <c r="AC149" i="5" s="1"/>
  <c r="AD149" i="5" a="1"/>
  <c r="AD149" i="5" s="1"/>
  <c r="AE149" i="5" a="1"/>
  <c r="AE149" i="5" s="1"/>
  <c r="AA150" i="5" a="1"/>
  <c r="AA150" i="5" s="1"/>
  <c r="AB150" i="5" a="1"/>
  <c r="AB150" i="5" s="1"/>
  <c r="AC150" i="5" a="1"/>
  <c r="AC150" i="5" s="1"/>
  <c r="AD150" i="5" a="1"/>
  <c r="AD150" i="5" s="1"/>
  <c r="AE150" i="5" a="1"/>
  <c r="AE150" i="5" s="1"/>
  <c r="AA151" i="5" a="1"/>
  <c r="AA151" i="5" s="1"/>
  <c r="AB151" i="5" a="1"/>
  <c r="AB151" i="5" s="1"/>
  <c r="AC151" i="5" a="1"/>
  <c r="AC151" i="5" s="1"/>
  <c r="AD151" i="5" a="1"/>
  <c r="AD151" i="5" s="1"/>
  <c r="AE151" i="5" a="1"/>
  <c r="AE151" i="5" s="1"/>
  <c r="AA152" i="5" a="1"/>
  <c r="AA152" i="5" s="1"/>
  <c r="AB152" i="5" a="1"/>
  <c r="AB152" i="5" s="1"/>
  <c r="AC152" i="5" a="1"/>
  <c r="AC152" i="5" s="1"/>
  <c r="AD152" i="5" a="1"/>
  <c r="AD152" i="5" s="1"/>
  <c r="AE152" i="5" a="1"/>
  <c r="AE152" i="5" s="1"/>
  <c r="AA153" i="5" a="1"/>
  <c r="AA153" i="5" s="1"/>
  <c r="AB153" i="5" a="1"/>
  <c r="AB153" i="5" s="1"/>
  <c r="AC153" i="5" a="1"/>
  <c r="AC153" i="5" s="1"/>
  <c r="AD153" i="5" a="1"/>
  <c r="AD153" i="5" s="1"/>
  <c r="AE153" i="5" a="1"/>
  <c r="AE153" i="5" s="1"/>
  <c r="AA154" i="5" a="1"/>
  <c r="AA154" i="5" s="1"/>
  <c r="AB154" i="5" a="1"/>
  <c r="AB154" i="5" s="1"/>
  <c r="AC154" i="5" a="1"/>
  <c r="AC154" i="5" s="1"/>
  <c r="AD154" i="5" a="1"/>
  <c r="AD154" i="5" s="1"/>
  <c r="AE154" i="5" a="1"/>
  <c r="AE154" i="5" s="1"/>
  <c r="AA155" i="5" a="1"/>
  <c r="AA155" i="5" s="1"/>
  <c r="AB155" i="5" a="1"/>
  <c r="AB155" i="5" s="1"/>
  <c r="AC155" i="5" a="1"/>
  <c r="AC155" i="5" s="1"/>
  <c r="AD155" i="5" a="1"/>
  <c r="AD155" i="5" s="1"/>
  <c r="AE155" i="5" a="1"/>
  <c r="AE155" i="5" s="1"/>
  <c r="AA156" i="5" a="1"/>
  <c r="AA156" i="5" s="1"/>
  <c r="AB156" i="5" a="1"/>
  <c r="AB156" i="5" s="1"/>
  <c r="AC156" i="5" a="1"/>
  <c r="AC156" i="5" s="1"/>
  <c r="AD156" i="5" a="1"/>
  <c r="AD156" i="5" s="1"/>
  <c r="AE156" i="5" a="1"/>
  <c r="AE156" i="5" s="1"/>
  <c r="AA157" i="5" a="1"/>
  <c r="AA157" i="5" s="1"/>
  <c r="AB157" i="5" a="1"/>
  <c r="AB157" i="5" s="1"/>
  <c r="AC157" i="5" a="1"/>
  <c r="AC157" i="5" s="1"/>
  <c r="AD157" i="5" a="1"/>
  <c r="AD157" i="5" s="1"/>
  <c r="AE157" i="5" a="1"/>
  <c r="AE157" i="5" s="1"/>
  <c r="AA158" i="5" a="1"/>
  <c r="AA158" i="5" s="1"/>
  <c r="AB158" i="5" a="1"/>
  <c r="AB158" i="5" s="1"/>
  <c r="AC158" i="5" a="1"/>
  <c r="AC158" i="5" s="1"/>
  <c r="AD158" i="5" a="1"/>
  <c r="AD158" i="5" s="1"/>
  <c r="AE158" i="5" a="1"/>
  <c r="AE158" i="5" s="1"/>
  <c r="V8" i="5" a="1"/>
  <c r="V8" i="5" s="1"/>
  <c r="W8" i="5" a="1"/>
  <c r="W8" i="5" s="1"/>
  <c r="X8" i="5" a="1"/>
  <c r="X8" i="5" s="1"/>
  <c r="Y8" i="5" a="1"/>
  <c r="Y8" i="5" s="1"/>
  <c r="Z8" i="5" a="1"/>
  <c r="Z8" i="5"/>
  <c r="V9" i="5" a="1"/>
  <c r="V9" i="5" s="1"/>
  <c r="W9" i="5" a="1"/>
  <c r="W9" i="5" s="1"/>
  <c r="X9" i="5" a="1"/>
  <c r="X9" i="5" s="1"/>
  <c r="Y9" i="5" a="1"/>
  <c r="Y9" i="5"/>
  <c r="Z9" i="5" a="1"/>
  <c r="Z9" i="5"/>
  <c r="V10" i="5" a="1"/>
  <c r="V10" i="5"/>
  <c r="W10" i="5" a="1"/>
  <c r="W10" i="5"/>
  <c r="X10" i="5" a="1"/>
  <c r="X10" i="5" s="1"/>
  <c r="Y10" i="5" a="1"/>
  <c r="Y10" i="5" s="1"/>
  <c r="Z10" i="5" a="1"/>
  <c r="Z10" i="5"/>
  <c r="V11" i="5" a="1"/>
  <c r="V11" i="5" s="1"/>
  <c r="W11" i="5" a="1"/>
  <c r="W11" i="5" s="1"/>
  <c r="X11" i="5" a="1"/>
  <c r="X11" i="5"/>
  <c r="Y11" i="5" a="1"/>
  <c r="Y11" i="5" s="1"/>
  <c r="Z11" i="5" a="1"/>
  <c r="Z11" i="5"/>
  <c r="V12" i="5" a="1"/>
  <c r="V12" i="5" s="1"/>
  <c r="W12" i="5" a="1"/>
  <c r="W12" i="5"/>
  <c r="X12" i="5" a="1"/>
  <c r="X12" i="5"/>
  <c r="Y12" i="5" a="1"/>
  <c r="Y12" i="5"/>
  <c r="Z12" i="5" a="1"/>
  <c r="Z12" i="5" s="1"/>
  <c r="V13" i="5" a="1"/>
  <c r="V13" i="5" s="1"/>
  <c r="W13" i="5" a="1"/>
  <c r="W13" i="5" s="1"/>
  <c r="X13" i="5" a="1"/>
  <c r="X13" i="5"/>
  <c r="Y13" i="5" a="1"/>
  <c r="Y13" i="5" s="1"/>
  <c r="Z13" i="5" a="1"/>
  <c r="Z13" i="5" s="1"/>
  <c r="V14" i="5" a="1"/>
  <c r="V14" i="5" s="1"/>
  <c r="W14" i="5" a="1"/>
  <c r="W14" i="5"/>
  <c r="X14" i="5" a="1"/>
  <c r="X14" i="5"/>
  <c r="Y14" i="5" a="1"/>
  <c r="Y14" i="5" s="1"/>
  <c r="Z14" i="5" a="1"/>
  <c r="Z14" i="5"/>
  <c r="V15" i="5" a="1"/>
  <c r="V15" i="5"/>
  <c r="W15" i="5" a="1"/>
  <c r="W15" i="5" s="1"/>
  <c r="X15" i="5" a="1"/>
  <c r="X15" i="5"/>
  <c r="Y15" i="5" a="1"/>
  <c r="Y15" i="5" s="1"/>
  <c r="Z15" i="5" a="1"/>
  <c r="Z15" i="5" s="1"/>
  <c r="V16" i="5" a="1"/>
  <c r="V16" i="5"/>
  <c r="W16" i="5" a="1"/>
  <c r="W16" i="5" s="1"/>
  <c r="X16" i="5" a="1"/>
  <c r="X16" i="5" s="1"/>
  <c r="Y16" i="5" a="1"/>
  <c r="Y16" i="5"/>
  <c r="Z16" i="5" a="1"/>
  <c r="Z16" i="5"/>
  <c r="V17" i="5" a="1"/>
  <c r="V17" i="5"/>
  <c r="W17" i="5" a="1"/>
  <c r="W17" i="5" s="1"/>
  <c r="X17" i="5" a="1"/>
  <c r="X17" i="5"/>
  <c r="Y17" i="5" a="1"/>
  <c r="Y17" i="5" s="1"/>
  <c r="Z17" i="5" a="1"/>
  <c r="Z17" i="5" s="1"/>
  <c r="V18" i="5" a="1"/>
  <c r="V18" i="5"/>
  <c r="W18" i="5" a="1"/>
  <c r="W18" i="5" s="1"/>
  <c r="X18" i="5" a="1"/>
  <c r="X18" i="5" s="1"/>
  <c r="Y18" i="5" a="1"/>
  <c r="Y18" i="5"/>
  <c r="Z18" i="5" a="1"/>
  <c r="Z18" i="5" s="1"/>
  <c r="V19" i="5" a="1"/>
  <c r="V19" i="5"/>
  <c r="W19" i="5" a="1"/>
  <c r="W19" i="5"/>
  <c r="X19" i="5" a="1"/>
  <c r="X19" i="5"/>
  <c r="Y19" i="5" a="1"/>
  <c r="Y19" i="5"/>
  <c r="Z19" i="5" a="1"/>
  <c r="Z19" i="5" s="1"/>
  <c r="V20" i="5" a="1"/>
  <c r="V20" i="5" s="1"/>
  <c r="W20" i="5" a="1"/>
  <c r="W20" i="5" s="1"/>
  <c r="X20" i="5" a="1"/>
  <c r="X20" i="5" s="1"/>
  <c r="Y20" i="5" a="1"/>
  <c r="Y20" i="5"/>
  <c r="Z20" i="5" a="1"/>
  <c r="Z20" i="5" s="1"/>
  <c r="V21" i="5" a="1"/>
  <c r="V21" i="5" s="1"/>
  <c r="W21" i="5" a="1"/>
  <c r="W21" i="5" s="1"/>
  <c r="X21" i="5" a="1"/>
  <c r="X21" i="5"/>
  <c r="Y21" i="5" a="1"/>
  <c r="Y21" i="5"/>
  <c r="Z21" i="5" a="1"/>
  <c r="Z21" i="5"/>
  <c r="V22" i="5" a="1"/>
  <c r="V22" i="5"/>
  <c r="W22" i="5" a="1"/>
  <c r="W22" i="5"/>
  <c r="X22" i="5" a="1"/>
  <c r="X22" i="5" s="1"/>
  <c r="Y22" i="5" a="1"/>
  <c r="Y22" i="5"/>
  <c r="Z22" i="5" a="1"/>
  <c r="Z22" i="5" s="1"/>
  <c r="V23" i="5" a="1"/>
  <c r="V23" i="5" s="1"/>
  <c r="W23" i="5" a="1"/>
  <c r="W23" i="5"/>
  <c r="X23" i="5" a="1"/>
  <c r="X23" i="5" s="1"/>
  <c r="Y23" i="5" a="1"/>
  <c r="Y23" i="5" s="1"/>
  <c r="Z23" i="5" a="1"/>
  <c r="Z23" i="5" s="1"/>
  <c r="V24" i="5" a="1"/>
  <c r="V24" i="5"/>
  <c r="W24" i="5" a="1"/>
  <c r="W24" i="5"/>
  <c r="X24" i="5" a="1"/>
  <c r="X24" i="5"/>
  <c r="Y24" i="5" a="1"/>
  <c r="Y24" i="5"/>
  <c r="Z24" i="5" a="1"/>
  <c r="Z24" i="5" s="1"/>
  <c r="V25" i="5" a="1"/>
  <c r="V25" i="5" s="1"/>
  <c r="W25" i="5" a="1"/>
  <c r="W25" i="5"/>
  <c r="X25" i="5" a="1"/>
  <c r="X25" i="5" s="1"/>
  <c r="Y25" i="5" a="1"/>
  <c r="Y25" i="5" s="1"/>
  <c r="Z25" i="5" a="1"/>
  <c r="Z25" i="5"/>
  <c r="V26" i="5" a="1"/>
  <c r="V26" i="5" s="1"/>
  <c r="W26" i="5" a="1"/>
  <c r="W26" i="5"/>
  <c r="X26" i="5" a="1"/>
  <c r="X26" i="5" s="1"/>
  <c r="Y26" i="5" a="1"/>
  <c r="Y26" i="5"/>
  <c r="Z26" i="5" a="1"/>
  <c r="Z26" i="5"/>
  <c r="V27" i="5" a="1"/>
  <c r="V27" i="5"/>
  <c r="W27" i="5" a="1"/>
  <c r="W27" i="5" s="1"/>
  <c r="X27" i="5" a="1"/>
  <c r="X27" i="5" s="1"/>
  <c r="Y27" i="5" a="1"/>
  <c r="Y27" i="5" s="1"/>
  <c r="Z27" i="5" a="1"/>
  <c r="Z27" i="5"/>
  <c r="V28" i="5" a="1"/>
  <c r="V28" i="5" s="1"/>
  <c r="W28" i="5" a="1"/>
  <c r="W28" i="5" s="1"/>
  <c r="X28" i="5" a="1"/>
  <c r="X28" i="5" s="1"/>
  <c r="Y28" i="5" a="1"/>
  <c r="Y28" i="5"/>
  <c r="Z28" i="5" a="1"/>
  <c r="Z28" i="5"/>
  <c r="V29" i="5" a="1"/>
  <c r="V29" i="5" s="1"/>
  <c r="W29" i="5" a="1"/>
  <c r="W29" i="5"/>
  <c r="X29" i="5" a="1"/>
  <c r="X29" i="5"/>
  <c r="Y29" i="5" a="1"/>
  <c r="Y29" i="5" s="1"/>
  <c r="Z29" i="5" a="1"/>
  <c r="Z29" i="5"/>
  <c r="V30" i="5" a="1"/>
  <c r="V30" i="5" s="1"/>
  <c r="W30" i="5" a="1"/>
  <c r="W30" i="5" s="1"/>
  <c r="X30" i="5" a="1"/>
  <c r="X30" i="5"/>
  <c r="Y30" i="5" a="1"/>
  <c r="Y30" i="5" s="1"/>
  <c r="Z30" i="5" a="1"/>
  <c r="Z30" i="5" s="1"/>
  <c r="V31" i="5" a="1"/>
  <c r="V31" i="5"/>
  <c r="W31" i="5" a="1"/>
  <c r="W31" i="5"/>
  <c r="X31" i="5" a="1"/>
  <c r="X31" i="5"/>
  <c r="Y31" i="5" a="1"/>
  <c r="Y31" i="5" s="1"/>
  <c r="Z31" i="5" a="1"/>
  <c r="Z31" i="5"/>
  <c r="V32" i="5" a="1"/>
  <c r="V32" i="5" s="1"/>
  <c r="W32" i="5" a="1"/>
  <c r="W32" i="5" s="1"/>
  <c r="X32" i="5" a="1"/>
  <c r="X32" i="5"/>
  <c r="Y32" i="5" a="1"/>
  <c r="Y32" i="5" s="1"/>
  <c r="Z32" i="5" a="1"/>
  <c r="Z32" i="5" s="1"/>
  <c r="V33" i="5" a="1"/>
  <c r="V33" i="5"/>
  <c r="W33" i="5" a="1"/>
  <c r="W33" i="5" s="1"/>
  <c r="X33" i="5" a="1"/>
  <c r="X33" i="5"/>
  <c r="Y33" i="5" a="1"/>
  <c r="Y33" i="5"/>
  <c r="Z33" i="5" a="1"/>
  <c r="Z33" i="5"/>
  <c r="V34" i="5" a="1"/>
  <c r="V34" i="5"/>
  <c r="W34" i="5" a="1"/>
  <c r="W34" i="5" s="1"/>
  <c r="X34" i="5" a="1"/>
  <c r="X34" i="5" s="1"/>
  <c r="Y34" i="5" a="1"/>
  <c r="Y34" i="5" s="1"/>
  <c r="Z34" i="5" a="1"/>
  <c r="Z34" i="5" s="1"/>
  <c r="V35" i="5" a="1"/>
  <c r="V35" i="5"/>
  <c r="W35" i="5" a="1"/>
  <c r="W35" i="5" s="1"/>
  <c r="X35" i="5" a="1"/>
  <c r="X35" i="5" s="1"/>
  <c r="Y35" i="5" a="1"/>
  <c r="Y35" i="5" s="1"/>
  <c r="Z35" i="5" a="1"/>
  <c r="Z35" i="5"/>
  <c r="V36" i="5" a="1"/>
  <c r="V36" i="5"/>
  <c r="W36" i="5" a="1"/>
  <c r="W36" i="5"/>
  <c r="X36" i="5" a="1"/>
  <c r="X36" i="5"/>
  <c r="Y36" i="5" a="1"/>
  <c r="Y36" i="5"/>
  <c r="Z36" i="5" a="1"/>
  <c r="Z36" i="5" s="1"/>
  <c r="V37" i="5" a="1"/>
  <c r="V37" i="5"/>
  <c r="W37" i="5" a="1"/>
  <c r="W37" i="5" s="1"/>
  <c r="X37" i="5" a="1"/>
  <c r="X37" i="5" s="1"/>
  <c r="Y37" i="5" a="1"/>
  <c r="Y37" i="5"/>
  <c r="Z37" i="5" a="1"/>
  <c r="Z37" i="5" s="1"/>
  <c r="V38" i="5" a="1"/>
  <c r="V38" i="5" s="1"/>
  <c r="W38" i="5" a="1"/>
  <c r="W38" i="5" s="1"/>
  <c r="X38" i="5" a="1"/>
  <c r="X38" i="5"/>
  <c r="Y38" i="5" a="1"/>
  <c r="Y38" i="5"/>
  <c r="Z38" i="5" a="1"/>
  <c r="Z38" i="5"/>
  <c r="V39" i="5" a="1"/>
  <c r="V39" i="5" s="1"/>
  <c r="W39" i="5" a="1"/>
  <c r="W39" i="5" s="1"/>
  <c r="X39" i="5" a="1"/>
  <c r="X39" i="5" s="1"/>
  <c r="Y39" i="5" a="1"/>
  <c r="Y39" i="5"/>
  <c r="Z39" i="5" a="1"/>
  <c r="Z39" i="5" s="1"/>
  <c r="V40" i="5" a="1"/>
  <c r="V40" i="5" s="1"/>
  <c r="W40" i="5" a="1"/>
  <c r="W40" i="5"/>
  <c r="X40" i="5" a="1"/>
  <c r="X40" i="5" s="1"/>
  <c r="Y40" i="5" a="1"/>
  <c r="Y40" i="5" s="1"/>
  <c r="Z40" i="5" a="1"/>
  <c r="Z40" i="5" s="1"/>
  <c r="V41" i="5" a="1"/>
  <c r="V41" i="5"/>
  <c r="W41" i="5" a="1"/>
  <c r="W41" i="5"/>
  <c r="X41" i="5" a="1"/>
  <c r="X41" i="5"/>
  <c r="Y41" i="5" a="1"/>
  <c r="Y41" i="5" s="1"/>
  <c r="Z41" i="5" a="1"/>
  <c r="Z41" i="5" s="1"/>
  <c r="V42" i="5" a="1"/>
  <c r="V42" i="5" s="1"/>
  <c r="W42" i="5" a="1"/>
  <c r="W42" i="5"/>
  <c r="X42" i="5" a="1"/>
  <c r="X42" i="5" s="1"/>
  <c r="Y42" i="5" a="1"/>
  <c r="Y42" i="5" s="1"/>
  <c r="Z42" i="5" a="1"/>
  <c r="Z42" i="5" s="1"/>
  <c r="V43" i="5" a="1"/>
  <c r="V43" i="5"/>
  <c r="W43" i="5" a="1"/>
  <c r="W43" i="5" s="1"/>
  <c r="X43" i="5" a="1"/>
  <c r="X43" i="5" s="1"/>
  <c r="Y43" i="5" a="1"/>
  <c r="Y43" i="5"/>
  <c r="Z43" i="5" a="1"/>
  <c r="Z43" i="5"/>
  <c r="V44" i="5" a="1"/>
  <c r="V44" i="5" s="1"/>
  <c r="W44" i="5" a="1"/>
  <c r="W44" i="5"/>
  <c r="X44" i="5" a="1"/>
  <c r="X44" i="5" s="1"/>
  <c r="Y44" i="5" a="1"/>
  <c r="Y44" i="5" s="1"/>
  <c r="Z44" i="5" a="1"/>
  <c r="Z44" i="5"/>
  <c r="V45" i="5" a="1"/>
  <c r="V45" i="5" s="1"/>
  <c r="W45" i="5" a="1"/>
  <c r="W45" i="5" s="1"/>
  <c r="X45" i="5" a="1"/>
  <c r="X45" i="5"/>
  <c r="Y45" i="5" a="1"/>
  <c r="Y45" i="5"/>
  <c r="Z45" i="5" a="1"/>
  <c r="Z45" i="5" s="1"/>
  <c r="V46" i="5" a="1"/>
  <c r="V46" i="5" s="1"/>
  <c r="W46" i="5" a="1"/>
  <c r="W46" i="5"/>
  <c r="X46" i="5" a="1"/>
  <c r="X46" i="5" s="1"/>
  <c r="Y46" i="5" a="1"/>
  <c r="Y46" i="5" s="1"/>
  <c r="Z46" i="5" a="1"/>
  <c r="Z46" i="5"/>
  <c r="V47" i="5" a="1"/>
  <c r="V47" i="5" s="1"/>
  <c r="W47" i="5" a="1"/>
  <c r="W47" i="5" s="1"/>
  <c r="X47" i="5" a="1"/>
  <c r="X47" i="5"/>
  <c r="Y47" i="5" a="1"/>
  <c r="Y47" i="5" s="1"/>
  <c r="Z47" i="5" a="1"/>
  <c r="Z47" i="5"/>
  <c r="V48" i="5" a="1"/>
  <c r="V48" i="5"/>
  <c r="W48" i="5" a="1"/>
  <c r="W48" i="5"/>
  <c r="X48" i="5" a="1"/>
  <c r="X48" i="5" s="1"/>
  <c r="Y48" i="5" a="1"/>
  <c r="Y48" i="5" s="1"/>
  <c r="Z48" i="5" a="1"/>
  <c r="Z48" i="5" s="1"/>
  <c r="V49" i="5" a="1"/>
  <c r="V49" i="5" s="1"/>
  <c r="W49" i="5" a="1"/>
  <c r="W49" i="5" s="1"/>
  <c r="X49" i="5" a="1"/>
  <c r="X49" i="5"/>
  <c r="Y49" i="5" a="1"/>
  <c r="Y49" i="5" s="1"/>
  <c r="Z49" i="5" a="1"/>
  <c r="Z49" i="5" s="1"/>
  <c r="V50" i="5" a="1"/>
  <c r="V50" i="5" s="1"/>
  <c r="W50" i="5" a="1"/>
  <c r="W50" i="5"/>
  <c r="X50" i="5" a="1"/>
  <c r="X50" i="5"/>
  <c r="Y50" i="5" a="1"/>
  <c r="Y50" i="5"/>
  <c r="Z50" i="5" a="1"/>
  <c r="Z50" i="5"/>
  <c r="V51" i="5" a="1"/>
  <c r="V51" i="5" s="1"/>
  <c r="W51" i="5" a="1"/>
  <c r="W51" i="5" s="1"/>
  <c r="X51" i="5" a="1"/>
  <c r="X51" i="5"/>
  <c r="Y51" i="5" a="1"/>
  <c r="Y51" i="5" s="1"/>
  <c r="Z51" i="5" a="1"/>
  <c r="Z51" i="5" s="1"/>
  <c r="V52" i="5" a="1"/>
  <c r="V52" i="5"/>
  <c r="W52" i="5" a="1"/>
  <c r="W52" i="5" s="1"/>
  <c r="X52" i="5" a="1"/>
  <c r="X52" i="5" s="1"/>
  <c r="Y52" i="5" a="1"/>
  <c r="Y52" i="5" s="1"/>
  <c r="Z52" i="5" a="1"/>
  <c r="Z52" i="5" s="1"/>
  <c r="V53" i="5" a="1"/>
  <c r="V53" i="5"/>
  <c r="W53" i="5" a="1"/>
  <c r="W53" i="5"/>
  <c r="X53" i="5" a="1"/>
  <c r="X53" i="5"/>
  <c r="Y53" i="5" a="1"/>
  <c r="Y53" i="5" s="1"/>
  <c r="Z53" i="5" a="1"/>
  <c r="Z53" i="5" s="1"/>
  <c r="V54" i="5" a="1"/>
  <c r="V54" i="5"/>
  <c r="W54" i="5" a="1"/>
  <c r="W54" i="5" s="1"/>
  <c r="X54" i="5" a="1"/>
  <c r="X54" i="5" s="1"/>
  <c r="Y54" i="5" a="1"/>
  <c r="Y54" i="5"/>
  <c r="Z54" i="5" a="1"/>
  <c r="Z54" i="5" s="1"/>
  <c r="V55" i="5" a="1"/>
  <c r="V55" i="5" s="1"/>
  <c r="W55" i="5" a="1"/>
  <c r="W55" i="5" s="1"/>
  <c r="X55" i="5" a="1"/>
  <c r="X55" i="5" s="1"/>
  <c r="Y55" i="5" a="1"/>
  <c r="Y55" i="5"/>
  <c r="Z55" i="5" a="1"/>
  <c r="Z55" i="5"/>
  <c r="V56" i="5" a="1"/>
  <c r="V56" i="5" s="1"/>
  <c r="W56" i="5" a="1"/>
  <c r="W56" i="5" s="1"/>
  <c r="X56" i="5" a="1"/>
  <c r="X56" i="5" s="1"/>
  <c r="Y56" i="5" a="1"/>
  <c r="Y56" i="5"/>
  <c r="Z56" i="5" a="1"/>
  <c r="Z56" i="5" s="1"/>
  <c r="V57" i="5" a="1"/>
  <c r="V57" i="5" s="1"/>
  <c r="W57" i="5" a="1"/>
  <c r="W57" i="5" s="1"/>
  <c r="X57" i="5" a="1"/>
  <c r="X57" i="5"/>
  <c r="Y57" i="5" a="1"/>
  <c r="Y57" i="5" s="1"/>
  <c r="Z57" i="5" a="1"/>
  <c r="Z57" i="5" s="1"/>
  <c r="V58" i="5" a="1"/>
  <c r="V58" i="5" s="1"/>
  <c r="W58" i="5" a="1"/>
  <c r="W58" i="5" s="1"/>
  <c r="X58" i="5" a="1"/>
  <c r="X58" i="5" s="1"/>
  <c r="Y58" i="5" a="1"/>
  <c r="Y58" i="5"/>
  <c r="Z58" i="5" a="1"/>
  <c r="Z58" i="5" s="1"/>
  <c r="V59" i="5" a="1"/>
  <c r="V59" i="5" s="1"/>
  <c r="W59" i="5" a="1"/>
  <c r="W59" i="5"/>
  <c r="X59" i="5" a="1"/>
  <c r="X59" i="5" s="1"/>
  <c r="Y59" i="5" a="1"/>
  <c r="Y59" i="5" s="1"/>
  <c r="Z59" i="5" a="1"/>
  <c r="Z59" i="5"/>
  <c r="V60" i="5" a="1"/>
  <c r="V60" i="5"/>
  <c r="W60" i="5" a="1"/>
  <c r="W60" i="5" s="1"/>
  <c r="X60" i="5" a="1"/>
  <c r="X60" i="5" s="1"/>
  <c r="Y60" i="5" a="1"/>
  <c r="Y60" i="5" s="1"/>
  <c r="Z60" i="5" a="1"/>
  <c r="Z60" i="5" s="1"/>
  <c r="V61" i="5" a="1"/>
  <c r="V61" i="5" s="1"/>
  <c r="W61" i="5" a="1"/>
  <c r="W61" i="5"/>
  <c r="X61" i="5" a="1"/>
  <c r="X61" i="5" s="1"/>
  <c r="Y61" i="5" a="1"/>
  <c r="Y61" i="5" s="1"/>
  <c r="Z61" i="5" a="1"/>
  <c r="Z61" i="5"/>
  <c r="V62" i="5" a="1"/>
  <c r="V62" i="5" s="1"/>
  <c r="W62" i="5" a="1"/>
  <c r="W62" i="5" s="1"/>
  <c r="X62" i="5" a="1"/>
  <c r="X62" i="5"/>
  <c r="Y62" i="5" a="1"/>
  <c r="Y62" i="5"/>
  <c r="Z62" i="5" a="1"/>
  <c r="Z62" i="5"/>
  <c r="V63" i="5" a="1"/>
  <c r="V63" i="5" s="1"/>
  <c r="W63" i="5" a="1"/>
  <c r="W63" i="5" s="1"/>
  <c r="X63" i="5" a="1"/>
  <c r="X63" i="5" s="1"/>
  <c r="Y63" i="5" a="1"/>
  <c r="Y63" i="5" s="1"/>
  <c r="Z63" i="5" a="1"/>
  <c r="Z63" i="5"/>
  <c r="V64" i="5" a="1"/>
  <c r="V64" i="5" s="1"/>
  <c r="W64" i="5" a="1"/>
  <c r="W64" i="5" s="1"/>
  <c r="X64" i="5" a="1"/>
  <c r="X64" i="5" s="1"/>
  <c r="Y64" i="5" a="1"/>
  <c r="Y64" i="5" s="1"/>
  <c r="Z64" i="5" a="1"/>
  <c r="Z64" i="5" s="1"/>
  <c r="V65" i="5" a="1"/>
  <c r="V65" i="5"/>
  <c r="W65" i="5" a="1"/>
  <c r="W65" i="5"/>
  <c r="X65" i="5" a="1"/>
  <c r="X65" i="5"/>
  <c r="Y65" i="5" a="1"/>
  <c r="Y65" i="5" s="1"/>
  <c r="Z65" i="5" a="1"/>
  <c r="Z65" i="5"/>
  <c r="V66" i="5" a="1"/>
  <c r="V66" i="5" s="1"/>
  <c r="W66" i="5" a="1"/>
  <c r="W66" i="5" s="1"/>
  <c r="X66" i="5" a="1"/>
  <c r="X66" i="5"/>
  <c r="Y66" i="5" a="1"/>
  <c r="Y66" i="5" s="1"/>
  <c r="Z66" i="5" a="1"/>
  <c r="Z66" i="5" s="1"/>
  <c r="V67" i="5" a="1"/>
  <c r="V67" i="5" s="1"/>
  <c r="W67" i="5" a="1"/>
  <c r="W67" i="5" s="1"/>
  <c r="X67" i="5" a="1"/>
  <c r="X67" i="5" s="1"/>
  <c r="Y67" i="5" a="1"/>
  <c r="Y67" i="5"/>
  <c r="Z67" i="5" a="1"/>
  <c r="Z67" i="5"/>
  <c r="V68" i="5" a="1"/>
  <c r="V68" i="5" s="1"/>
  <c r="W68" i="5" a="1"/>
  <c r="W68" i="5" s="1"/>
  <c r="X68" i="5" a="1"/>
  <c r="X68" i="5"/>
  <c r="Y68" i="5" a="1"/>
  <c r="Y68" i="5" s="1"/>
  <c r="Z68" i="5" a="1"/>
  <c r="Z68" i="5" s="1"/>
  <c r="V69" i="5" a="1"/>
  <c r="V69" i="5"/>
  <c r="W69" i="5" a="1"/>
  <c r="W69" i="5" s="1"/>
  <c r="X69" i="5" a="1"/>
  <c r="X69" i="5"/>
  <c r="Y69" i="5" a="1"/>
  <c r="Y69" i="5" s="1"/>
  <c r="Z69" i="5" a="1"/>
  <c r="Z69" i="5" s="1"/>
  <c r="V70" i="5" a="1"/>
  <c r="V70" i="5" s="1"/>
  <c r="W70" i="5" a="1"/>
  <c r="W70" i="5"/>
  <c r="X70" i="5" a="1"/>
  <c r="X70" i="5" s="1"/>
  <c r="Y70" i="5" a="1"/>
  <c r="Y70" i="5" s="1"/>
  <c r="Z70" i="5" a="1"/>
  <c r="Z70" i="5" s="1"/>
  <c r="V71" i="5" a="1"/>
  <c r="V71" i="5"/>
  <c r="W71" i="5" a="1"/>
  <c r="W71" i="5" s="1"/>
  <c r="X71" i="5" a="1"/>
  <c r="X71" i="5" s="1"/>
  <c r="Y71" i="5" a="1"/>
  <c r="Y71" i="5" s="1"/>
  <c r="Z71" i="5" a="1"/>
  <c r="Z71" i="5"/>
  <c r="V72" i="5" a="1"/>
  <c r="V72" i="5"/>
  <c r="W72" i="5" a="1"/>
  <c r="W72" i="5" s="1"/>
  <c r="X72" i="5" a="1"/>
  <c r="X72" i="5" s="1"/>
  <c r="Y72" i="5" a="1"/>
  <c r="Y72" i="5" s="1"/>
  <c r="Z72" i="5" a="1"/>
  <c r="Z72" i="5" s="1"/>
  <c r="V73" i="5" a="1"/>
  <c r="V73" i="5"/>
  <c r="W73" i="5" a="1"/>
  <c r="W73" i="5" s="1"/>
  <c r="X73" i="5" a="1"/>
  <c r="X73" i="5" s="1"/>
  <c r="Y73" i="5" a="1"/>
  <c r="Y73" i="5"/>
  <c r="Z73" i="5" a="1"/>
  <c r="Z73" i="5" s="1"/>
  <c r="V74" i="5" a="1"/>
  <c r="V74" i="5" s="1"/>
  <c r="W74" i="5" a="1"/>
  <c r="W74" i="5"/>
  <c r="X74" i="5" a="1"/>
  <c r="X74" i="5"/>
  <c r="Y74" i="5" a="1"/>
  <c r="Y74" i="5"/>
  <c r="Z74" i="5" a="1"/>
  <c r="Z74" i="5" s="1"/>
  <c r="V75" i="5" a="1"/>
  <c r="V75" i="5" s="1"/>
  <c r="W75" i="5" a="1"/>
  <c r="W75" i="5" s="1"/>
  <c r="X75" i="5" a="1"/>
  <c r="X75" i="5" s="1"/>
  <c r="Y75" i="5" a="1"/>
  <c r="Y75" i="5"/>
  <c r="Z75" i="5" a="1"/>
  <c r="Z75" i="5" s="1"/>
  <c r="V76" i="5" a="1"/>
  <c r="V76" i="5" s="1"/>
  <c r="W76" i="5" a="1"/>
  <c r="W76" i="5"/>
  <c r="X76" i="5" a="1"/>
  <c r="X76" i="5" s="1"/>
  <c r="Y76" i="5" a="1"/>
  <c r="Y76" i="5" s="1"/>
  <c r="Z76" i="5" a="1"/>
  <c r="Z76" i="5"/>
  <c r="V77" i="5" a="1"/>
  <c r="V77" i="5"/>
  <c r="W77" i="5" a="1"/>
  <c r="W77" i="5"/>
  <c r="X77" i="5" a="1"/>
  <c r="X77" i="5" s="1"/>
  <c r="Y77" i="5" a="1"/>
  <c r="Y77" i="5" s="1"/>
  <c r="Z77" i="5" a="1"/>
  <c r="Z77" i="5" s="1"/>
  <c r="V78" i="5" a="1"/>
  <c r="V78" i="5" s="1"/>
  <c r="W78" i="5" a="1"/>
  <c r="W78" i="5"/>
  <c r="X78" i="5" a="1"/>
  <c r="X78" i="5" s="1"/>
  <c r="Y78" i="5" a="1"/>
  <c r="Y78" i="5" s="1"/>
  <c r="Z78" i="5" a="1"/>
  <c r="Z78" i="5" s="1"/>
  <c r="V79" i="5" a="1"/>
  <c r="V79" i="5" s="1"/>
  <c r="W79" i="5" a="1"/>
  <c r="W79" i="5" s="1"/>
  <c r="X79" i="5" a="1"/>
  <c r="X79" i="5"/>
  <c r="Y79" i="5" a="1"/>
  <c r="Y79" i="5"/>
  <c r="Z79" i="5" a="1"/>
  <c r="Z79" i="5"/>
  <c r="V80" i="5" a="1"/>
  <c r="V80" i="5" s="1"/>
  <c r="W80" i="5" a="1"/>
  <c r="W80" i="5"/>
  <c r="X80" i="5" a="1"/>
  <c r="X80" i="5" s="1"/>
  <c r="Y80" i="5" a="1"/>
  <c r="Y80" i="5" s="1"/>
  <c r="Z80" i="5" a="1"/>
  <c r="Z80" i="5"/>
  <c r="V81" i="5" a="1"/>
  <c r="V81" i="5" s="1"/>
  <c r="W81" i="5" a="1"/>
  <c r="W81" i="5" s="1"/>
  <c r="X81" i="5" a="1"/>
  <c r="X81" i="5" s="1"/>
  <c r="Y81" i="5" a="1"/>
  <c r="Y81" i="5" s="1"/>
  <c r="Z81" i="5" a="1"/>
  <c r="Z81" i="5" s="1"/>
  <c r="V82" i="5" a="1"/>
  <c r="V82" i="5"/>
  <c r="W82" i="5" a="1"/>
  <c r="W82" i="5"/>
  <c r="X82" i="5" a="1"/>
  <c r="X82" i="5" s="1"/>
  <c r="Y82" i="5" a="1"/>
  <c r="Y82" i="5" s="1"/>
  <c r="Z82" i="5" a="1"/>
  <c r="Z82" i="5"/>
  <c r="V83" i="5" a="1"/>
  <c r="V83" i="5" s="1"/>
  <c r="W83" i="5" a="1"/>
  <c r="W83" i="5" s="1"/>
  <c r="X83" i="5" a="1"/>
  <c r="X83" i="5"/>
  <c r="Y83" i="5" a="1"/>
  <c r="Y83" i="5" s="1"/>
  <c r="Z83" i="5" a="1"/>
  <c r="Z83" i="5"/>
  <c r="V84" i="5" a="1"/>
  <c r="V84" i="5" s="1"/>
  <c r="W84" i="5" a="1"/>
  <c r="W84" i="5" s="1"/>
  <c r="X84" i="5" a="1"/>
  <c r="X84" i="5" s="1"/>
  <c r="Y84" i="5" a="1"/>
  <c r="Y84" i="5"/>
  <c r="Z84" i="5" a="1"/>
  <c r="Z84" i="5" s="1"/>
  <c r="V85" i="5" a="1"/>
  <c r="V85" i="5" s="1"/>
  <c r="W85" i="5" a="1"/>
  <c r="W85" i="5" s="1"/>
  <c r="X85" i="5" a="1"/>
  <c r="X85" i="5"/>
  <c r="Y85" i="5" a="1"/>
  <c r="Y85" i="5" s="1"/>
  <c r="Z85" i="5" a="1"/>
  <c r="Z85" i="5" s="1"/>
  <c r="V86" i="5" a="1"/>
  <c r="V86" i="5" s="1"/>
  <c r="W86" i="5" a="1"/>
  <c r="W86" i="5"/>
  <c r="X86" i="5" a="1"/>
  <c r="X86" i="5"/>
  <c r="Y86" i="5" a="1"/>
  <c r="Y86" i="5" s="1"/>
  <c r="Z86" i="5" a="1"/>
  <c r="Z86" i="5" s="1"/>
  <c r="V87" i="5" a="1"/>
  <c r="V87" i="5" s="1"/>
  <c r="W87" i="5" a="1"/>
  <c r="W87" i="5" s="1"/>
  <c r="X87" i="5" a="1"/>
  <c r="X87" i="5"/>
  <c r="Y87" i="5" a="1"/>
  <c r="Y87" i="5" s="1"/>
  <c r="Z87" i="5" a="1"/>
  <c r="Z87" i="5" s="1"/>
  <c r="V88" i="5" a="1"/>
  <c r="V88" i="5"/>
  <c r="W88" i="5" a="1"/>
  <c r="W88" i="5" s="1"/>
  <c r="X88" i="5" a="1"/>
  <c r="X88" i="5" s="1"/>
  <c r="Y88" i="5" a="1"/>
  <c r="Y88" i="5"/>
  <c r="Z88" i="5" a="1"/>
  <c r="Z88" i="5"/>
  <c r="V89" i="5" a="1"/>
  <c r="V89" i="5"/>
  <c r="W89" i="5" a="1"/>
  <c r="W89" i="5" s="1"/>
  <c r="X89" i="5" a="1"/>
  <c r="X89" i="5" s="1"/>
  <c r="Y89" i="5" a="1"/>
  <c r="Y89" i="5" s="1"/>
  <c r="Z89" i="5" a="1"/>
  <c r="Z89" i="5" s="1"/>
  <c r="V90" i="5" a="1"/>
  <c r="V90" i="5"/>
  <c r="W90" i="5" a="1"/>
  <c r="W90" i="5" s="1"/>
  <c r="X90" i="5" a="1"/>
  <c r="X90" i="5" s="1"/>
  <c r="Y90" i="5" a="1"/>
  <c r="Y90" i="5"/>
  <c r="Z90" i="5" a="1"/>
  <c r="Z90" i="5" s="1"/>
  <c r="V91" i="5" a="1"/>
  <c r="V91" i="5" s="1"/>
  <c r="W91" i="5" a="1"/>
  <c r="W91" i="5"/>
  <c r="X91" i="5" a="1"/>
  <c r="X91" i="5"/>
  <c r="Y91" i="5" a="1"/>
  <c r="Y91" i="5"/>
  <c r="Z91" i="5" a="1"/>
  <c r="Z91" i="5" s="1"/>
  <c r="V92" i="5" a="1"/>
  <c r="V92" i="5" s="1"/>
  <c r="W92" i="5" a="1"/>
  <c r="W92" i="5" s="1"/>
  <c r="X92" i="5" a="1"/>
  <c r="X92" i="5" s="1"/>
  <c r="Y92" i="5" a="1"/>
  <c r="Y92" i="5"/>
  <c r="Z92" i="5" a="1"/>
  <c r="Z92" i="5" s="1"/>
  <c r="V93" i="5" a="1"/>
  <c r="V93" i="5" s="1"/>
  <c r="W93" i="5" a="1"/>
  <c r="W93" i="5" s="1"/>
  <c r="X93" i="5" a="1"/>
  <c r="X93" i="5" s="1"/>
  <c r="Y93" i="5" a="1"/>
  <c r="Y93" i="5" s="1"/>
  <c r="Z93" i="5" a="1"/>
  <c r="Z93" i="5"/>
  <c r="V94" i="5" a="1"/>
  <c r="V94" i="5"/>
  <c r="W94" i="5" a="1"/>
  <c r="W94" i="5"/>
  <c r="X94" i="5" a="1"/>
  <c r="X94" i="5" s="1"/>
  <c r="Y94" i="5" a="1"/>
  <c r="Y94" i="5"/>
  <c r="Z94" i="5" a="1"/>
  <c r="Z94" i="5" s="1"/>
  <c r="V95" i="5" a="1"/>
  <c r="V95" i="5" s="1"/>
  <c r="W95" i="5" a="1"/>
  <c r="W95" i="5"/>
  <c r="X95" i="5" a="1"/>
  <c r="X95" i="5" s="1"/>
  <c r="Y95" i="5" a="1"/>
  <c r="Y95" i="5" s="1"/>
  <c r="Z95" i="5" a="1"/>
  <c r="Z95" i="5" s="1"/>
  <c r="V96" i="5" a="1"/>
  <c r="V96" i="5" s="1"/>
  <c r="W96" i="5" a="1"/>
  <c r="W96" i="5"/>
  <c r="X96" i="5" a="1"/>
  <c r="X96" i="5"/>
  <c r="Y96" i="5" a="1"/>
  <c r="Y96" i="5"/>
  <c r="Z96" i="5" a="1"/>
  <c r="Z96" i="5" s="1"/>
  <c r="V97" i="5" a="1"/>
  <c r="V97" i="5" s="1"/>
  <c r="W97" i="5" a="1"/>
  <c r="W97" i="5"/>
  <c r="X97" i="5" a="1"/>
  <c r="X97" i="5" s="1"/>
  <c r="Y97" i="5" a="1"/>
  <c r="Y97" i="5" s="1"/>
  <c r="Z97" i="5" a="1"/>
  <c r="Z97" i="5"/>
  <c r="V98" i="5" a="1"/>
  <c r="V98" i="5" s="1"/>
  <c r="W98" i="5" a="1"/>
  <c r="W98" i="5"/>
  <c r="X98" i="5" a="1"/>
  <c r="X98" i="5" s="1"/>
  <c r="Y98" i="5" a="1"/>
  <c r="Y98" i="5" s="1"/>
  <c r="Z98" i="5" a="1"/>
  <c r="Z98" i="5"/>
  <c r="V99" i="5" a="1"/>
  <c r="V99" i="5"/>
  <c r="W99" i="5" a="1"/>
  <c r="W99" i="5" s="1"/>
  <c r="X99" i="5" a="1"/>
  <c r="X99" i="5" s="1"/>
  <c r="Y99" i="5" a="1"/>
  <c r="Y99" i="5" s="1"/>
  <c r="Z99" i="5" a="1"/>
  <c r="Z99" i="5"/>
  <c r="V100" i="5" a="1"/>
  <c r="V100" i="5" s="1"/>
  <c r="W100" i="5" a="1"/>
  <c r="W100" i="5" s="1"/>
  <c r="X100" i="5" a="1"/>
  <c r="X100" i="5" s="1"/>
  <c r="Y100" i="5" a="1"/>
  <c r="Y100" i="5"/>
  <c r="Z100" i="5" a="1"/>
  <c r="Z100" i="5"/>
  <c r="V101" i="5" a="1"/>
  <c r="V101" i="5" s="1"/>
  <c r="W101" i="5" a="1"/>
  <c r="W101" i="5" s="1"/>
  <c r="X101" i="5" a="1"/>
  <c r="X101" i="5"/>
  <c r="Y101" i="5" a="1"/>
  <c r="Y101" i="5" s="1"/>
  <c r="Z101" i="5" a="1"/>
  <c r="Z101" i="5"/>
  <c r="V102" i="5" a="1"/>
  <c r="V102" i="5" s="1"/>
  <c r="W102" i="5" a="1"/>
  <c r="W102" i="5" s="1"/>
  <c r="X102" i="5" a="1"/>
  <c r="X102" i="5"/>
  <c r="Y102" i="5" a="1"/>
  <c r="Y102" i="5" s="1"/>
  <c r="Z102" i="5" a="1"/>
  <c r="Z102" i="5" s="1"/>
  <c r="V103" i="5" a="1"/>
  <c r="V103" i="5"/>
  <c r="W103" i="5" a="1"/>
  <c r="W103" i="5"/>
  <c r="X103" i="5" a="1"/>
  <c r="X103" i="5"/>
  <c r="Y103" i="5" a="1"/>
  <c r="Y103" i="5" s="1"/>
  <c r="Z103" i="5" a="1"/>
  <c r="Z103" i="5" s="1"/>
  <c r="V104" i="5" a="1"/>
  <c r="V104" i="5" s="1"/>
  <c r="W104" i="5" a="1"/>
  <c r="W104" i="5" s="1"/>
  <c r="X104" i="5" a="1"/>
  <c r="X104" i="5"/>
  <c r="Y104" i="5" a="1"/>
  <c r="Y104" i="5" s="1"/>
  <c r="Z104" i="5" a="1"/>
  <c r="Z104" i="5" s="1"/>
  <c r="V105" i="5" a="1"/>
  <c r="V105" i="5"/>
  <c r="W105" i="5" a="1"/>
  <c r="W105" i="5" s="1"/>
  <c r="X105" i="5" a="1"/>
  <c r="X105" i="5"/>
  <c r="Y105" i="5" a="1"/>
  <c r="Y105" i="5"/>
  <c r="Z105" i="5" a="1"/>
  <c r="Z105" i="5"/>
  <c r="V106" i="5" a="1"/>
  <c r="V106" i="5"/>
  <c r="W106" i="5" a="1"/>
  <c r="W106" i="5" s="1"/>
  <c r="X106" i="5" a="1"/>
  <c r="X106" i="5" s="1"/>
  <c r="Y106" i="5" a="1"/>
  <c r="Y106" i="5" s="1"/>
  <c r="Z106" i="5" a="1"/>
  <c r="Z106" i="5" s="1"/>
  <c r="V107" i="5" a="1"/>
  <c r="V107" i="5"/>
  <c r="W107" i="5" a="1"/>
  <c r="W107" i="5" s="1"/>
  <c r="X107" i="5" a="1"/>
  <c r="X107" i="5" s="1"/>
  <c r="Y107" i="5" a="1"/>
  <c r="Y107" i="5" s="1"/>
  <c r="Z107" i="5" a="1"/>
  <c r="Z107" i="5" s="1"/>
  <c r="V108" i="5" a="1"/>
  <c r="V108" i="5"/>
  <c r="W108" i="5" a="1"/>
  <c r="W108" i="5"/>
  <c r="X108" i="5" a="1"/>
  <c r="X108" i="5"/>
  <c r="Y108" i="5" a="1"/>
  <c r="Y108" i="5"/>
  <c r="Z108" i="5" a="1"/>
  <c r="Z108" i="5" s="1"/>
  <c r="V109" i="5" a="1"/>
  <c r="V109" i="5"/>
  <c r="W109" i="5" a="1"/>
  <c r="W109" i="5" s="1"/>
  <c r="X109" i="5" a="1"/>
  <c r="X109" i="5" s="1"/>
  <c r="Y109" i="5" a="1"/>
  <c r="Y109" i="5"/>
  <c r="Z109" i="5" a="1"/>
  <c r="Z109" i="5" s="1"/>
  <c r="V110" i="5" a="1"/>
  <c r="V110" i="5" s="1"/>
  <c r="W110" i="5" a="1"/>
  <c r="W110" i="5"/>
  <c r="X110" i="5" a="1"/>
  <c r="X110" i="5" s="1"/>
  <c r="Y110" i="5" a="1"/>
  <c r="Y110" i="5" s="1"/>
  <c r="Z110" i="5" a="1"/>
  <c r="Z110" i="5"/>
  <c r="V111" i="5" a="1"/>
  <c r="V111" i="5" s="1"/>
  <c r="W111" i="5" a="1"/>
  <c r="W111" i="5" s="1"/>
  <c r="X111" i="5" a="1"/>
  <c r="X111" i="5"/>
  <c r="Y111" i="5" a="1"/>
  <c r="Y111" i="5" s="1"/>
  <c r="Z111" i="5" a="1"/>
  <c r="Z111" i="5" s="1"/>
  <c r="V112" i="5" a="1"/>
  <c r="V112" i="5"/>
  <c r="W112" i="5" a="1"/>
  <c r="W112" i="5" s="1"/>
  <c r="X112" i="5" a="1"/>
  <c r="X112" i="5" s="1"/>
  <c r="Y112" i="5" a="1"/>
  <c r="Y112" i="5"/>
  <c r="Z112" i="5" a="1"/>
  <c r="Z112" i="5" s="1"/>
  <c r="V113" i="5" a="1"/>
  <c r="V113" i="5" s="1"/>
  <c r="W113" i="5" a="1"/>
  <c r="W113" i="5"/>
  <c r="X113" i="5" a="1"/>
  <c r="X113" i="5" s="1"/>
  <c r="Y113" i="5" a="1"/>
  <c r="Y113" i="5" s="1"/>
  <c r="Z113" i="5" a="1"/>
  <c r="Z113" i="5"/>
  <c r="V114" i="5" a="1"/>
  <c r="V114" i="5" s="1"/>
  <c r="W114" i="5" a="1"/>
  <c r="W114" i="5" s="1"/>
  <c r="X114" i="5" a="1"/>
  <c r="X114" i="5"/>
  <c r="Y114" i="5" a="1"/>
  <c r="Y114" i="5" s="1"/>
  <c r="Z114" i="5" a="1"/>
  <c r="Z114" i="5" s="1"/>
  <c r="V115" i="5" a="1"/>
  <c r="V115" i="5"/>
  <c r="W115" i="5" a="1"/>
  <c r="W115" i="5" s="1"/>
  <c r="X115" i="5" a="1"/>
  <c r="X115" i="5" s="1"/>
  <c r="Y115" i="5" a="1"/>
  <c r="Y115" i="5"/>
  <c r="Z115" i="5" a="1"/>
  <c r="Z115" i="5" s="1"/>
  <c r="V116" i="5" a="1"/>
  <c r="V116" i="5" s="1"/>
  <c r="W116" i="5" a="1"/>
  <c r="W116" i="5" s="1"/>
  <c r="X116" i="5" a="1"/>
  <c r="X116" i="5" s="1"/>
  <c r="Y116" i="5" a="1"/>
  <c r="Y116" i="5" s="1"/>
  <c r="Z116" i="5" a="1"/>
  <c r="Z116" i="5"/>
  <c r="V117" i="5" a="1"/>
  <c r="V117" i="5" s="1"/>
  <c r="W117" i="5" a="1"/>
  <c r="W117" i="5" s="1"/>
  <c r="X117" i="5" a="1"/>
  <c r="X117" i="5" s="1"/>
  <c r="Y117" i="5" a="1"/>
  <c r="Y117" i="5" s="1"/>
  <c r="Z117" i="5" a="1"/>
  <c r="Z117" i="5" s="1"/>
  <c r="V118" i="5" a="1"/>
  <c r="V118" i="5"/>
  <c r="W118" i="5" a="1"/>
  <c r="W118" i="5" s="1"/>
  <c r="X118" i="5" a="1"/>
  <c r="X118" i="5" s="1"/>
  <c r="Y118" i="5" a="1"/>
  <c r="Y118" i="5" s="1"/>
  <c r="Z118" i="5" a="1"/>
  <c r="Z118" i="5" s="1"/>
  <c r="V119" i="5" a="1"/>
  <c r="V119" i="5" s="1"/>
  <c r="W119" i="5" a="1"/>
  <c r="W119" i="5"/>
  <c r="X119" i="5" a="1"/>
  <c r="X119" i="5" s="1"/>
  <c r="Y119" i="5" a="1"/>
  <c r="Y119" i="5" s="1"/>
  <c r="Z119" i="5" a="1"/>
  <c r="Z119" i="5" s="1"/>
  <c r="V120" i="5" a="1"/>
  <c r="V120" i="5" s="1"/>
  <c r="W120" i="5" a="1"/>
  <c r="W120" i="5" s="1"/>
  <c r="X120" i="5" a="1"/>
  <c r="X120" i="5"/>
  <c r="Y120" i="5" a="1"/>
  <c r="Y120" i="5" s="1"/>
  <c r="Z120" i="5" a="1"/>
  <c r="Z120" i="5" s="1"/>
  <c r="V121" i="5" a="1"/>
  <c r="V121" i="5" s="1"/>
  <c r="W121" i="5" a="1"/>
  <c r="W121" i="5" s="1"/>
  <c r="X121" i="5" a="1"/>
  <c r="X121" i="5" s="1"/>
  <c r="Y121" i="5" a="1"/>
  <c r="Y121" i="5"/>
  <c r="Z121" i="5" a="1"/>
  <c r="Z121" i="5" s="1"/>
  <c r="V122" i="5" a="1"/>
  <c r="V122" i="5" s="1"/>
  <c r="W122" i="5" a="1"/>
  <c r="W122" i="5" s="1"/>
  <c r="X122" i="5" a="1"/>
  <c r="X122" i="5" s="1"/>
  <c r="Y122" i="5" a="1"/>
  <c r="Y122" i="5" s="1"/>
  <c r="Z122" i="5" a="1"/>
  <c r="Z122" i="5"/>
  <c r="V123" i="5" a="1"/>
  <c r="V123" i="5" s="1"/>
  <c r="W123" i="5" a="1"/>
  <c r="W123" i="5" s="1"/>
  <c r="X123" i="5" a="1"/>
  <c r="X123" i="5" s="1"/>
  <c r="Y123" i="5" a="1"/>
  <c r="Y123" i="5" s="1"/>
  <c r="Z123" i="5" a="1"/>
  <c r="Z123" i="5" s="1"/>
  <c r="V124" i="5" a="1"/>
  <c r="V124" i="5"/>
  <c r="W124" i="5" a="1"/>
  <c r="W124" i="5" s="1"/>
  <c r="X124" i="5" a="1"/>
  <c r="X124" i="5" s="1"/>
  <c r="Y124" i="5" a="1"/>
  <c r="Y124" i="5" s="1"/>
  <c r="Z124" i="5" a="1"/>
  <c r="Z124" i="5" s="1"/>
  <c r="V125" i="5" a="1"/>
  <c r="V125" i="5" s="1"/>
  <c r="W125" i="5" a="1"/>
  <c r="W125" i="5"/>
  <c r="X125" i="5" a="1"/>
  <c r="X125" i="5" s="1"/>
  <c r="Y125" i="5" a="1"/>
  <c r="Y125" i="5" s="1"/>
  <c r="Z125" i="5" a="1"/>
  <c r="Z125" i="5" s="1"/>
  <c r="V126" i="5" a="1"/>
  <c r="V126" i="5" s="1"/>
  <c r="W126" i="5" a="1"/>
  <c r="W126" i="5" s="1"/>
  <c r="X126" i="5" a="1"/>
  <c r="X126" i="5"/>
  <c r="Y126" i="5" a="1"/>
  <c r="Y126" i="5" s="1"/>
  <c r="Z126" i="5" a="1"/>
  <c r="Z126" i="5" s="1"/>
  <c r="V127" i="5" a="1"/>
  <c r="V127" i="5" s="1"/>
  <c r="W127" i="5" a="1"/>
  <c r="W127" i="5" s="1"/>
  <c r="X127" i="5" a="1"/>
  <c r="X127" i="5" s="1"/>
  <c r="Y127" i="5" a="1"/>
  <c r="Y127" i="5"/>
  <c r="Z127" i="5" a="1"/>
  <c r="Z127" i="5" s="1"/>
  <c r="V128" i="5" a="1"/>
  <c r="V128" i="5" s="1"/>
  <c r="W128" i="5" a="1"/>
  <c r="W128" i="5" s="1"/>
  <c r="X128" i="5" a="1"/>
  <c r="X128" i="5" s="1"/>
  <c r="Y128" i="5" a="1"/>
  <c r="Y128" i="5" s="1"/>
  <c r="Z128" i="5" a="1"/>
  <c r="Z128" i="5"/>
  <c r="V129" i="5" a="1"/>
  <c r="V129" i="5" s="1"/>
  <c r="W129" i="5" a="1"/>
  <c r="W129" i="5" s="1"/>
  <c r="X129" i="5" a="1"/>
  <c r="X129" i="5" s="1"/>
  <c r="Y129" i="5" a="1"/>
  <c r="Y129" i="5" s="1"/>
  <c r="Z129" i="5" a="1"/>
  <c r="Z129" i="5" s="1"/>
  <c r="V130" i="5" a="1"/>
  <c r="V130" i="5"/>
  <c r="W130" i="5" a="1"/>
  <c r="W130" i="5" s="1"/>
  <c r="X130" i="5" a="1"/>
  <c r="X130" i="5" s="1"/>
  <c r="Y130" i="5" a="1"/>
  <c r="Y130" i="5" s="1"/>
  <c r="Z130" i="5" a="1"/>
  <c r="Z130" i="5" s="1"/>
  <c r="V131" i="5" a="1"/>
  <c r="V131" i="5" s="1"/>
  <c r="W131" i="5" a="1"/>
  <c r="W131" i="5"/>
  <c r="X131" i="5" a="1"/>
  <c r="X131" i="5" s="1"/>
  <c r="Y131" i="5" a="1"/>
  <c r="Y131" i="5" s="1"/>
  <c r="Z131" i="5" a="1"/>
  <c r="Z131" i="5" s="1"/>
  <c r="V132" i="5" a="1"/>
  <c r="V132" i="5" s="1"/>
  <c r="W132" i="5" a="1"/>
  <c r="W132" i="5" s="1"/>
  <c r="X132" i="5" a="1"/>
  <c r="X132" i="5"/>
  <c r="Y132" i="5" a="1"/>
  <c r="Y132" i="5" s="1"/>
  <c r="Z132" i="5" a="1"/>
  <c r="Z132" i="5" s="1"/>
  <c r="V133" i="5" a="1"/>
  <c r="V133" i="5" s="1"/>
  <c r="W133" i="5" a="1"/>
  <c r="W133" i="5" s="1"/>
  <c r="X133" i="5" a="1"/>
  <c r="X133" i="5" s="1"/>
  <c r="Y133" i="5" a="1"/>
  <c r="Y133" i="5"/>
  <c r="Z133" i="5" a="1"/>
  <c r="Z133" i="5" s="1"/>
  <c r="V134" i="5" a="1"/>
  <c r="V134" i="5" s="1"/>
  <c r="W134" i="5" a="1"/>
  <c r="W134" i="5" s="1"/>
  <c r="X134" i="5" a="1"/>
  <c r="X134" i="5" s="1"/>
  <c r="Y134" i="5" a="1"/>
  <c r="Y134" i="5" s="1"/>
  <c r="Z134" i="5" a="1"/>
  <c r="Z134" i="5"/>
  <c r="V135" i="5" a="1"/>
  <c r="V135" i="5" s="1"/>
  <c r="W135" i="5" a="1"/>
  <c r="W135" i="5" s="1"/>
  <c r="X135" i="5" a="1"/>
  <c r="X135" i="5" s="1"/>
  <c r="Y135" i="5" a="1"/>
  <c r="Y135" i="5" s="1"/>
  <c r="Z135" i="5" a="1"/>
  <c r="Z135" i="5" s="1"/>
  <c r="V136" i="5" a="1"/>
  <c r="V136" i="5"/>
  <c r="W136" i="5" a="1"/>
  <c r="W136" i="5" s="1"/>
  <c r="X136" i="5" a="1"/>
  <c r="X136" i="5" s="1"/>
  <c r="Y136" i="5" a="1"/>
  <c r="Y136" i="5" s="1"/>
  <c r="Z136" i="5" a="1"/>
  <c r="Z136" i="5" s="1"/>
  <c r="V137" i="5" a="1"/>
  <c r="V137" i="5" s="1"/>
  <c r="W137" i="5" a="1"/>
  <c r="W137" i="5"/>
  <c r="X137" i="5" a="1"/>
  <c r="X137" i="5" s="1"/>
  <c r="Y137" i="5" a="1"/>
  <c r="Y137" i="5" s="1"/>
  <c r="Z137" i="5" a="1"/>
  <c r="Z137" i="5" s="1"/>
  <c r="V138" i="5" a="1"/>
  <c r="V138" i="5" s="1"/>
  <c r="W138" i="5" a="1"/>
  <c r="W138" i="5" s="1"/>
  <c r="X138" i="5" a="1"/>
  <c r="X138" i="5"/>
  <c r="Y138" i="5" a="1"/>
  <c r="Y138" i="5" s="1"/>
  <c r="Z138" i="5" a="1"/>
  <c r="Z138" i="5" s="1"/>
  <c r="V139" i="5" a="1"/>
  <c r="V139" i="5" s="1"/>
  <c r="W139" i="5" a="1"/>
  <c r="W139" i="5" s="1"/>
  <c r="X139" i="5" a="1"/>
  <c r="X139" i="5" s="1"/>
  <c r="Y139" i="5" a="1"/>
  <c r="Y139" i="5"/>
  <c r="Z139" i="5" a="1"/>
  <c r="Z139" i="5" s="1"/>
  <c r="V140" i="5" a="1"/>
  <c r="V140" i="5" s="1"/>
  <c r="W140" i="5" a="1"/>
  <c r="W140" i="5" s="1"/>
  <c r="X140" i="5" a="1"/>
  <c r="X140" i="5" s="1"/>
  <c r="Y140" i="5" a="1"/>
  <c r="Y140" i="5" s="1"/>
  <c r="Z140" i="5" a="1"/>
  <c r="Z140" i="5"/>
  <c r="V141" i="5" a="1"/>
  <c r="V141" i="5" s="1"/>
  <c r="W141" i="5" a="1"/>
  <c r="W141" i="5" s="1"/>
  <c r="X141" i="5" a="1"/>
  <c r="X141" i="5" s="1"/>
  <c r="Y141" i="5" a="1"/>
  <c r="Y141" i="5" s="1"/>
  <c r="Z141" i="5" a="1"/>
  <c r="Z141" i="5" s="1"/>
  <c r="V142" i="5" a="1"/>
  <c r="V142" i="5"/>
  <c r="W142" i="5" a="1"/>
  <c r="W142" i="5" s="1"/>
  <c r="X142" i="5" a="1"/>
  <c r="X142" i="5" s="1"/>
  <c r="Y142" i="5" a="1"/>
  <c r="Y142" i="5" s="1"/>
  <c r="Z142" i="5" a="1"/>
  <c r="Z142" i="5" s="1"/>
  <c r="V143" i="5" a="1"/>
  <c r="V143" i="5" s="1"/>
  <c r="W143" i="5" a="1"/>
  <c r="W143" i="5"/>
  <c r="X143" i="5" a="1"/>
  <c r="X143" i="5" s="1"/>
  <c r="Y143" i="5" a="1"/>
  <c r="Y143" i="5" s="1"/>
  <c r="Z143" i="5" a="1"/>
  <c r="Z143" i="5" s="1"/>
  <c r="V144" i="5" a="1"/>
  <c r="V144" i="5" s="1"/>
  <c r="W144" i="5" a="1"/>
  <c r="W144" i="5" s="1"/>
  <c r="X144" i="5" a="1"/>
  <c r="X144" i="5"/>
  <c r="Y144" i="5" a="1"/>
  <c r="Y144" i="5" s="1"/>
  <c r="Z144" i="5" a="1"/>
  <c r="Z144" i="5" s="1"/>
  <c r="V145" i="5" a="1"/>
  <c r="V145" i="5" s="1"/>
  <c r="W145" i="5" a="1"/>
  <c r="W145" i="5" s="1"/>
  <c r="X145" i="5" a="1"/>
  <c r="X145" i="5" s="1"/>
  <c r="Y145" i="5" a="1"/>
  <c r="Y145" i="5" s="1"/>
  <c r="Z145" i="5" a="1"/>
  <c r="Z145" i="5" s="1"/>
  <c r="V146" i="5" a="1"/>
  <c r="V146" i="5" s="1"/>
  <c r="W146" i="5" a="1"/>
  <c r="W146" i="5" s="1"/>
  <c r="X146" i="5" a="1"/>
  <c r="X146" i="5" s="1"/>
  <c r="Y146" i="5" a="1"/>
  <c r="Y146" i="5" s="1"/>
  <c r="Z146" i="5" a="1"/>
  <c r="Z146" i="5" s="1"/>
  <c r="V147" i="5" a="1"/>
  <c r="V147" i="5" s="1"/>
  <c r="W147" i="5" a="1"/>
  <c r="W147" i="5" s="1"/>
  <c r="X147" i="5" a="1"/>
  <c r="X147" i="5" s="1"/>
  <c r="Y147" i="5" a="1"/>
  <c r="Y147" i="5" s="1"/>
  <c r="Z147" i="5" a="1"/>
  <c r="Z147" i="5" s="1"/>
  <c r="V148" i="5" a="1"/>
  <c r="V148" i="5" s="1"/>
  <c r="W148" i="5" a="1"/>
  <c r="W148" i="5" s="1"/>
  <c r="X148" i="5" a="1"/>
  <c r="X148" i="5" s="1"/>
  <c r="Y148" i="5" a="1"/>
  <c r="Y148" i="5" s="1"/>
  <c r="Z148" i="5" a="1"/>
  <c r="Z148" i="5" s="1"/>
  <c r="V149" i="5" a="1"/>
  <c r="V149" i="5" s="1"/>
  <c r="W149" i="5" a="1"/>
  <c r="W149" i="5" s="1"/>
  <c r="X149" i="5" a="1"/>
  <c r="X149" i="5" s="1"/>
  <c r="Y149" i="5" a="1"/>
  <c r="Y149" i="5" s="1"/>
  <c r="Z149" i="5" a="1"/>
  <c r="Z149" i="5" s="1"/>
  <c r="V150" i="5" a="1"/>
  <c r="V150" i="5" s="1"/>
  <c r="W150" i="5" a="1"/>
  <c r="W150" i="5" s="1"/>
  <c r="X150" i="5" a="1"/>
  <c r="X150" i="5" s="1"/>
  <c r="Y150" i="5" a="1"/>
  <c r="Y150" i="5" s="1"/>
  <c r="Z150" i="5" a="1"/>
  <c r="Z150" i="5" s="1"/>
  <c r="V151" i="5" a="1"/>
  <c r="V151" i="5" s="1"/>
  <c r="W151" i="5" a="1"/>
  <c r="W151" i="5" s="1"/>
  <c r="X151" i="5" a="1"/>
  <c r="X151" i="5" s="1"/>
  <c r="Y151" i="5" a="1"/>
  <c r="Y151" i="5" s="1"/>
  <c r="Z151" i="5" a="1"/>
  <c r="Z151" i="5" s="1"/>
  <c r="V152" i="5" a="1"/>
  <c r="V152" i="5" s="1"/>
  <c r="W152" i="5" a="1"/>
  <c r="W152" i="5" s="1"/>
  <c r="X152" i="5" a="1"/>
  <c r="X152" i="5" s="1"/>
  <c r="Y152" i="5" a="1"/>
  <c r="Y152" i="5" s="1"/>
  <c r="Z152" i="5" a="1"/>
  <c r="Z152" i="5" s="1"/>
  <c r="V153" i="5" a="1"/>
  <c r="V153" i="5" s="1"/>
  <c r="W153" i="5" a="1"/>
  <c r="W153" i="5" s="1"/>
  <c r="X153" i="5" a="1"/>
  <c r="X153" i="5" s="1"/>
  <c r="Y153" i="5" a="1"/>
  <c r="Y153" i="5" s="1"/>
  <c r="Z153" i="5" a="1"/>
  <c r="Z153" i="5" s="1"/>
  <c r="V154" i="5" a="1"/>
  <c r="V154" i="5" s="1"/>
  <c r="W154" i="5" a="1"/>
  <c r="W154" i="5" s="1"/>
  <c r="X154" i="5" a="1"/>
  <c r="X154" i="5" s="1"/>
  <c r="Y154" i="5" a="1"/>
  <c r="Y154" i="5" s="1"/>
  <c r="Z154" i="5" a="1"/>
  <c r="Z154" i="5" s="1"/>
  <c r="V155" i="5" a="1"/>
  <c r="V155" i="5" s="1"/>
  <c r="W155" i="5" a="1"/>
  <c r="W155" i="5" s="1"/>
  <c r="X155" i="5" a="1"/>
  <c r="X155" i="5" s="1"/>
  <c r="Y155" i="5" a="1"/>
  <c r="Y155" i="5" s="1"/>
  <c r="Z155" i="5" a="1"/>
  <c r="Z155" i="5" s="1"/>
  <c r="V156" i="5" a="1"/>
  <c r="V156" i="5" s="1"/>
  <c r="W156" i="5" a="1"/>
  <c r="W156" i="5" s="1"/>
  <c r="X156" i="5" a="1"/>
  <c r="X156" i="5" s="1"/>
  <c r="Y156" i="5" a="1"/>
  <c r="Y156" i="5" s="1"/>
  <c r="Z156" i="5" a="1"/>
  <c r="Z156" i="5" s="1"/>
  <c r="V157" i="5" a="1"/>
  <c r="V157" i="5" s="1"/>
  <c r="W157" i="5" a="1"/>
  <c r="W157" i="5" s="1"/>
  <c r="X157" i="5" a="1"/>
  <c r="X157" i="5" s="1"/>
  <c r="Y157" i="5" a="1"/>
  <c r="Y157" i="5" s="1"/>
  <c r="Z157" i="5" a="1"/>
  <c r="Z157" i="5" s="1"/>
  <c r="V158" i="5" a="1"/>
  <c r="V158" i="5" s="1"/>
  <c r="W158" i="5" a="1"/>
  <c r="W158" i="5" s="1"/>
  <c r="X158" i="5" a="1"/>
  <c r="X158" i="5" s="1"/>
  <c r="Y158" i="5" a="1"/>
  <c r="Y158" i="5" s="1"/>
  <c r="Z158" i="5" a="1"/>
  <c r="Z158" i="5" s="1"/>
  <c r="J8" i="5" a="1"/>
  <c r="J8" i="5" s="1"/>
  <c r="K8" i="5" a="1"/>
  <c r="K8" i="5" s="1"/>
  <c r="L8" i="5" a="1"/>
  <c r="L8" i="5" s="1"/>
  <c r="M8" i="5" a="1"/>
  <c r="M8" i="5"/>
  <c r="N8" i="5" a="1"/>
  <c r="N8" i="5"/>
  <c r="O8" i="5" a="1"/>
  <c r="O8" i="5" s="1"/>
  <c r="P8" i="5" a="1"/>
  <c r="P8" i="5" s="1"/>
  <c r="Q8" i="5" a="1"/>
  <c r="Q8" i="5" s="1"/>
  <c r="R8" i="5" a="1"/>
  <c r="R8" i="5" s="1"/>
  <c r="S8" i="5" a="1"/>
  <c r="S8" i="5" s="1"/>
  <c r="T8" i="5" a="1"/>
  <c r="T8" i="5" s="1"/>
  <c r="U8" i="5" a="1"/>
  <c r="U8" i="5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R9" i="5" a="1"/>
  <c r="R9" i="5" s="1"/>
  <c r="S9" i="5" a="1"/>
  <c r="S9" i="5"/>
  <c r="T9" i="5" a="1"/>
  <c r="T9" i="5"/>
  <c r="U9" i="5" a="1"/>
  <c r="U9" i="5"/>
  <c r="J10" i="5" a="1"/>
  <c r="J10" i="5" s="1"/>
  <c r="K10" i="5" a="1"/>
  <c r="K10" i="5" s="1"/>
  <c r="L10" i="5" a="1"/>
  <c r="L10" i="5" s="1"/>
  <c r="M10" i="5" a="1"/>
  <c r="M10" i="5" s="1"/>
  <c r="N10" i="5" a="1"/>
  <c r="N10" i="5"/>
  <c r="O10" i="5" a="1"/>
  <c r="O10" i="5" s="1"/>
  <c r="P10" i="5" a="1"/>
  <c r="P10" i="5" s="1"/>
  <c r="Q10" i="5" a="1"/>
  <c r="Q10" i="5" s="1"/>
  <c r="R10" i="5" a="1"/>
  <c r="R10" i="5" s="1"/>
  <c r="S10" i="5" a="1"/>
  <c r="S10" i="5" s="1"/>
  <c r="T10" i="5" a="1"/>
  <c r="T10" i="5" s="1"/>
  <c r="U10" i="5" a="1"/>
  <c r="U10" i="5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R11" i="5" a="1"/>
  <c r="R11" i="5" s="1"/>
  <c r="S11" i="5" a="1"/>
  <c r="S11" i="5"/>
  <c r="T11" i="5" a="1"/>
  <c r="T11" i="5"/>
  <c r="U11" i="5" a="1"/>
  <c r="U11" i="5"/>
  <c r="J12" i="5" a="1"/>
  <c r="J12" i="5" s="1"/>
  <c r="K12" i="5" a="1"/>
  <c r="K12" i="5" s="1"/>
  <c r="L12" i="5" a="1"/>
  <c r="L12" i="5" s="1"/>
  <c r="M12" i="5" a="1"/>
  <c r="M12" i="5" s="1"/>
  <c r="N12" i="5" a="1"/>
  <c r="N12" i="5"/>
  <c r="O12" i="5" a="1"/>
  <c r="O12" i="5" s="1"/>
  <c r="P12" i="5" a="1"/>
  <c r="P12" i="5" s="1"/>
  <c r="Q12" i="5" a="1"/>
  <c r="Q12" i="5" s="1"/>
  <c r="R12" i="5" a="1"/>
  <c r="R12" i="5" s="1"/>
  <c r="S12" i="5" a="1"/>
  <c r="S12" i="5"/>
  <c r="T12" i="5" a="1"/>
  <c r="T12" i="5" s="1"/>
  <c r="U12" i="5" a="1"/>
  <c r="U12" i="5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R13" i="5" a="1"/>
  <c r="R13" i="5" s="1"/>
  <c r="S13" i="5" a="1"/>
  <c r="S13" i="5"/>
  <c r="T13" i="5" a="1"/>
  <c r="T13" i="5"/>
  <c r="U13" i="5" a="1"/>
  <c r="U13" i="5"/>
  <c r="J14" i="5" a="1"/>
  <c r="J14" i="5" s="1"/>
  <c r="K14" i="5" a="1"/>
  <c r="K14" i="5" s="1"/>
  <c r="L14" i="5" a="1"/>
  <c r="L14" i="5" s="1"/>
  <c r="M14" i="5" a="1"/>
  <c r="M14" i="5" s="1"/>
  <c r="N14" i="5" a="1"/>
  <c r="N14" i="5"/>
  <c r="O14" i="5" a="1"/>
  <c r="O14" i="5" s="1"/>
  <c r="P14" i="5" a="1"/>
  <c r="P14" i="5" s="1"/>
  <c r="Q14" i="5" a="1"/>
  <c r="Q14" i="5" s="1"/>
  <c r="R14" i="5" a="1"/>
  <c r="R14" i="5" s="1"/>
  <c r="S14" i="5" a="1"/>
  <c r="S14" i="5"/>
  <c r="T14" i="5" a="1"/>
  <c r="T14" i="5" s="1"/>
  <c r="U14" i="5" a="1"/>
  <c r="U14" i="5"/>
  <c r="J15" i="5" a="1"/>
  <c r="J15" i="5" s="1"/>
  <c r="K15" i="5" a="1"/>
  <c r="K15" i="5" s="1"/>
  <c r="L15" i="5" a="1"/>
  <c r="L15" i="5" s="1"/>
  <c r="M15" i="5" a="1"/>
  <c r="M15" i="5" s="1"/>
  <c r="N15" i="5" a="1"/>
  <c r="N15" i="5" s="1"/>
  <c r="O15" i="5" a="1"/>
  <c r="O15" i="5" s="1"/>
  <c r="P15" i="5" a="1"/>
  <c r="P15" i="5" s="1"/>
  <c r="Q15" i="5" a="1"/>
  <c r="Q15" i="5" s="1"/>
  <c r="R15" i="5" a="1"/>
  <c r="R15" i="5" s="1"/>
  <c r="S15" i="5" a="1"/>
  <c r="S15" i="5"/>
  <c r="T15" i="5" a="1"/>
  <c r="T15" i="5"/>
  <c r="U15" i="5" a="1"/>
  <c r="U15" i="5"/>
  <c r="J16" i="5" a="1"/>
  <c r="J16" i="5" s="1"/>
  <c r="K16" i="5" a="1"/>
  <c r="K16" i="5" s="1"/>
  <c r="L16" i="5" a="1"/>
  <c r="L16" i="5" s="1"/>
  <c r="M16" i="5" a="1"/>
  <c r="M16" i="5" s="1"/>
  <c r="N16" i="5" a="1"/>
  <c r="N16" i="5"/>
  <c r="O16" i="5" a="1"/>
  <c r="O16" i="5" s="1"/>
  <c r="P16" i="5" a="1"/>
  <c r="P16" i="5" s="1"/>
  <c r="Q16" i="5" a="1"/>
  <c r="Q16" i="5" s="1"/>
  <c r="R16" i="5" a="1"/>
  <c r="R16" i="5" s="1"/>
  <c r="S16" i="5" a="1"/>
  <c r="S16" i="5"/>
  <c r="T16" i="5" a="1"/>
  <c r="T16" i="5" s="1"/>
  <c r="U16" i="5" a="1"/>
  <c r="U16" i="5"/>
  <c r="J17" i="5" a="1"/>
  <c r="J17" i="5" s="1"/>
  <c r="K17" i="5" a="1"/>
  <c r="K17" i="5" s="1"/>
  <c r="L17" i="5" a="1"/>
  <c r="L17" i="5" s="1"/>
  <c r="M17" i="5" a="1"/>
  <c r="M17" i="5" s="1"/>
  <c r="N17" i="5" a="1"/>
  <c r="N17" i="5" s="1"/>
  <c r="O17" i="5" a="1"/>
  <c r="O17" i="5" s="1"/>
  <c r="P17" i="5" a="1"/>
  <c r="P17" i="5" s="1"/>
  <c r="Q17" i="5" a="1"/>
  <c r="Q17" i="5" s="1"/>
  <c r="R17" i="5" a="1"/>
  <c r="R17" i="5" s="1"/>
  <c r="S17" i="5" a="1"/>
  <c r="S17" i="5"/>
  <c r="T17" i="5" a="1"/>
  <c r="T17" i="5"/>
  <c r="U17" i="5" a="1"/>
  <c r="U17" i="5"/>
  <c r="J18" i="5" a="1"/>
  <c r="J18" i="5" s="1"/>
  <c r="K18" i="5" a="1"/>
  <c r="K18" i="5" s="1"/>
  <c r="L18" i="5" a="1"/>
  <c r="L18" i="5" s="1"/>
  <c r="M18" i="5" a="1"/>
  <c r="M18" i="5" s="1"/>
  <c r="N18" i="5" a="1"/>
  <c r="N18" i="5"/>
  <c r="O18" i="5" a="1"/>
  <c r="O18" i="5" s="1"/>
  <c r="P18" i="5" a="1"/>
  <c r="P18" i="5" s="1"/>
  <c r="Q18" i="5" a="1"/>
  <c r="Q18" i="5" s="1"/>
  <c r="R18" i="5" a="1"/>
  <c r="R18" i="5" s="1"/>
  <c r="S18" i="5" a="1"/>
  <c r="S18" i="5"/>
  <c r="T18" i="5" a="1"/>
  <c r="T18" i="5" s="1"/>
  <c r="U18" i="5" a="1"/>
  <c r="U18" i="5"/>
  <c r="J19" i="5" a="1"/>
  <c r="J19" i="5" s="1"/>
  <c r="K19" i="5" a="1"/>
  <c r="K19" i="5" s="1"/>
  <c r="L19" i="5" a="1"/>
  <c r="L19" i="5" s="1"/>
  <c r="M19" i="5" a="1"/>
  <c r="M19" i="5" s="1"/>
  <c r="N19" i="5" a="1"/>
  <c r="N19" i="5" s="1"/>
  <c r="O19" i="5" a="1"/>
  <c r="O19" i="5" s="1"/>
  <c r="P19" i="5" a="1"/>
  <c r="P19" i="5" s="1"/>
  <c r="Q19" i="5" a="1"/>
  <c r="Q19" i="5" s="1"/>
  <c r="R19" i="5" a="1"/>
  <c r="R19" i="5" s="1"/>
  <c r="S19" i="5" a="1"/>
  <c r="S19" i="5"/>
  <c r="T19" i="5" a="1"/>
  <c r="T19" i="5"/>
  <c r="U19" i="5" a="1"/>
  <c r="U19" i="5"/>
  <c r="J20" i="5" a="1"/>
  <c r="J20" i="5" s="1"/>
  <c r="K20" i="5" a="1"/>
  <c r="K20" i="5" s="1"/>
  <c r="L20" i="5" a="1"/>
  <c r="L20" i="5" s="1"/>
  <c r="M20" i="5" a="1"/>
  <c r="M20" i="5" s="1"/>
  <c r="N20" i="5" a="1"/>
  <c r="N20" i="5"/>
  <c r="O20" i="5" a="1"/>
  <c r="O20" i="5" s="1"/>
  <c r="P20" i="5" a="1"/>
  <c r="P20" i="5" s="1"/>
  <c r="Q20" i="5" a="1"/>
  <c r="Q20" i="5" s="1"/>
  <c r="R20" i="5" a="1"/>
  <c r="R20" i="5" s="1"/>
  <c r="S20" i="5" a="1"/>
  <c r="S20" i="5"/>
  <c r="T20" i="5" a="1"/>
  <c r="T20" i="5" s="1"/>
  <c r="U20" i="5" a="1"/>
  <c r="U20" i="5"/>
  <c r="J21" i="5" a="1"/>
  <c r="J21" i="5" s="1"/>
  <c r="K21" i="5" a="1"/>
  <c r="K21" i="5" s="1"/>
  <c r="L21" i="5" a="1"/>
  <c r="L21" i="5" s="1"/>
  <c r="M21" i="5" a="1"/>
  <c r="M21" i="5" s="1"/>
  <c r="N21" i="5" a="1"/>
  <c r="N21" i="5" s="1"/>
  <c r="O21" i="5" a="1"/>
  <c r="O21" i="5" s="1"/>
  <c r="P21" i="5" a="1"/>
  <c r="P21" i="5" s="1"/>
  <c r="Q21" i="5" a="1"/>
  <c r="Q21" i="5" s="1"/>
  <c r="R21" i="5" a="1"/>
  <c r="R21" i="5" s="1"/>
  <c r="S21" i="5" a="1"/>
  <c r="S21" i="5"/>
  <c r="T21" i="5" a="1"/>
  <c r="T21" i="5"/>
  <c r="U21" i="5" a="1"/>
  <c r="U21" i="5"/>
  <c r="J22" i="5" a="1"/>
  <c r="J22" i="5" s="1"/>
  <c r="K22" i="5" a="1"/>
  <c r="K22" i="5" s="1"/>
  <c r="L22" i="5" a="1"/>
  <c r="L22" i="5" s="1"/>
  <c r="M22" i="5" a="1"/>
  <c r="M22" i="5" s="1"/>
  <c r="N22" i="5" a="1"/>
  <c r="N22" i="5"/>
  <c r="O22" i="5" a="1"/>
  <c r="O22" i="5" s="1"/>
  <c r="P22" i="5" a="1"/>
  <c r="P22" i="5" s="1"/>
  <c r="Q22" i="5" a="1"/>
  <c r="Q22" i="5" s="1"/>
  <c r="R22" i="5" a="1"/>
  <c r="R22" i="5" s="1"/>
  <c r="S22" i="5" a="1"/>
  <c r="S22" i="5"/>
  <c r="T22" i="5" a="1"/>
  <c r="T22" i="5" s="1"/>
  <c r="U22" i="5" a="1"/>
  <c r="U22" i="5"/>
  <c r="J23" i="5" a="1"/>
  <c r="J23" i="5" s="1"/>
  <c r="K23" i="5" a="1"/>
  <c r="K23" i="5" s="1"/>
  <c r="L23" i="5" a="1"/>
  <c r="L23" i="5" s="1"/>
  <c r="M23" i="5" a="1"/>
  <c r="M23" i="5" s="1"/>
  <c r="N23" i="5" a="1"/>
  <c r="N23" i="5" s="1"/>
  <c r="O23" i="5" a="1"/>
  <c r="O23" i="5" s="1"/>
  <c r="P23" i="5" a="1"/>
  <c r="P23" i="5" s="1"/>
  <c r="Q23" i="5" a="1"/>
  <c r="Q23" i="5" s="1"/>
  <c r="R23" i="5" a="1"/>
  <c r="R23" i="5" s="1"/>
  <c r="S23" i="5" a="1"/>
  <c r="S23" i="5"/>
  <c r="T23" i="5" a="1"/>
  <c r="T23" i="5"/>
  <c r="U23" i="5" a="1"/>
  <c r="U23" i="5"/>
  <c r="J24" i="5" a="1"/>
  <c r="J24" i="5" s="1"/>
  <c r="K24" i="5" a="1"/>
  <c r="K24" i="5" s="1"/>
  <c r="L24" i="5" a="1"/>
  <c r="L24" i="5" s="1"/>
  <c r="M24" i="5" a="1"/>
  <c r="M24" i="5" s="1"/>
  <c r="N24" i="5" a="1"/>
  <c r="N24" i="5"/>
  <c r="O24" i="5" a="1"/>
  <c r="O24" i="5" s="1"/>
  <c r="P24" i="5" a="1"/>
  <c r="P24" i="5" s="1"/>
  <c r="Q24" i="5" a="1"/>
  <c r="Q24" i="5" s="1"/>
  <c r="R24" i="5" a="1"/>
  <c r="R24" i="5" s="1"/>
  <c r="S24" i="5" a="1"/>
  <c r="S24" i="5"/>
  <c r="T24" i="5" a="1"/>
  <c r="T24" i="5" s="1"/>
  <c r="U24" i="5" a="1"/>
  <c r="U24" i="5"/>
  <c r="J25" i="5" a="1"/>
  <c r="J25" i="5" s="1"/>
  <c r="K25" i="5" a="1"/>
  <c r="K25" i="5" s="1"/>
  <c r="L25" i="5" a="1"/>
  <c r="L25" i="5" s="1"/>
  <c r="M25" i="5" a="1"/>
  <c r="M25" i="5" s="1"/>
  <c r="N25" i="5" a="1"/>
  <c r="N25" i="5" s="1"/>
  <c r="O25" i="5" a="1"/>
  <c r="O25" i="5" s="1"/>
  <c r="P25" i="5" a="1"/>
  <c r="P25" i="5" s="1"/>
  <c r="Q25" i="5" a="1"/>
  <c r="Q25" i="5" s="1"/>
  <c r="R25" i="5" a="1"/>
  <c r="R25" i="5" s="1"/>
  <c r="S25" i="5" a="1"/>
  <c r="S25" i="5"/>
  <c r="T25" i="5" a="1"/>
  <c r="T25" i="5"/>
  <c r="U25" i="5" a="1"/>
  <c r="U25" i="5"/>
  <c r="J26" i="5" a="1"/>
  <c r="J26" i="5" s="1"/>
  <c r="K26" i="5" a="1"/>
  <c r="K26" i="5" s="1"/>
  <c r="L26" i="5" a="1"/>
  <c r="L26" i="5" s="1"/>
  <c r="M26" i="5" a="1"/>
  <c r="M26" i="5" s="1"/>
  <c r="N26" i="5" a="1"/>
  <c r="N26" i="5"/>
  <c r="O26" i="5" a="1"/>
  <c r="O26" i="5" s="1"/>
  <c r="P26" i="5" a="1"/>
  <c r="P26" i="5" s="1"/>
  <c r="Q26" i="5" a="1"/>
  <c r="Q26" i="5" s="1"/>
  <c r="R26" i="5" a="1"/>
  <c r="R26" i="5" s="1"/>
  <c r="S26" i="5" a="1"/>
  <c r="S26" i="5"/>
  <c r="T26" i="5" a="1"/>
  <c r="T26" i="5" s="1"/>
  <c r="U26" i="5" a="1"/>
  <c r="U26" i="5"/>
  <c r="J27" i="5" a="1"/>
  <c r="J27" i="5" s="1"/>
  <c r="K27" i="5" a="1"/>
  <c r="K27" i="5" s="1"/>
  <c r="L27" i="5" a="1"/>
  <c r="L27" i="5" s="1"/>
  <c r="M27" i="5" a="1"/>
  <c r="M27" i="5" s="1"/>
  <c r="N27" i="5" a="1"/>
  <c r="N27" i="5" s="1"/>
  <c r="O27" i="5" a="1"/>
  <c r="O27" i="5" s="1"/>
  <c r="P27" i="5" a="1"/>
  <c r="P27" i="5" s="1"/>
  <c r="Q27" i="5" a="1"/>
  <c r="Q27" i="5" s="1"/>
  <c r="R27" i="5" a="1"/>
  <c r="R27" i="5" s="1"/>
  <c r="S27" i="5" a="1"/>
  <c r="S27" i="5"/>
  <c r="T27" i="5" a="1"/>
  <c r="T27" i="5"/>
  <c r="U27" i="5" a="1"/>
  <c r="U27" i="5" s="1"/>
  <c r="J28" i="5" a="1"/>
  <c r="J28" i="5" s="1"/>
  <c r="K28" i="5" a="1"/>
  <c r="K28" i="5" s="1"/>
  <c r="L28" i="5" a="1"/>
  <c r="L28" i="5" s="1"/>
  <c r="M28" i="5" a="1"/>
  <c r="M28" i="5" s="1"/>
  <c r="N28" i="5" a="1"/>
  <c r="N28" i="5"/>
  <c r="O28" i="5" a="1"/>
  <c r="O28" i="5" s="1"/>
  <c r="P28" i="5" a="1"/>
  <c r="P28" i="5" s="1"/>
  <c r="Q28" i="5" a="1"/>
  <c r="Q28" i="5" s="1"/>
  <c r="R28" i="5" a="1"/>
  <c r="R28" i="5" s="1"/>
  <c r="S28" i="5" a="1"/>
  <c r="S28" i="5"/>
  <c r="T28" i="5" a="1"/>
  <c r="T28" i="5" s="1"/>
  <c r="U28" i="5" a="1"/>
  <c r="U28" i="5"/>
  <c r="J29" i="5" a="1"/>
  <c r="J29" i="5" s="1"/>
  <c r="K29" i="5" a="1"/>
  <c r="K29" i="5" s="1"/>
  <c r="L29" i="5" a="1"/>
  <c r="L29" i="5" s="1"/>
  <c r="M29" i="5" a="1"/>
  <c r="M29" i="5" s="1"/>
  <c r="N29" i="5" a="1"/>
  <c r="N29" i="5" s="1"/>
  <c r="O29" i="5" a="1"/>
  <c r="O29" i="5" s="1"/>
  <c r="P29" i="5" a="1"/>
  <c r="P29" i="5" s="1"/>
  <c r="Q29" i="5" a="1"/>
  <c r="Q29" i="5" s="1"/>
  <c r="R29" i="5" a="1"/>
  <c r="R29" i="5" s="1"/>
  <c r="S29" i="5" a="1"/>
  <c r="S29" i="5"/>
  <c r="T29" i="5" a="1"/>
  <c r="T29" i="5"/>
  <c r="U29" i="5" a="1"/>
  <c r="U29" i="5" s="1"/>
  <c r="J30" i="5" a="1"/>
  <c r="J30" i="5" s="1"/>
  <c r="K30" i="5" a="1"/>
  <c r="K30" i="5" s="1"/>
  <c r="L30" i="5" a="1"/>
  <c r="L30" i="5" s="1"/>
  <c r="M30" i="5" a="1"/>
  <c r="M30" i="5" s="1"/>
  <c r="N30" i="5" a="1"/>
  <c r="N30" i="5"/>
  <c r="O30" i="5" a="1"/>
  <c r="O30" i="5" s="1"/>
  <c r="P30" i="5" a="1"/>
  <c r="P30" i="5" s="1"/>
  <c r="Q30" i="5" a="1"/>
  <c r="Q30" i="5" s="1"/>
  <c r="R30" i="5" a="1"/>
  <c r="R30" i="5" s="1"/>
  <c r="S30" i="5" a="1"/>
  <c r="S30" i="5"/>
  <c r="T30" i="5" a="1"/>
  <c r="T30" i="5" s="1"/>
  <c r="U30" i="5" a="1"/>
  <c r="U30" i="5"/>
  <c r="J31" i="5" a="1"/>
  <c r="J31" i="5" s="1"/>
  <c r="K31" i="5" a="1"/>
  <c r="K31" i="5" s="1"/>
  <c r="L31" i="5" a="1"/>
  <c r="L31" i="5" s="1"/>
  <c r="M31" i="5" a="1"/>
  <c r="M31" i="5" s="1"/>
  <c r="N31" i="5" a="1"/>
  <c r="N31" i="5" s="1"/>
  <c r="O31" i="5" a="1"/>
  <c r="O31" i="5" s="1"/>
  <c r="P31" i="5" a="1"/>
  <c r="P31" i="5" s="1"/>
  <c r="Q31" i="5" a="1"/>
  <c r="Q31" i="5" s="1"/>
  <c r="R31" i="5" a="1"/>
  <c r="R31" i="5" s="1"/>
  <c r="S31" i="5" a="1"/>
  <c r="S31" i="5"/>
  <c r="T31" i="5" a="1"/>
  <c r="T31" i="5"/>
  <c r="U31" i="5" a="1"/>
  <c r="U31" i="5"/>
  <c r="J32" i="5" a="1"/>
  <c r="J32" i="5" s="1"/>
  <c r="K32" i="5" a="1"/>
  <c r="K32" i="5" s="1"/>
  <c r="L32" i="5" a="1"/>
  <c r="L32" i="5" s="1"/>
  <c r="M32" i="5" a="1"/>
  <c r="M32" i="5" s="1"/>
  <c r="N32" i="5" a="1"/>
  <c r="N32" i="5"/>
  <c r="O32" i="5" a="1"/>
  <c r="O32" i="5" s="1"/>
  <c r="P32" i="5" a="1"/>
  <c r="P32" i="5" s="1"/>
  <c r="Q32" i="5" a="1"/>
  <c r="Q32" i="5" s="1"/>
  <c r="R32" i="5" a="1"/>
  <c r="R32" i="5" s="1"/>
  <c r="S32" i="5" a="1"/>
  <c r="S32" i="5"/>
  <c r="T32" i="5" a="1"/>
  <c r="T32" i="5" s="1"/>
  <c r="U32" i="5" a="1"/>
  <c r="U32" i="5"/>
  <c r="J33" i="5" a="1"/>
  <c r="J33" i="5" s="1"/>
  <c r="K33" i="5" a="1"/>
  <c r="K33" i="5" s="1"/>
  <c r="L33" i="5" a="1"/>
  <c r="L33" i="5" s="1"/>
  <c r="M33" i="5" a="1"/>
  <c r="M33" i="5" s="1"/>
  <c r="N33" i="5" a="1"/>
  <c r="N33" i="5" s="1"/>
  <c r="O33" i="5" a="1"/>
  <c r="O33" i="5" s="1"/>
  <c r="P33" i="5" a="1"/>
  <c r="P33" i="5" s="1"/>
  <c r="Q33" i="5" a="1"/>
  <c r="Q33" i="5" s="1"/>
  <c r="R33" i="5" a="1"/>
  <c r="R33" i="5" s="1"/>
  <c r="S33" i="5" a="1"/>
  <c r="S33" i="5"/>
  <c r="T33" i="5" a="1"/>
  <c r="T33" i="5" s="1"/>
  <c r="U33" i="5" a="1"/>
  <c r="U33" i="5" s="1"/>
  <c r="J34" i="5" a="1"/>
  <c r="J34" i="5" s="1"/>
  <c r="K34" i="5" a="1"/>
  <c r="K34" i="5" s="1"/>
  <c r="L34" i="5" a="1"/>
  <c r="L34" i="5" s="1"/>
  <c r="M34" i="5" a="1"/>
  <c r="M34" i="5" s="1"/>
  <c r="N34" i="5" a="1"/>
  <c r="N34" i="5"/>
  <c r="O34" i="5" a="1"/>
  <c r="O34" i="5" s="1"/>
  <c r="P34" i="5" a="1"/>
  <c r="P34" i="5" s="1"/>
  <c r="Q34" i="5" a="1"/>
  <c r="Q34" i="5" s="1"/>
  <c r="R34" i="5" a="1"/>
  <c r="R34" i="5" s="1"/>
  <c r="S34" i="5" a="1"/>
  <c r="S34" i="5"/>
  <c r="T34" i="5" a="1"/>
  <c r="T34" i="5" s="1"/>
  <c r="U34" i="5" a="1"/>
  <c r="U34" i="5"/>
  <c r="J35" i="5" a="1"/>
  <c r="J35" i="5" s="1"/>
  <c r="K35" i="5" a="1"/>
  <c r="K35" i="5" s="1"/>
  <c r="L35" i="5" a="1"/>
  <c r="L35" i="5" s="1"/>
  <c r="M35" i="5" a="1"/>
  <c r="M35" i="5"/>
  <c r="N35" i="5" a="1"/>
  <c r="N35" i="5" s="1"/>
  <c r="O35" i="5" a="1"/>
  <c r="O35" i="5" s="1"/>
  <c r="P35" i="5" a="1"/>
  <c r="P35" i="5" s="1"/>
  <c r="Q35" i="5" a="1"/>
  <c r="Q35" i="5" s="1"/>
  <c r="R35" i="5" a="1"/>
  <c r="R35" i="5" s="1"/>
  <c r="S35" i="5" a="1"/>
  <c r="S35" i="5"/>
  <c r="T35" i="5" a="1"/>
  <c r="T35" i="5"/>
  <c r="U35" i="5" a="1"/>
  <c r="U35" i="5" s="1"/>
  <c r="J36" i="5" a="1"/>
  <c r="J36" i="5" s="1"/>
  <c r="K36" i="5" a="1"/>
  <c r="K36" i="5" s="1"/>
  <c r="L36" i="5" a="1"/>
  <c r="L36" i="5" s="1"/>
  <c r="M36" i="5" a="1"/>
  <c r="M36" i="5" s="1"/>
  <c r="N36" i="5" a="1"/>
  <c r="N36" i="5"/>
  <c r="O36" i="5" a="1"/>
  <c r="O36" i="5"/>
  <c r="P36" i="5" a="1"/>
  <c r="P36" i="5" s="1"/>
  <c r="Q36" i="5" a="1"/>
  <c r="Q36" i="5" s="1"/>
  <c r="R36" i="5" a="1"/>
  <c r="R36" i="5" s="1"/>
  <c r="S36" i="5" a="1"/>
  <c r="S36" i="5"/>
  <c r="T36" i="5" a="1"/>
  <c r="T36" i="5" s="1"/>
  <c r="U36" i="5" a="1"/>
  <c r="U36" i="5"/>
  <c r="J37" i="5" a="1"/>
  <c r="J37" i="5" s="1"/>
  <c r="K37" i="5" a="1"/>
  <c r="K37" i="5" s="1"/>
  <c r="L37" i="5" a="1"/>
  <c r="L37" i="5" s="1"/>
  <c r="M37" i="5" a="1"/>
  <c r="M37" i="5"/>
  <c r="N37" i="5" a="1"/>
  <c r="N37" i="5" s="1"/>
  <c r="O37" i="5" a="1"/>
  <c r="O37" i="5" s="1"/>
  <c r="P37" i="5" a="1"/>
  <c r="P37" i="5" s="1"/>
  <c r="Q37" i="5" a="1"/>
  <c r="Q37" i="5" s="1"/>
  <c r="R37" i="5" a="1"/>
  <c r="R37" i="5" s="1"/>
  <c r="S37" i="5" a="1"/>
  <c r="S37" i="5"/>
  <c r="T37" i="5" a="1"/>
  <c r="T37" i="5"/>
  <c r="U37" i="5" a="1"/>
  <c r="U37" i="5"/>
  <c r="J38" i="5" a="1"/>
  <c r="J38" i="5" s="1"/>
  <c r="K38" i="5" a="1"/>
  <c r="K38" i="5" s="1"/>
  <c r="L38" i="5" a="1"/>
  <c r="L38" i="5" s="1"/>
  <c r="M38" i="5" a="1"/>
  <c r="M38" i="5" s="1"/>
  <c r="N38" i="5" a="1"/>
  <c r="N38" i="5"/>
  <c r="O38" i="5" a="1"/>
  <c r="O38" i="5" s="1"/>
  <c r="P38" i="5" a="1"/>
  <c r="P38" i="5" s="1"/>
  <c r="Q38" i="5" a="1"/>
  <c r="Q38" i="5" s="1"/>
  <c r="R38" i="5" a="1"/>
  <c r="R38" i="5" s="1"/>
  <c r="S38" i="5" a="1"/>
  <c r="S38" i="5"/>
  <c r="T38" i="5" a="1"/>
  <c r="T38" i="5" s="1"/>
  <c r="U38" i="5" a="1"/>
  <c r="U38" i="5"/>
  <c r="J39" i="5" a="1"/>
  <c r="J39" i="5" s="1"/>
  <c r="K39" i="5" a="1"/>
  <c r="K39" i="5" s="1"/>
  <c r="L39" i="5" a="1"/>
  <c r="L39" i="5" s="1"/>
  <c r="M39" i="5" a="1"/>
  <c r="M39" i="5" s="1"/>
  <c r="N39" i="5" a="1"/>
  <c r="N39" i="5" s="1"/>
  <c r="O39" i="5" a="1"/>
  <c r="O39" i="5" s="1"/>
  <c r="P39" i="5" a="1"/>
  <c r="P39" i="5" s="1"/>
  <c r="Q39" i="5" a="1"/>
  <c r="Q39" i="5" s="1"/>
  <c r="R39" i="5" a="1"/>
  <c r="R39" i="5" s="1"/>
  <c r="S39" i="5" a="1"/>
  <c r="S39" i="5"/>
  <c r="T39" i="5" a="1"/>
  <c r="T39" i="5"/>
  <c r="U39" i="5" a="1"/>
  <c r="U39" i="5" s="1"/>
  <c r="J40" i="5" a="1"/>
  <c r="J40" i="5" s="1"/>
  <c r="K40" i="5" a="1"/>
  <c r="K40" i="5" s="1"/>
  <c r="L40" i="5" a="1"/>
  <c r="L40" i="5" s="1"/>
  <c r="M40" i="5" a="1"/>
  <c r="M40" i="5" s="1"/>
  <c r="N40" i="5" a="1"/>
  <c r="N40" i="5"/>
  <c r="O40" i="5" a="1"/>
  <c r="O40" i="5" s="1"/>
  <c r="P40" i="5" a="1"/>
  <c r="P40" i="5" s="1"/>
  <c r="Q40" i="5" a="1"/>
  <c r="Q40" i="5" s="1"/>
  <c r="R40" i="5" a="1"/>
  <c r="R40" i="5" s="1"/>
  <c r="S40" i="5" a="1"/>
  <c r="S40" i="5"/>
  <c r="T40" i="5" a="1"/>
  <c r="T40" i="5" s="1"/>
  <c r="U40" i="5" a="1"/>
  <c r="U40" i="5"/>
  <c r="J41" i="5" a="1"/>
  <c r="J41" i="5" s="1"/>
  <c r="K41" i="5" a="1"/>
  <c r="K41" i="5" s="1"/>
  <c r="L41" i="5" a="1"/>
  <c r="L41" i="5" s="1"/>
  <c r="M41" i="5" a="1"/>
  <c r="M41" i="5"/>
  <c r="N41" i="5" a="1"/>
  <c r="N41" i="5" s="1"/>
  <c r="O41" i="5" a="1"/>
  <c r="O41" i="5" s="1"/>
  <c r="P41" i="5" a="1"/>
  <c r="P41" i="5" s="1"/>
  <c r="Q41" i="5" a="1"/>
  <c r="Q41" i="5" s="1"/>
  <c r="R41" i="5" a="1"/>
  <c r="R41" i="5" s="1"/>
  <c r="S41" i="5" a="1"/>
  <c r="S41" i="5"/>
  <c r="T41" i="5" a="1"/>
  <c r="T41" i="5"/>
  <c r="U41" i="5" a="1"/>
  <c r="U41" i="5" s="1"/>
  <c r="J42" i="5" a="1"/>
  <c r="J42" i="5" s="1"/>
  <c r="K42" i="5" a="1"/>
  <c r="K42" i="5" s="1"/>
  <c r="L42" i="5" a="1"/>
  <c r="L42" i="5" s="1"/>
  <c r="M42" i="5" a="1"/>
  <c r="M42" i="5" s="1"/>
  <c r="N42" i="5" a="1"/>
  <c r="N42" i="5"/>
  <c r="O42" i="5" a="1"/>
  <c r="O42" i="5"/>
  <c r="P42" i="5" a="1"/>
  <c r="P42" i="5" s="1"/>
  <c r="Q42" i="5" a="1"/>
  <c r="Q42" i="5" s="1"/>
  <c r="R42" i="5" a="1"/>
  <c r="R42" i="5" s="1"/>
  <c r="S42" i="5" a="1"/>
  <c r="S42" i="5"/>
  <c r="T42" i="5" a="1"/>
  <c r="T42" i="5" s="1"/>
  <c r="U42" i="5" a="1"/>
  <c r="U42" i="5"/>
  <c r="J43" i="5" a="1"/>
  <c r="J43" i="5" s="1"/>
  <c r="K43" i="5" a="1"/>
  <c r="K43" i="5" s="1"/>
  <c r="L43" i="5" a="1"/>
  <c r="L43" i="5" s="1"/>
  <c r="M43" i="5" a="1"/>
  <c r="M43" i="5"/>
  <c r="N43" i="5" a="1"/>
  <c r="N43" i="5" s="1"/>
  <c r="O43" i="5" a="1"/>
  <c r="O43" i="5" s="1"/>
  <c r="P43" i="5" a="1"/>
  <c r="P43" i="5" s="1"/>
  <c r="Q43" i="5" a="1"/>
  <c r="Q43" i="5" s="1"/>
  <c r="R43" i="5" a="1"/>
  <c r="R43" i="5" s="1"/>
  <c r="S43" i="5" a="1"/>
  <c r="S43" i="5" s="1"/>
  <c r="T43" i="5" a="1"/>
  <c r="T43" i="5"/>
  <c r="U43" i="5" a="1"/>
  <c r="U43" i="5"/>
  <c r="J44" i="5" a="1"/>
  <c r="J44" i="5" s="1"/>
  <c r="K44" i="5" a="1"/>
  <c r="K44" i="5" s="1"/>
  <c r="L44" i="5" a="1"/>
  <c r="L44" i="5" s="1"/>
  <c r="M44" i="5" a="1"/>
  <c r="M44" i="5" s="1"/>
  <c r="N44" i="5" a="1"/>
  <c r="N44" i="5"/>
  <c r="O44" i="5" a="1"/>
  <c r="O44" i="5" s="1"/>
  <c r="P44" i="5" a="1"/>
  <c r="P44" i="5" s="1"/>
  <c r="Q44" i="5" a="1"/>
  <c r="Q44" i="5" s="1"/>
  <c r="R44" i="5" a="1"/>
  <c r="R44" i="5" s="1"/>
  <c r="S44" i="5" a="1"/>
  <c r="S44" i="5"/>
  <c r="T44" i="5" a="1"/>
  <c r="T44" i="5" s="1"/>
  <c r="U44" i="5" a="1"/>
  <c r="U44" i="5"/>
  <c r="J45" i="5" a="1"/>
  <c r="J45" i="5" s="1"/>
  <c r="K45" i="5" a="1"/>
  <c r="K45" i="5" s="1"/>
  <c r="L45" i="5" a="1"/>
  <c r="L45" i="5" s="1"/>
  <c r="M45" i="5" a="1"/>
  <c r="M45" i="5"/>
  <c r="N45" i="5" a="1"/>
  <c r="N45" i="5" s="1"/>
  <c r="O45" i="5" a="1"/>
  <c r="O45" i="5" s="1"/>
  <c r="P45" i="5" a="1"/>
  <c r="P45" i="5" s="1"/>
  <c r="Q45" i="5" a="1"/>
  <c r="Q45" i="5" s="1"/>
  <c r="R45" i="5" a="1"/>
  <c r="R45" i="5" s="1"/>
  <c r="S45" i="5" a="1"/>
  <c r="S45" i="5" s="1"/>
  <c r="T45" i="5" a="1"/>
  <c r="T45" i="5"/>
  <c r="U45" i="5" a="1"/>
  <c r="U45" i="5" s="1"/>
  <c r="J46" i="5" a="1"/>
  <c r="J46" i="5" s="1"/>
  <c r="K46" i="5" a="1"/>
  <c r="K46" i="5" s="1"/>
  <c r="L46" i="5" a="1"/>
  <c r="L46" i="5" s="1"/>
  <c r="M46" i="5" a="1"/>
  <c r="M46" i="5" s="1"/>
  <c r="N46" i="5" a="1"/>
  <c r="N46" i="5"/>
  <c r="O46" i="5" a="1"/>
  <c r="O46" i="5" s="1"/>
  <c r="P46" i="5" a="1"/>
  <c r="P46" i="5" s="1"/>
  <c r="Q46" i="5" a="1"/>
  <c r="Q46" i="5" s="1"/>
  <c r="R46" i="5" a="1"/>
  <c r="R46" i="5" s="1"/>
  <c r="S46" i="5" a="1"/>
  <c r="S46" i="5"/>
  <c r="T46" i="5" a="1"/>
  <c r="T46" i="5" s="1"/>
  <c r="U46" i="5" a="1"/>
  <c r="U46" i="5"/>
  <c r="J47" i="5" a="1"/>
  <c r="J47" i="5" s="1"/>
  <c r="K47" i="5" a="1"/>
  <c r="K47" i="5" s="1"/>
  <c r="L47" i="5" a="1"/>
  <c r="L47" i="5" s="1"/>
  <c r="M47" i="5" a="1"/>
  <c r="M47" i="5"/>
  <c r="N47" i="5" a="1"/>
  <c r="N47" i="5" s="1"/>
  <c r="O47" i="5" a="1"/>
  <c r="O47" i="5" s="1"/>
  <c r="P47" i="5" a="1"/>
  <c r="P47" i="5" s="1"/>
  <c r="Q47" i="5" a="1"/>
  <c r="Q47" i="5" s="1"/>
  <c r="R47" i="5" a="1"/>
  <c r="R47" i="5" s="1"/>
  <c r="S47" i="5" a="1"/>
  <c r="S47" i="5"/>
  <c r="T47" i="5" a="1"/>
  <c r="T47" i="5"/>
  <c r="U47" i="5" a="1"/>
  <c r="U47" i="5" s="1"/>
  <c r="J48" i="5" a="1"/>
  <c r="J48" i="5" s="1"/>
  <c r="K48" i="5" a="1"/>
  <c r="K48" i="5" s="1"/>
  <c r="L48" i="5" a="1"/>
  <c r="L48" i="5" s="1"/>
  <c r="M48" i="5" a="1"/>
  <c r="M48" i="5" s="1"/>
  <c r="N48" i="5" a="1"/>
  <c r="N48" i="5"/>
  <c r="O48" i="5" a="1"/>
  <c r="O48" i="5"/>
  <c r="P48" i="5" a="1"/>
  <c r="P48" i="5" s="1"/>
  <c r="Q48" i="5" a="1"/>
  <c r="Q48" i="5" s="1"/>
  <c r="R48" i="5" a="1"/>
  <c r="R48" i="5" s="1"/>
  <c r="S48" i="5" a="1"/>
  <c r="S48" i="5"/>
  <c r="T48" i="5" a="1"/>
  <c r="T48" i="5" s="1"/>
  <c r="U48" i="5" a="1"/>
  <c r="U48" i="5"/>
  <c r="J49" i="5" a="1"/>
  <c r="J49" i="5" s="1"/>
  <c r="K49" i="5" a="1"/>
  <c r="K49" i="5" s="1"/>
  <c r="L49" i="5" a="1"/>
  <c r="L49" i="5" s="1"/>
  <c r="M49" i="5" a="1"/>
  <c r="M49" i="5"/>
  <c r="N49" i="5" a="1"/>
  <c r="N49" i="5" s="1"/>
  <c r="O49" i="5" a="1"/>
  <c r="O49" i="5" s="1"/>
  <c r="P49" i="5" a="1"/>
  <c r="P49" i="5" s="1"/>
  <c r="Q49" i="5" a="1"/>
  <c r="Q49" i="5" s="1"/>
  <c r="R49" i="5" a="1"/>
  <c r="R49" i="5" s="1"/>
  <c r="S49" i="5" a="1"/>
  <c r="S49" i="5" s="1"/>
  <c r="T49" i="5" a="1"/>
  <c r="T49" i="5"/>
  <c r="U49" i="5" a="1"/>
  <c r="U49" i="5" s="1"/>
  <c r="J50" i="5" a="1"/>
  <c r="J50" i="5" s="1"/>
  <c r="K50" i="5" a="1"/>
  <c r="K50" i="5" s="1"/>
  <c r="L50" i="5" a="1"/>
  <c r="L50" i="5" s="1"/>
  <c r="M50" i="5" a="1"/>
  <c r="M50" i="5"/>
  <c r="N50" i="5" a="1"/>
  <c r="N50" i="5"/>
  <c r="O50" i="5" a="1"/>
  <c r="O50" i="5"/>
  <c r="P50" i="5" a="1"/>
  <c r="P50" i="5"/>
  <c r="Q50" i="5" a="1"/>
  <c r="Q50" i="5" s="1"/>
  <c r="R50" i="5" a="1"/>
  <c r="R50" i="5"/>
  <c r="S50" i="5" a="1"/>
  <c r="S50" i="5" s="1"/>
  <c r="T50" i="5" a="1"/>
  <c r="T50" i="5"/>
  <c r="U50" i="5" a="1"/>
  <c r="U50" i="5" s="1"/>
  <c r="J51" i="5" a="1"/>
  <c r="J51" i="5"/>
  <c r="K51" i="5" a="1"/>
  <c r="K51" i="5" s="1"/>
  <c r="L51" i="5" a="1"/>
  <c r="L51" i="5"/>
  <c r="M51" i="5" a="1"/>
  <c r="M51" i="5" s="1"/>
  <c r="N51" i="5" a="1"/>
  <c r="N51" i="5"/>
  <c r="O51" i="5" a="1"/>
  <c r="O51" i="5"/>
  <c r="P51" i="5" a="1"/>
  <c r="P51" i="5"/>
  <c r="Q51" i="5" a="1"/>
  <c r="Q51" i="5" s="1"/>
  <c r="R51" i="5" a="1"/>
  <c r="R51" i="5" s="1"/>
  <c r="S51" i="5" a="1"/>
  <c r="S51" i="5"/>
  <c r="T51" i="5" a="1"/>
  <c r="T51" i="5" s="1"/>
  <c r="U51" i="5" a="1"/>
  <c r="U51" i="5"/>
  <c r="J52" i="5" a="1"/>
  <c r="J52" i="5" s="1"/>
  <c r="K52" i="5" a="1"/>
  <c r="K52" i="5" s="1"/>
  <c r="L52" i="5" a="1"/>
  <c r="L52" i="5"/>
  <c r="M52" i="5" a="1"/>
  <c r="M52" i="5"/>
  <c r="N52" i="5" a="1"/>
  <c r="N52" i="5" s="1"/>
  <c r="O52" i="5" a="1"/>
  <c r="O52" i="5"/>
  <c r="P52" i="5" a="1"/>
  <c r="P52" i="5"/>
  <c r="Q52" i="5" a="1"/>
  <c r="Q52" i="5" s="1"/>
  <c r="R52" i="5" a="1"/>
  <c r="R52" i="5"/>
  <c r="S52" i="5" a="1"/>
  <c r="S52" i="5" s="1"/>
  <c r="T52" i="5" a="1"/>
  <c r="T52" i="5"/>
  <c r="U52" i="5" a="1"/>
  <c r="U52" i="5" s="1"/>
  <c r="J53" i="5" a="1"/>
  <c r="J53" i="5"/>
  <c r="K53" i="5" a="1"/>
  <c r="K53" i="5" s="1"/>
  <c r="L53" i="5" a="1"/>
  <c r="L53" i="5" s="1"/>
  <c r="M53" i="5" a="1"/>
  <c r="M53" i="5"/>
  <c r="N53" i="5" a="1"/>
  <c r="N53" i="5"/>
  <c r="O53" i="5" a="1"/>
  <c r="O53" i="5" s="1"/>
  <c r="P53" i="5" a="1"/>
  <c r="P53" i="5"/>
  <c r="Q53" i="5" a="1"/>
  <c r="Q53" i="5" s="1"/>
  <c r="R53" i="5" a="1"/>
  <c r="R53" i="5" s="1"/>
  <c r="S53" i="5" a="1"/>
  <c r="S53" i="5"/>
  <c r="T53" i="5" a="1"/>
  <c r="T53" i="5" s="1"/>
  <c r="U53" i="5" a="1"/>
  <c r="U53" i="5"/>
  <c r="J54" i="5" a="1"/>
  <c r="J54" i="5" s="1"/>
  <c r="K54" i="5" a="1"/>
  <c r="K54" i="5" s="1"/>
  <c r="L54" i="5" a="1"/>
  <c r="L54" i="5"/>
  <c r="M54" i="5" a="1"/>
  <c r="M54" i="5" s="1"/>
  <c r="N54" i="5" a="1"/>
  <c r="N54" i="5"/>
  <c r="O54" i="5" a="1"/>
  <c r="O54" i="5"/>
  <c r="P54" i="5" a="1"/>
  <c r="P54" i="5" s="1"/>
  <c r="Q54" i="5" a="1"/>
  <c r="Q54" i="5" s="1"/>
  <c r="R54" i="5" a="1"/>
  <c r="R54" i="5"/>
  <c r="S54" i="5" a="1"/>
  <c r="S54" i="5" s="1"/>
  <c r="T54" i="5" a="1"/>
  <c r="T54" i="5"/>
  <c r="U54" i="5" a="1"/>
  <c r="U54" i="5" s="1"/>
  <c r="J55" i="5" a="1"/>
  <c r="J55" i="5"/>
  <c r="K55" i="5" a="1"/>
  <c r="K55" i="5" s="1"/>
  <c r="L55" i="5" a="1"/>
  <c r="L55" i="5"/>
  <c r="M55" i="5" a="1"/>
  <c r="M55" i="5"/>
  <c r="N55" i="5" a="1"/>
  <c r="N55" i="5" s="1"/>
  <c r="O55" i="5" a="1"/>
  <c r="O55" i="5"/>
  <c r="P55" i="5" a="1"/>
  <c r="P55" i="5"/>
  <c r="Q55" i="5" a="1"/>
  <c r="Q55" i="5" s="1"/>
  <c r="R55" i="5" a="1"/>
  <c r="R55" i="5" s="1"/>
  <c r="S55" i="5" a="1"/>
  <c r="S55" i="5"/>
  <c r="T55" i="5" a="1"/>
  <c r="T55" i="5" s="1"/>
  <c r="U55" i="5" a="1"/>
  <c r="U55" i="5"/>
  <c r="J56" i="5" a="1"/>
  <c r="J56" i="5" s="1"/>
  <c r="K56" i="5" a="1"/>
  <c r="K56" i="5" s="1"/>
  <c r="L56" i="5" a="1"/>
  <c r="L56" i="5" s="1"/>
  <c r="M56" i="5" a="1"/>
  <c r="M56" i="5"/>
  <c r="N56" i="5" a="1"/>
  <c r="N56" i="5"/>
  <c r="O56" i="5" a="1"/>
  <c r="O56" i="5" s="1"/>
  <c r="P56" i="5" a="1"/>
  <c r="P56" i="5"/>
  <c r="Q56" i="5" a="1"/>
  <c r="Q56" i="5" s="1"/>
  <c r="R56" i="5" a="1"/>
  <c r="R56" i="5"/>
  <c r="S56" i="5" a="1"/>
  <c r="S56" i="5" s="1"/>
  <c r="T56" i="5" a="1"/>
  <c r="T56" i="5"/>
  <c r="U56" i="5" a="1"/>
  <c r="U56" i="5" s="1"/>
  <c r="J57" i="5" a="1"/>
  <c r="J57" i="5"/>
  <c r="K57" i="5" a="1"/>
  <c r="K57" i="5" s="1"/>
  <c r="L57" i="5" a="1"/>
  <c r="L57" i="5"/>
  <c r="M57" i="5" a="1"/>
  <c r="M57" i="5" s="1"/>
  <c r="N57" i="5" a="1"/>
  <c r="N57" i="5"/>
  <c r="O57" i="5" a="1"/>
  <c r="O57" i="5"/>
  <c r="P57" i="5" a="1"/>
  <c r="P57" i="5" s="1"/>
  <c r="Q57" i="5" a="1"/>
  <c r="Q57" i="5" s="1"/>
  <c r="R57" i="5" a="1"/>
  <c r="R57" i="5" s="1"/>
  <c r="S57" i="5" a="1"/>
  <c r="S57" i="5"/>
  <c r="T57" i="5" a="1"/>
  <c r="T57" i="5" s="1"/>
  <c r="U57" i="5" a="1"/>
  <c r="U57" i="5"/>
  <c r="J58" i="5" a="1"/>
  <c r="J58" i="5" s="1"/>
  <c r="K58" i="5" a="1"/>
  <c r="K58" i="5" s="1"/>
  <c r="L58" i="5" a="1"/>
  <c r="L58" i="5"/>
  <c r="M58" i="5" a="1"/>
  <c r="M58" i="5"/>
  <c r="N58" i="5" a="1"/>
  <c r="N58" i="5" s="1"/>
  <c r="O58" i="5" a="1"/>
  <c r="O58" i="5"/>
  <c r="P58" i="5" a="1"/>
  <c r="P58" i="5"/>
  <c r="Q58" i="5" a="1"/>
  <c r="Q58" i="5" s="1"/>
  <c r="R58" i="5" a="1"/>
  <c r="R58" i="5"/>
  <c r="S58" i="5" a="1"/>
  <c r="S58" i="5" s="1"/>
  <c r="T58" i="5" a="1"/>
  <c r="T58" i="5"/>
  <c r="U58" i="5" a="1"/>
  <c r="U58" i="5" s="1"/>
  <c r="J59" i="5" a="1"/>
  <c r="J59" i="5"/>
  <c r="K59" i="5" a="1"/>
  <c r="K59" i="5" s="1"/>
  <c r="L59" i="5" a="1"/>
  <c r="L59" i="5" s="1"/>
  <c r="M59" i="5" a="1"/>
  <c r="M59" i="5"/>
  <c r="N59" i="5" a="1"/>
  <c r="N59" i="5"/>
  <c r="O59" i="5" a="1"/>
  <c r="O59" i="5" s="1"/>
  <c r="P59" i="5" a="1"/>
  <c r="P59" i="5"/>
  <c r="Q59" i="5" a="1"/>
  <c r="Q59" i="5" s="1"/>
  <c r="R59" i="5" a="1"/>
  <c r="R59" i="5" s="1"/>
  <c r="S59" i="5" a="1"/>
  <c r="S59" i="5"/>
  <c r="T59" i="5" a="1"/>
  <c r="T59" i="5" s="1"/>
  <c r="U59" i="5" a="1"/>
  <c r="U59" i="5"/>
  <c r="J60" i="5" a="1"/>
  <c r="J60" i="5" s="1"/>
  <c r="K60" i="5" a="1"/>
  <c r="K60" i="5" s="1"/>
  <c r="L60" i="5" a="1"/>
  <c r="L60" i="5"/>
  <c r="M60" i="5" a="1"/>
  <c r="M60" i="5" s="1"/>
  <c r="N60" i="5" a="1"/>
  <c r="N60" i="5"/>
  <c r="O60" i="5" a="1"/>
  <c r="O60" i="5"/>
  <c r="P60" i="5" a="1"/>
  <c r="P60" i="5" s="1"/>
  <c r="Q60" i="5" a="1"/>
  <c r="Q60" i="5" s="1"/>
  <c r="R60" i="5" a="1"/>
  <c r="R60" i="5"/>
  <c r="S60" i="5" a="1"/>
  <c r="S60" i="5" s="1"/>
  <c r="T60" i="5" a="1"/>
  <c r="T60" i="5"/>
  <c r="U60" i="5" a="1"/>
  <c r="U60" i="5" s="1"/>
  <c r="J61" i="5" a="1"/>
  <c r="J61" i="5"/>
  <c r="K61" i="5" a="1"/>
  <c r="K61" i="5" s="1"/>
  <c r="L61" i="5" a="1"/>
  <c r="L61" i="5"/>
  <c r="M61" i="5" a="1"/>
  <c r="M61" i="5"/>
  <c r="N61" i="5" a="1"/>
  <c r="N61" i="5" s="1"/>
  <c r="O61" i="5" a="1"/>
  <c r="O61" i="5"/>
  <c r="P61" i="5" a="1"/>
  <c r="P61" i="5"/>
  <c r="Q61" i="5" a="1"/>
  <c r="Q61" i="5" s="1"/>
  <c r="R61" i="5" a="1"/>
  <c r="R61" i="5" s="1"/>
  <c r="S61" i="5" a="1"/>
  <c r="S61" i="5"/>
  <c r="T61" i="5" a="1"/>
  <c r="T61" i="5" s="1"/>
  <c r="U61" i="5" a="1"/>
  <c r="U61" i="5"/>
  <c r="J62" i="5" a="1"/>
  <c r="J62" i="5" s="1"/>
  <c r="K62" i="5" a="1"/>
  <c r="K62" i="5" s="1"/>
  <c r="L62" i="5" a="1"/>
  <c r="L62" i="5" s="1"/>
  <c r="M62" i="5" a="1"/>
  <c r="M62" i="5"/>
  <c r="N62" i="5" a="1"/>
  <c r="N62" i="5"/>
  <c r="O62" i="5" a="1"/>
  <c r="O62" i="5" s="1"/>
  <c r="P62" i="5" a="1"/>
  <c r="P62" i="5"/>
  <c r="Q62" i="5" a="1"/>
  <c r="Q62" i="5" s="1"/>
  <c r="R62" i="5" a="1"/>
  <c r="R62" i="5"/>
  <c r="S62" i="5" a="1"/>
  <c r="S62" i="5" s="1"/>
  <c r="T62" i="5" a="1"/>
  <c r="T62" i="5"/>
  <c r="U62" i="5" a="1"/>
  <c r="U62" i="5" s="1"/>
  <c r="J63" i="5" a="1"/>
  <c r="J63" i="5"/>
  <c r="K63" i="5" a="1"/>
  <c r="K63" i="5" s="1"/>
  <c r="L63" i="5" a="1"/>
  <c r="L63" i="5"/>
  <c r="M63" i="5" a="1"/>
  <c r="M63" i="5" s="1"/>
  <c r="N63" i="5" a="1"/>
  <c r="N63" i="5"/>
  <c r="O63" i="5" a="1"/>
  <c r="O63" i="5"/>
  <c r="P63" i="5" a="1"/>
  <c r="P63" i="5" s="1"/>
  <c r="Q63" i="5" a="1"/>
  <c r="Q63" i="5" s="1"/>
  <c r="R63" i="5" a="1"/>
  <c r="R63" i="5" s="1"/>
  <c r="S63" i="5" a="1"/>
  <c r="S63" i="5"/>
  <c r="T63" i="5" a="1"/>
  <c r="T63" i="5" s="1"/>
  <c r="U63" i="5" a="1"/>
  <c r="U63" i="5"/>
  <c r="J64" i="5" a="1"/>
  <c r="J64" i="5" s="1"/>
  <c r="K64" i="5" a="1"/>
  <c r="K64" i="5" s="1"/>
  <c r="L64" i="5" a="1"/>
  <c r="L64" i="5"/>
  <c r="M64" i="5" a="1"/>
  <c r="M64" i="5"/>
  <c r="N64" i="5" a="1"/>
  <c r="N64" i="5" s="1"/>
  <c r="O64" i="5" a="1"/>
  <c r="O64" i="5"/>
  <c r="P64" i="5" a="1"/>
  <c r="P64" i="5"/>
  <c r="Q64" i="5" a="1"/>
  <c r="Q64" i="5" s="1"/>
  <c r="R64" i="5" a="1"/>
  <c r="R64" i="5"/>
  <c r="S64" i="5" a="1"/>
  <c r="S64" i="5" s="1"/>
  <c r="T64" i="5" a="1"/>
  <c r="T64" i="5"/>
  <c r="U64" i="5" a="1"/>
  <c r="U64" i="5" s="1"/>
  <c r="J65" i="5" a="1"/>
  <c r="J65" i="5"/>
  <c r="K65" i="5" a="1"/>
  <c r="K65" i="5" s="1"/>
  <c r="L65" i="5" a="1"/>
  <c r="L65" i="5" s="1"/>
  <c r="M65" i="5" a="1"/>
  <c r="M65" i="5"/>
  <c r="N65" i="5" a="1"/>
  <c r="N65" i="5"/>
  <c r="O65" i="5" a="1"/>
  <c r="O65" i="5" s="1"/>
  <c r="P65" i="5" a="1"/>
  <c r="P65" i="5"/>
  <c r="Q65" i="5" a="1"/>
  <c r="Q65" i="5" s="1"/>
  <c r="R65" i="5" a="1"/>
  <c r="R65" i="5" s="1"/>
  <c r="S65" i="5" a="1"/>
  <c r="S65" i="5"/>
  <c r="T65" i="5" a="1"/>
  <c r="T65" i="5" s="1"/>
  <c r="U65" i="5" a="1"/>
  <c r="U65" i="5"/>
  <c r="J66" i="5" a="1"/>
  <c r="J66" i="5" s="1"/>
  <c r="K66" i="5" a="1"/>
  <c r="K66" i="5" s="1"/>
  <c r="L66" i="5" a="1"/>
  <c r="L66" i="5"/>
  <c r="M66" i="5" a="1"/>
  <c r="M66" i="5" s="1"/>
  <c r="N66" i="5" a="1"/>
  <c r="N66" i="5"/>
  <c r="O66" i="5" a="1"/>
  <c r="O66" i="5"/>
  <c r="P66" i="5" a="1"/>
  <c r="P66" i="5" s="1"/>
  <c r="Q66" i="5" a="1"/>
  <c r="Q66" i="5" s="1"/>
  <c r="R66" i="5" a="1"/>
  <c r="R66" i="5"/>
  <c r="S66" i="5" a="1"/>
  <c r="S66" i="5" s="1"/>
  <c r="T66" i="5" a="1"/>
  <c r="T66" i="5"/>
  <c r="U66" i="5" a="1"/>
  <c r="U66" i="5" s="1"/>
  <c r="J67" i="5" a="1"/>
  <c r="J67" i="5"/>
  <c r="K67" i="5" a="1"/>
  <c r="K67" i="5" s="1"/>
  <c r="L67" i="5" a="1"/>
  <c r="L67" i="5"/>
  <c r="M67" i="5" a="1"/>
  <c r="M67" i="5"/>
  <c r="N67" i="5" a="1"/>
  <c r="N67" i="5" s="1"/>
  <c r="O67" i="5" a="1"/>
  <c r="O67" i="5"/>
  <c r="P67" i="5" a="1"/>
  <c r="P67" i="5"/>
  <c r="Q67" i="5" a="1"/>
  <c r="Q67" i="5" s="1"/>
  <c r="R67" i="5" a="1"/>
  <c r="R67" i="5" s="1"/>
  <c r="S67" i="5" a="1"/>
  <c r="S67" i="5"/>
  <c r="T67" i="5" a="1"/>
  <c r="T67" i="5" s="1"/>
  <c r="U67" i="5" a="1"/>
  <c r="U67" i="5"/>
  <c r="J68" i="5" a="1"/>
  <c r="J68" i="5" s="1"/>
  <c r="K68" i="5" a="1"/>
  <c r="K68" i="5" s="1"/>
  <c r="L68" i="5" a="1"/>
  <c r="L68" i="5" s="1"/>
  <c r="M68" i="5" a="1"/>
  <c r="M68" i="5"/>
  <c r="N68" i="5" a="1"/>
  <c r="N68" i="5"/>
  <c r="O68" i="5" a="1"/>
  <c r="O68" i="5" s="1"/>
  <c r="P68" i="5" a="1"/>
  <c r="P68" i="5"/>
  <c r="Q68" i="5" a="1"/>
  <c r="Q68" i="5" s="1"/>
  <c r="R68" i="5" a="1"/>
  <c r="R68" i="5"/>
  <c r="S68" i="5" a="1"/>
  <c r="S68" i="5" s="1"/>
  <c r="T68" i="5" a="1"/>
  <c r="T68" i="5"/>
  <c r="U68" i="5" a="1"/>
  <c r="U68" i="5" s="1"/>
  <c r="J69" i="5" a="1"/>
  <c r="J69" i="5"/>
  <c r="K69" i="5" a="1"/>
  <c r="K69" i="5" s="1"/>
  <c r="L69" i="5" a="1"/>
  <c r="L69" i="5"/>
  <c r="M69" i="5" a="1"/>
  <c r="M69" i="5" s="1"/>
  <c r="N69" i="5" a="1"/>
  <c r="N69" i="5"/>
  <c r="O69" i="5" a="1"/>
  <c r="O69" i="5"/>
  <c r="P69" i="5" a="1"/>
  <c r="P69" i="5" s="1"/>
  <c r="Q69" i="5" a="1"/>
  <c r="Q69" i="5" s="1"/>
  <c r="R69" i="5" a="1"/>
  <c r="R69" i="5" s="1"/>
  <c r="S69" i="5" a="1"/>
  <c r="S69" i="5"/>
  <c r="T69" i="5" a="1"/>
  <c r="T69" i="5" s="1"/>
  <c r="U69" i="5" a="1"/>
  <c r="U69" i="5"/>
  <c r="J70" i="5" a="1"/>
  <c r="J70" i="5" s="1"/>
  <c r="K70" i="5" a="1"/>
  <c r="K70" i="5" s="1"/>
  <c r="L70" i="5" a="1"/>
  <c r="L70" i="5"/>
  <c r="M70" i="5" a="1"/>
  <c r="M70" i="5"/>
  <c r="N70" i="5" a="1"/>
  <c r="N70" i="5" s="1"/>
  <c r="O70" i="5" a="1"/>
  <c r="O70" i="5"/>
  <c r="P70" i="5" a="1"/>
  <c r="P70" i="5"/>
  <c r="Q70" i="5" a="1"/>
  <c r="Q70" i="5" s="1"/>
  <c r="R70" i="5" a="1"/>
  <c r="R70" i="5"/>
  <c r="S70" i="5" a="1"/>
  <c r="S70" i="5" s="1"/>
  <c r="T70" i="5" a="1"/>
  <c r="T70" i="5"/>
  <c r="U70" i="5" a="1"/>
  <c r="U70" i="5" s="1"/>
  <c r="J71" i="5" a="1"/>
  <c r="J71" i="5"/>
  <c r="K71" i="5" a="1"/>
  <c r="K71" i="5" s="1"/>
  <c r="L71" i="5" a="1"/>
  <c r="L71" i="5" s="1"/>
  <c r="M71" i="5" a="1"/>
  <c r="M71" i="5"/>
  <c r="N71" i="5" a="1"/>
  <c r="N71" i="5"/>
  <c r="O71" i="5" a="1"/>
  <c r="O71" i="5" s="1"/>
  <c r="P71" i="5" a="1"/>
  <c r="P71" i="5"/>
  <c r="Q71" i="5" a="1"/>
  <c r="Q71" i="5" s="1"/>
  <c r="R71" i="5" a="1"/>
  <c r="R71" i="5" s="1"/>
  <c r="S71" i="5" a="1"/>
  <c r="S71" i="5"/>
  <c r="T71" i="5" a="1"/>
  <c r="T71" i="5" s="1"/>
  <c r="U71" i="5" a="1"/>
  <c r="U71" i="5"/>
  <c r="J72" i="5" a="1"/>
  <c r="J72" i="5" s="1"/>
  <c r="K72" i="5" a="1"/>
  <c r="K72" i="5" s="1"/>
  <c r="L72" i="5" a="1"/>
  <c r="L72" i="5"/>
  <c r="M72" i="5" a="1"/>
  <c r="M72" i="5" s="1"/>
  <c r="N72" i="5" a="1"/>
  <c r="N72" i="5"/>
  <c r="O72" i="5" a="1"/>
  <c r="O72" i="5"/>
  <c r="P72" i="5" a="1"/>
  <c r="P72" i="5"/>
  <c r="Q72" i="5" a="1"/>
  <c r="Q72" i="5" s="1"/>
  <c r="R72" i="5" a="1"/>
  <c r="R72" i="5"/>
  <c r="S72" i="5" a="1"/>
  <c r="S72" i="5" s="1"/>
  <c r="T72" i="5" a="1"/>
  <c r="T72" i="5"/>
  <c r="U72" i="5" a="1"/>
  <c r="U72" i="5" s="1"/>
  <c r="J73" i="5" a="1"/>
  <c r="J73" i="5" s="1"/>
  <c r="K73" i="5" a="1"/>
  <c r="K73" i="5" s="1"/>
  <c r="L73" i="5" a="1"/>
  <c r="L73" i="5"/>
  <c r="M73" i="5" a="1"/>
  <c r="M73" i="5"/>
  <c r="N73" i="5" a="1"/>
  <c r="N73" i="5" s="1"/>
  <c r="O73" i="5" a="1"/>
  <c r="O73" i="5"/>
  <c r="P73" i="5" a="1"/>
  <c r="P73" i="5"/>
  <c r="Q73" i="5" a="1"/>
  <c r="Q73" i="5" s="1"/>
  <c r="R73" i="5" a="1"/>
  <c r="R73" i="5" s="1"/>
  <c r="S73" i="5" a="1"/>
  <c r="S73" i="5"/>
  <c r="T73" i="5" a="1"/>
  <c r="T73" i="5" s="1"/>
  <c r="U73" i="5" a="1"/>
  <c r="U73" i="5"/>
  <c r="J74" i="5" a="1"/>
  <c r="J74" i="5"/>
  <c r="K74" i="5" a="1"/>
  <c r="K74" i="5" s="1"/>
  <c r="L74" i="5" a="1"/>
  <c r="L74" i="5" s="1"/>
  <c r="M74" i="5" a="1"/>
  <c r="M74" i="5"/>
  <c r="N74" i="5" a="1"/>
  <c r="N74" i="5" s="1"/>
  <c r="O74" i="5" a="1"/>
  <c r="O74" i="5" s="1"/>
  <c r="P74" i="5" a="1"/>
  <c r="P74" i="5"/>
  <c r="Q74" i="5" a="1"/>
  <c r="Q74" i="5" s="1"/>
  <c r="R74" i="5" a="1"/>
  <c r="R74" i="5" s="1"/>
  <c r="S74" i="5" a="1"/>
  <c r="S74" i="5" s="1"/>
  <c r="T74" i="5" a="1"/>
  <c r="T74" i="5"/>
  <c r="U74" i="5" a="1"/>
  <c r="U74" i="5" s="1"/>
  <c r="J75" i="5" a="1"/>
  <c r="J75" i="5"/>
  <c r="K75" i="5" a="1"/>
  <c r="K75" i="5" s="1"/>
  <c r="L75" i="5" a="1"/>
  <c r="L75" i="5" s="1"/>
  <c r="M75" i="5" a="1"/>
  <c r="M75" i="5"/>
  <c r="N75" i="5" a="1"/>
  <c r="N75" i="5"/>
  <c r="O75" i="5" a="1"/>
  <c r="O75" i="5"/>
  <c r="P75" i="5" a="1"/>
  <c r="P75" i="5" s="1"/>
  <c r="Q75" i="5" a="1"/>
  <c r="Q75" i="5" s="1"/>
  <c r="R75" i="5" a="1"/>
  <c r="R75" i="5"/>
  <c r="S75" i="5" a="1"/>
  <c r="S75" i="5" s="1"/>
  <c r="T75" i="5" a="1"/>
  <c r="T75" i="5" s="1"/>
  <c r="U75" i="5" a="1"/>
  <c r="U75" i="5"/>
  <c r="J76" i="5" a="1"/>
  <c r="J76" i="5" s="1"/>
  <c r="K76" i="5" a="1"/>
  <c r="K76" i="5" s="1"/>
  <c r="L76" i="5" a="1"/>
  <c r="L76" i="5"/>
  <c r="M76" i="5" a="1"/>
  <c r="M76" i="5" s="1"/>
  <c r="N76" i="5" a="1"/>
  <c r="N76" i="5" s="1"/>
  <c r="O76" i="5" a="1"/>
  <c r="O76" i="5"/>
  <c r="P76" i="5" a="1"/>
  <c r="P76" i="5" s="1"/>
  <c r="Q76" i="5" a="1"/>
  <c r="Q76" i="5" s="1"/>
  <c r="R76" i="5" a="1"/>
  <c r="R76" i="5"/>
  <c r="S76" i="5" a="1"/>
  <c r="S76" i="5"/>
  <c r="T76" i="5" a="1"/>
  <c r="T76" i="5"/>
  <c r="U76" i="5" a="1"/>
  <c r="U76" i="5" s="1"/>
  <c r="J77" i="5" a="1"/>
  <c r="J77" i="5"/>
  <c r="K77" i="5" a="1"/>
  <c r="K77" i="5" s="1"/>
  <c r="L77" i="5" a="1"/>
  <c r="L77" i="5" s="1"/>
  <c r="M77" i="5" a="1"/>
  <c r="M77" i="5"/>
  <c r="N77" i="5" a="1"/>
  <c r="N77" i="5" s="1"/>
  <c r="O77" i="5" a="1"/>
  <c r="O77" i="5" s="1"/>
  <c r="P77" i="5" a="1"/>
  <c r="P77" i="5"/>
  <c r="Q77" i="5" a="1"/>
  <c r="Q77" i="5" s="1"/>
  <c r="R77" i="5" a="1"/>
  <c r="R77" i="5" s="1"/>
  <c r="S77" i="5" a="1"/>
  <c r="S77" i="5"/>
  <c r="T77" i="5" a="1"/>
  <c r="T77" i="5" s="1"/>
  <c r="U77" i="5" a="1"/>
  <c r="U77" i="5" s="1"/>
  <c r="J78" i="5" a="1"/>
  <c r="J78" i="5" s="1"/>
  <c r="K78" i="5" a="1"/>
  <c r="K78" i="5" s="1"/>
  <c r="L78" i="5" a="1"/>
  <c r="L78" i="5" s="1"/>
  <c r="M78" i="5" a="1"/>
  <c r="M78" i="5" s="1"/>
  <c r="N78" i="5" a="1"/>
  <c r="N78" i="5"/>
  <c r="O78" i="5" a="1"/>
  <c r="O78" i="5"/>
  <c r="P78" i="5" a="1"/>
  <c r="P78" i="5"/>
  <c r="Q78" i="5" a="1"/>
  <c r="Q78" i="5" s="1"/>
  <c r="R78" i="5" a="1"/>
  <c r="R78" i="5" s="1"/>
  <c r="S78" i="5" a="1"/>
  <c r="S78" i="5" s="1"/>
  <c r="T78" i="5" a="1"/>
  <c r="T78" i="5"/>
  <c r="U78" i="5" a="1"/>
  <c r="U78" i="5"/>
  <c r="J79" i="5" a="1"/>
  <c r="J79" i="5"/>
  <c r="K79" i="5" a="1"/>
  <c r="K79" i="5" s="1"/>
  <c r="L79" i="5" a="1"/>
  <c r="L79" i="5"/>
  <c r="M79" i="5" a="1"/>
  <c r="M79" i="5" s="1"/>
  <c r="N79" i="5" a="1"/>
  <c r="N79" i="5" s="1"/>
  <c r="O79" i="5" a="1"/>
  <c r="O79" i="5"/>
  <c r="P79" i="5" a="1"/>
  <c r="P79" i="5" s="1"/>
  <c r="Q79" i="5" a="1"/>
  <c r="Q79" i="5" s="1"/>
  <c r="R79" i="5" a="1"/>
  <c r="R79" i="5" s="1"/>
  <c r="S79" i="5" a="1"/>
  <c r="S79" i="5"/>
  <c r="T79" i="5" a="1"/>
  <c r="T79" i="5" s="1"/>
  <c r="U79" i="5" a="1"/>
  <c r="U79" i="5"/>
  <c r="J80" i="5" a="1"/>
  <c r="J80" i="5" s="1"/>
  <c r="K80" i="5" a="1"/>
  <c r="K80" i="5" s="1"/>
  <c r="L80" i="5" a="1"/>
  <c r="L80" i="5" s="1"/>
  <c r="M80" i="5" a="1"/>
  <c r="M80" i="5"/>
  <c r="N80" i="5" a="1"/>
  <c r="N80" i="5"/>
  <c r="O80" i="5" a="1"/>
  <c r="O80" i="5" s="1"/>
  <c r="P80" i="5" a="1"/>
  <c r="P80" i="5" s="1"/>
  <c r="Q80" i="5" a="1"/>
  <c r="Q80" i="5" s="1"/>
  <c r="R80" i="5" a="1"/>
  <c r="R80" i="5" s="1"/>
  <c r="S80" i="5" a="1"/>
  <c r="S80" i="5" s="1"/>
  <c r="T80" i="5" a="1"/>
  <c r="T80" i="5" s="1"/>
  <c r="U80" i="5" a="1"/>
  <c r="U80" i="5" s="1"/>
  <c r="J81" i="5" a="1"/>
  <c r="J81" i="5"/>
  <c r="K81" i="5" a="1"/>
  <c r="K81" i="5" s="1"/>
  <c r="L81" i="5" a="1"/>
  <c r="L81" i="5" s="1"/>
  <c r="M81" i="5" a="1"/>
  <c r="M81" i="5" s="1"/>
  <c r="N81" i="5" a="1"/>
  <c r="N81" i="5"/>
  <c r="O81" i="5" a="1"/>
  <c r="O81" i="5" s="1"/>
  <c r="P81" i="5" a="1"/>
  <c r="P81" i="5" s="1"/>
  <c r="Q81" i="5" a="1"/>
  <c r="Q81" i="5" s="1"/>
  <c r="R81" i="5" a="1"/>
  <c r="R81" i="5" s="1"/>
  <c r="S81" i="5" a="1"/>
  <c r="S81" i="5" s="1"/>
  <c r="T81" i="5" a="1"/>
  <c r="T81" i="5" s="1"/>
  <c r="U81" i="5" a="1"/>
  <c r="U81" i="5" s="1"/>
  <c r="J82" i="5" a="1"/>
  <c r="J82" i="5" s="1"/>
  <c r="K82" i="5" a="1"/>
  <c r="K82" i="5" s="1"/>
  <c r="L82" i="5" a="1"/>
  <c r="L82" i="5"/>
  <c r="M82" i="5" a="1"/>
  <c r="M82" i="5" s="1"/>
  <c r="N82" i="5" a="1"/>
  <c r="N82" i="5" s="1"/>
  <c r="O82" i="5" a="1"/>
  <c r="O82" i="5"/>
  <c r="P82" i="5" a="1"/>
  <c r="P82" i="5"/>
  <c r="Q82" i="5" a="1"/>
  <c r="Q82" i="5" s="1"/>
  <c r="R82" i="5" a="1"/>
  <c r="R82" i="5"/>
  <c r="S82" i="5" a="1"/>
  <c r="S82" i="5"/>
  <c r="T82" i="5" a="1"/>
  <c r="T82" i="5"/>
  <c r="U82" i="5" a="1"/>
  <c r="U82" i="5"/>
  <c r="J83" i="5" a="1"/>
  <c r="J83" i="5" s="1"/>
  <c r="K83" i="5" a="1"/>
  <c r="K83" i="5" s="1"/>
  <c r="L83" i="5" a="1"/>
  <c r="L83" i="5" s="1"/>
  <c r="M83" i="5" a="1"/>
  <c r="M83" i="5"/>
  <c r="N83" i="5" a="1"/>
  <c r="N83" i="5" s="1"/>
  <c r="O83" i="5" a="1"/>
  <c r="O83" i="5" s="1"/>
  <c r="P83" i="5" a="1"/>
  <c r="P83" i="5" s="1"/>
  <c r="Q83" i="5" a="1"/>
  <c r="Q83" i="5" s="1"/>
  <c r="R83" i="5" a="1"/>
  <c r="R83" i="5"/>
  <c r="S83" i="5" a="1"/>
  <c r="S83" i="5"/>
  <c r="T83" i="5" a="1"/>
  <c r="T83" i="5"/>
  <c r="U83" i="5" a="1"/>
  <c r="U83" i="5"/>
  <c r="J84" i="5" a="1"/>
  <c r="J84" i="5"/>
  <c r="K84" i="5" a="1"/>
  <c r="K84" i="5" s="1"/>
  <c r="L84" i="5" a="1"/>
  <c r="L84" i="5"/>
  <c r="M84" i="5" a="1"/>
  <c r="M84" i="5" s="1"/>
  <c r="N84" i="5" a="1"/>
  <c r="N84" i="5" s="1"/>
  <c r="O84" i="5" a="1"/>
  <c r="O84" i="5" s="1"/>
  <c r="P84" i="5" a="1"/>
  <c r="P84" i="5" s="1"/>
  <c r="Q84" i="5" a="1"/>
  <c r="Q84" i="5" s="1"/>
  <c r="R84" i="5" a="1"/>
  <c r="R84" i="5" s="1"/>
  <c r="S84" i="5" a="1"/>
  <c r="S84" i="5"/>
  <c r="T84" i="5" a="1"/>
  <c r="T84" i="5" s="1"/>
  <c r="U84" i="5" a="1"/>
  <c r="U84" i="5"/>
  <c r="J85" i="5" a="1"/>
  <c r="J85" i="5"/>
  <c r="K85" i="5" a="1"/>
  <c r="K85" i="5" s="1"/>
  <c r="L85" i="5" a="1"/>
  <c r="L85" i="5" s="1"/>
  <c r="M85" i="5" a="1"/>
  <c r="M85" i="5"/>
  <c r="N85" i="5" a="1"/>
  <c r="N85" i="5" s="1"/>
  <c r="O85" i="5" a="1"/>
  <c r="O85" i="5" s="1"/>
  <c r="P85" i="5" a="1"/>
  <c r="P85" i="5" s="1"/>
  <c r="Q85" i="5" a="1"/>
  <c r="Q85" i="5" s="1"/>
  <c r="R85" i="5" a="1"/>
  <c r="R85" i="5"/>
  <c r="S85" i="5" a="1"/>
  <c r="S85" i="5" s="1"/>
  <c r="T85" i="5" a="1"/>
  <c r="T85" i="5"/>
  <c r="U85" i="5" a="1"/>
  <c r="U85" i="5" s="1"/>
  <c r="J86" i="5" a="1"/>
  <c r="J86" i="5"/>
  <c r="K86" i="5" a="1"/>
  <c r="K86" i="5" s="1"/>
  <c r="L86" i="5" a="1"/>
  <c r="L86" i="5" s="1"/>
  <c r="M86" i="5" a="1"/>
  <c r="M86" i="5" s="1"/>
  <c r="N86" i="5" a="1"/>
  <c r="N86" i="5"/>
  <c r="O86" i="5" a="1"/>
  <c r="O86" i="5" s="1"/>
  <c r="P86" i="5" a="1"/>
  <c r="P86" i="5" s="1"/>
  <c r="Q86" i="5" a="1"/>
  <c r="Q86" i="5" s="1"/>
  <c r="R86" i="5" a="1"/>
  <c r="R86" i="5"/>
  <c r="S86" i="5" a="1"/>
  <c r="S86" i="5"/>
  <c r="T86" i="5" a="1"/>
  <c r="T86" i="5" s="1"/>
  <c r="U86" i="5" a="1"/>
  <c r="U86" i="5"/>
  <c r="J87" i="5" a="1"/>
  <c r="J87" i="5" s="1"/>
  <c r="K87" i="5" a="1"/>
  <c r="K87" i="5" s="1"/>
  <c r="L87" i="5" a="1"/>
  <c r="L87" i="5" s="1"/>
  <c r="M87" i="5" a="1"/>
  <c r="M87" i="5" s="1"/>
  <c r="N87" i="5" a="1"/>
  <c r="N87" i="5" s="1"/>
  <c r="O87" i="5" a="1"/>
  <c r="O87" i="5"/>
  <c r="P87" i="5" a="1"/>
  <c r="P87" i="5" s="1"/>
  <c r="Q87" i="5" a="1"/>
  <c r="Q87" i="5" s="1"/>
  <c r="R87" i="5" a="1"/>
  <c r="R87" i="5"/>
  <c r="S87" i="5" a="1"/>
  <c r="S87" i="5"/>
  <c r="T87" i="5" a="1"/>
  <c r="T87" i="5"/>
  <c r="U87" i="5" a="1"/>
  <c r="U87" i="5" s="1"/>
  <c r="J88" i="5" a="1"/>
  <c r="J88" i="5"/>
  <c r="K88" i="5" a="1"/>
  <c r="K88" i="5" s="1"/>
  <c r="L88" i="5" a="1"/>
  <c r="L88" i="5" s="1"/>
  <c r="M88" i="5" a="1"/>
  <c r="M88" i="5" s="1"/>
  <c r="N88" i="5" a="1"/>
  <c r="N88" i="5" s="1"/>
  <c r="O88" i="5" a="1"/>
  <c r="O88" i="5" s="1"/>
  <c r="P88" i="5" a="1"/>
  <c r="P88" i="5"/>
  <c r="Q88" i="5" a="1"/>
  <c r="Q88" i="5" s="1"/>
  <c r="R88" i="5" a="1"/>
  <c r="R88" i="5" s="1"/>
  <c r="S88" i="5" a="1"/>
  <c r="S88" i="5"/>
  <c r="T88" i="5" a="1"/>
  <c r="T88" i="5"/>
  <c r="U88" i="5" a="1"/>
  <c r="U88" i="5"/>
  <c r="J89" i="5" a="1"/>
  <c r="J89" i="5" s="1"/>
  <c r="K89" i="5" a="1"/>
  <c r="K89" i="5" s="1"/>
  <c r="L89" i="5" a="1"/>
  <c r="L89" i="5" s="1"/>
  <c r="M89" i="5" a="1"/>
  <c r="M89" i="5" s="1"/>
  <c r="N89" i="5" a="1"/>
  <c r="N89" i="5" s="1"/>
  <c r="O89" i="5" a="1"/>
  <c r="O89" i="5" s="1"/>
  <c r="P89" i="5" a="1"/>
  <c r="P89" i="5" s="1"/>
  <c r="Q89" i="5" a="1"/>
  <c r="Q89" i="5" s="1"/>
  <c r="R89" i="5" a="1"/>
  <c r="R89" i="5"/>
  <c r="S89" i="5" a="1"/>
  <c r="S89" i="5" s="1"/>
  <c r="T89" i="5" a="1"/>
  <c r="T89" i="5"/>
  <c r="U89" i="5" a="1"/>
  <c r="U89" i="5"/>
  <c r="J90" i="5" a="1"/>
  <c r="J90" i="5"/>
  <c r="K90" i="5" a="1"/>
  <c r="K90" i="5" s="1"/>
  <c r="L90" i="5" a="1"/>
  <c r="L90" i="5"/>
  <c r="M90" i="5" a="1"/>
  <c r="M90" i="5" s="1"/>
  <c r="N90" i="5" a="1"/>
  <c r="N90" i="5" s="1"/>
  <c r="O90" i="5" a="1"/>
  <c r="O90" i="5" s="1"/>
  <c r="P90" i="5" a="1"/>
  <c r="P90" i="5" s="1"/>
  <c r="Q90" i="5" a="1"/>
  <c r="Q90" i="5" s="1"/>
  <c r="R90" i="5" a="1"/>
  <c r="R90" i="5" s="1"/>
  <c r="S90" i="5" a="1"/>
  <c r="S90" i="5"/>
  <c r="T90" i="5" a="1"/>
  <c r="T90" i="5" s="1"/>
  <c r="U90" i="5" a="1"/>
  <c r="U90" i="5"/>
  <c r="J91" i="5" a="1"/>
  <c r="J91" i="5"/>
  <c r="K91" i="5" a="1"/>
  <c r="K91" i="5" s="1"/>
  <c r="L91" i="5" a="1"/>
  <c r="L91" i="5" s="1"/>
  <c r="M91" i="5" a="1"/>
  <c r="M91" i="5"/>
  <c r="N91" i="5" a="1"/>
  <c r="N91" i="5" s="1"/>
  <c r="O91" i="5" a="1"/>
  <c r="O91" i="5" s="1"/>
  <c r="P91" i="5" a="1"/>
  <c r="P91" i="5" s="1"/>
  <c r="Q91" i="5" a="1"/>
  <c r="Q91" i="5" s="1"/>
  <c r="R91" i="5" a="1"/>
  <c r="R91" i="5"/>
  <c r="S91" i="5" a="1"/>
  <c r="S91" i="5" s="1"/>
  <c r="T91" i="5" a="1"/>
  <c r="T91" i="5"/>
  <c r="U91" i="5" a="1"/>
  <c r="U91" i="5" s="1"/>
  <c r="J92" i="5" a="1"/>
  <c r="J92" i="5"/>
  <c r="K92" i="5" a="1"/>
  <c r="K92" i="5" s="1"/>
  <c r="L92" i="5" a="1"/>
  <c r="L92" i="5" s="1"/>
  <c r="M92" i="5" a="1"/>
  <c r="M92" i="5" s="1"/>
  <c r="N92" i="5" a="1"/>
  <c r="N92" i="5"/>
  <c r="O92" i="5" a="1"/>
  <c r="O92" i="5" s="1"/>
  <c r="P92" i="5" a="1"/>
  <c r="P92" i="5" s="1"/>
  <c r="Q92" i="5" a="1"/>
  <c r="Q92" i="5" s="1"/>
  <c r="R92" i="5" a="1"/>
  <c r="R92" i="5"/>
  <c r="S92" i="5" a="1"/>
  <c r="S92" i="5"/>
  <c r="T92" i="5" a="1"/>
  <c r="T92" i="5" s="1"/>
  <c r="U92" i="5" a="1"/>
  <c r="U92" i="5"/>
  <c r="J93" i="5" a="1"/>
  <c r="J93" i="5" s="1"/>
  <c r="K93" i="5" a="1"/>
  <c r="K93" i="5" s="1"/>
  <c r="L93" i="5" a="1"/>
  <c r="L93" i="5" s="1"/>
  <c r="M93" i="5" a="1"/>
  <c r="M93" i="5" s="1"/>
  <c r="N93" i="5" a="1"/>
  <c r="N93" i="5" s="1"/>
  <c r="O93" i="5" a="1"/>
  <c r="O93" i="5"/>
  <c r="P93" i="5" a="1"/>
  <c r="P93" i="5" s="1"/>
  <c r="Q93" i="5" a="1"/>
  <c r="Q93" i="5" s="1"/>
  <c r="R93" i="5" a="1"/>
  <c r="R93" i="5"/>
  <c r="S93" i="5" a="1"/>
  <c r="S93" i="5"/>
  <c r="T93" i="5" a="1"/>
  <c r="T93" i="5"/>
  <c r="U93" i="5" a="1"/>
  <c r="U93" i="5" s="1"/>
  <c r="J94" i="5" a="1"/>
  <c r="J94" i="5"/>
  <c r="K94" i="5" a="1"/>
  <c r="K94" i="5" s="1"/>
  <c r="L94" i="5" a="1"/>
  <c r="L94" i="5" s="1"/>
  <c r="M94" i="5" a="1"/>
  <c r="M94" i="5" s="1"/>
  <c r="N94" i="5" a="1"/>
  <c r="N94" i="5" s="1"/>
  <c r="O94" i="5" a="1"/>
  <c r="O94" i="5" s="1"/>
  <c r="P94" i="5" a="1"/>
  <c r="P94" i="5"/>
  <c r="Q94" i="5" a="1"/>
  <c r="Q94" i="5" s="1"/>
  <c r="R94" i="5" a="1"/>
  <c r="R94" i="5" s="1"/>
  <c r="S94" i="5" a="1"/>
  <c r="S94" i="5"/>
  <c r="T94" i="5" a="1"/>
  <c r="T94" i="5"/>
  <c r="U94" i="5" a="1"/>
  <c r="U94" i="5"/>
  <c r="J95" i="5" a="1"/>
  <c r="J95" i="5" s="1"/>
  <c r="K95" i="5" a="1"/>
  <c r="K95" i="5" s="1"/>
  <c r="L95" i="5" a="1"/>
  <c r="L95" i="5" s="1"/>
  <c r="M95" i="5" a="1"/>
  <c r="M95" i="5" s="1"/>
  <c r="N95" i="5" a="1"/>
  <c r="N95" i="5" s="1"/>
  <c r="O95" i="5" a="1"/>
  <c r="O95" i="5" s="1"/>
  <c r="P95" i="5" a="1"/>
  <c r="P95" i="5" s="1"/>
  <c r="Q95" i="5" a="1"/>
  <c r="Q95" i="5" s="1"/>
  <c r="R95" i="5" a="1"/>
  <c r="R95" i="5"/>
  <c r="S95" i="5" a="1"/>
  <c r="S95" i="5" s="1"/>
  <c r="T95" i="5" a="1"/>
  <c r="T95" i="5"/>
  <c r="U95" i="5" a="1"/>
  <c r="U95" i="5"/>
  <c r="J96" i="5" a="1"/>
  <c r="J96" i="5"/>
  <c r="K96" i="5" a="1"/>
  <c r="K96" i="5" s="1"/>
  <c r="L96" i="5" a="1"/>
  <c r="L96" i="5"/>
  <c r="M96" i="5" a="1"/>
  <c r="M96" i="5" s="1"/>
  <c r="N96" i="5" a="1"/>
  <c r="N96" i="5" s="1"/>
  <c r="O96" i="5" a="1"/>
  <c r="O96" i="5" s="1"/>
  <c r="P96" i="5" a="1"/>
  <c r="P96" i="5" s="1"/>
  <c r="Q96" i="5" a="1"/>
  <c r="Q96" i="5" s="1"/>
  <c r="R96" i="5" a="1"/>
  <c r="R96" i="5" s="1"/>
  <c r="S96" i="5" a="1"/>
  <c r="S96" i="5"/>
  <c r="T96" i="5" a="1"/>
  <c r="T96" i="5"/>
  <c r="U96" i="5" a="1"/>
  <c r="U96" i="5"/>
  <c r="J97" i="5" a="1"/>
  <c r="J97" i="5"/>
  <c r="K97" i="5" a="1"/>
  <c r="K97" i="5" s="1"/>
  <c r="L97" i="5" a="1"/>
  <c r="L97" i="5" s="1"/>
  <c r="M97" i="5" a="1"/>
  <c r="M97" i="5"/>
  <c r="N97" i="5" a="1"/>
  <c r="N97" i="5" s="1"/>
  <c r="O97" i="5" a="1"/>
  <c r="O97" i="5" s="1"/>
  <c r="P97" i="5" a="1"/>
  <c r="P97" i="5" s="1"/>
  <c r="Q97" i="5" a="1"/>
  <c r="Q97" i="5" s="1"/>
  <c r="R97" i="5" a="1"/>
  <c r="R97" i="5"/>
  <c r="S97" i="5" a="1"/>
  <c r="S97" i="5" s="1"/>
  <c r="T97" i="5" a="1"/>
  <c r="T97" i="5"/>
  <c r="U97" i="5" a="1"/>
  <c r="U97" i="5"/>
  <c r="J98" i="5" a="1"/>
  <c r="J98" i="5"/>
  <c r="K98" i="5" a="1"/>
  <c r="K98" i="5" s="1"/>
  <c r="L98" i="5" a="1"/>
  <c r="L98" i="5" s="1"/>
  <c r="M98" i="5" a="1"/>
  <c r="M98" i="5" s="1"/>
  <c r="N98" i="5" a="1"/>
  <c r="N98" i="5"/>
  <c r="O98" i="5" a="1"/>
  <c r="O98" i="5" s="1"/>
  <c r="P98" i="5" a="1"/>
  <c r="P98" i="5" s="1"/>
  <c r="Q98" i="5" a="1"/>
  <c r="Q98" i="5" s="1"/>
  <c r="R98" i="5" a="1"/>
  <c r="R98" i="5"/>
  <c r="S98" i="5" a="1"/>
  <c r="S98" i="5"/>
  <c r="T98" i="5" a="1"/>
  <c r="T98" i="5" s="1"/>
  <c r="U98" i="5" a="1"/>
  <c r="U98" i="5"/>
  <c r="J99" i="5" a="1"/>
  <c r="J99" i="5"/>
  <c r="K99" i="5" a="1"/>
  <c r="K99" i="5" s="1"/>
  <c r="L99" i="5" a="1"/>
  <c r="L99" i="5" s="1"/>
  <c r="M99" i="5" a="1"/>
  <c r="M99" i="5" s="1"/>
  <c r="N99" i="5" a="1"/>
  <c r="N99" i="5" s="1"/>
  <c r="O99" i="5" a="1"/>
  <c r="O99" i="5"/>
  <c r="P99" i="5" a="1"/>
  <c r="P99" i="5" s="1"/>
  <c r="Q99" i="5" a="1"/>
  <c r="Q99" i="5" s="1"/>
  <c r="R99" i="5" a="1"/>
  <c r="R99" i="5"/>
  <c r="S99" i="5" a="1"/>
  <c r="S99" i="5"/>
  <c r="T99" i="5" a="1"/>
  <c r="T99" i="5"/>
  <c r="U99" i="5" a="1"/>
  <c r="U99" i="5" s="1"/>
  <c r="J100" i="5" a="1"/>
  <c r="J100" i="5"/>
  <c r="K100" i="5" a="1"/>
  <c r="K100" i="5" s="1"/>
  <c r="L100" i="5" a="1"/>
  <c r="L100" i="5" s="1"/>
  <c r="M100" i="5" a="1"/>
  <c r="M100" i="5" s="1"/>
  <c r="N100" i="5" a="1"/>
  <c r="N100" i="5" s="1"/>
  <c r="O100" i="5" a="1"/>
  <c r="O100" i="5" s="1"/>
  <c r="P100" i="5" a="1"/>
  <c r="P100" i="5"/>
  <c r="Q100" i="5" a="1"/>
  <c r="Q100" i="5" s="1"/>
  <c r="R100" i="5" a="1"/>
  <c r="R100" i="5"/>
  <c r="S100" i="5" a="1"/>
  <c r="S100" i="5"/>
  <c r="T100" i="5" a="1"/>
  <c r="T100" i="5"/>
  <c r="U100" i="5" a="1"/>
  <c r="U100" i="5"/>
  <c r="J101" i="5" a="1"/>
  <c r="J101" i="5" s="1"/>
  <c r="K101" i="5" a="1"/>
  <c r="K101" i="5" s="1"/>
  <c r="L101" i="5" a="1"/>
  <c r="L101" i="5" s="1"/>
  <c r="M101" i="5" a="1"/>
  <c r="M101" i="5" s="1"/>
  <c r="N101" i="5" a="1"/>
  <c r="N101" i="5" s="1"/>
  <c r="O101" i="5" a="1"/>
  <c r="O101" i="5" s="1"/>
  <c r="P101" i="5" a="1"/>
  <c r="P101" i="5" s="1"/>
  <c r="Q101" i="5" a="1"/>
  <c r="Q101" i="5" s="1"/>
  <c r="R101" i="5" a="1"/>
  <c r="R101" i="5"/>
  <c r="S101" i="5" a="1"/>
  <c r="S101" i="5"/>
  <c r="T101" i="5" a="1"/>
  <c r="T101" i="5"/>
  <c r="U101" i="5" a="1"/>
  <c r="U101" i="5"/>
  <c r="J102" i="5" a="1"/>
  <c r="J102" i="5"/>
  <c r="K102" i="5" a="1"/>
  <c r="K102" i="5" s="1"/>
  <c r="L102" i="5" a="1"/>
  <c r="L102" i="5"/>
  <c r="M102" i="5" a="1"/>
  <c r="M102" i="5" s="1"/>
  <c r="N102" i="5" a="1"/>
  <c r="N102" i="5" s="1"/>
  <c r="O102" i="5" a="1"/>
  <c r="O102" i="5" s="1"/>
  <c r="P102" i="5" a="1"/>
  <c r="P102" i="5" s="1"/>
  <c r="Q102" i="5" a="1"/>
  <c r="Q102" i="5" s="1"/>
  <c r="R102" i="5" a="1"/>
  <c r="R102" i="5" s="1"/>
  <c r="S102" i="5" a="1"/>
  <c r="S102" i="5"/>
  <c r="T102" i="5" a="1"/>
  <c r="T102" i="5"/>
  <c r="U102" i="5" a="1"/>
  <c r="U102" i="5"/>
  <c r="J103" i="5" a="1"/>
  <c r="J103" i="5"/>
  <c r="K103" i="5" a="1"/>
  <c r="K103" i="5" s="1"/>
  <c r="L103" i="5" a="1"/>
  <c r="L103" i="5" s="1"/>
  <c r="M103" i="5" a="1"/>
  <c r="M103" i="5"/>
  <c r="N103" i="5" a="1"/>
  <c r="N103" i="5" s="1"/>
  <c r="O103" i="5" a="1"/>
  <c r="O103" i="5" s="1"/>
  <c r="P103" i="5" a="1"/>
  <c r="P103" i="5" s="1"/>
  <c r="Q103" i="5" a="1"/>
  <c r="Q103" i="5" s="1"/>
  <c r="R103" i="5" a="1"/>
  <c r="R103" i="5"/>
  <c r="S103" i="5" a="1"/>
  <c r="S103" i="5" s="1"/>
  <c r="T103" i="5" a="1"/>
  <c r="T103" i="5"/>
  <c r="U103" i="5" a="1"/>
  <c r="U103" i="5"/>
  <c r="J104" i="5" a="1"/>
  <c r="J104" i="5"/>
  <c r="K104" i="5" a="1"/>
  <c r="K104" i="5" s="1"/>
  <c r="L104" i="5" a="1"/>
  <c r="L104" i="5" s="1"/>
  <c r="M104" i="5" a="1"/>
  <c r="M104" i="5" s="1"/>
  <c r="N104" i="5" a="1"/>
  <c r="N104" i="5"/>
  <c r="O104" i="5" a="1"/>
  <c r="O104" i="5" s="1"/>
  <c r="P104" i="5" a="1"/>
  <c r="P104" i="5" s="1"/>
  <c r="Q104" i="5" a="1"/>
  <c r="Q104" i="5" s="1"/>
  <c r="R104" i="5" a="1"/>
  <c r="R104" i="5"/>
  <c r="S104" i="5" a="1"/>
  <c r="S104" i="5"/>
  <c r="T104" i="5" a="1"/>
  <c r="T104" i="5" s="1"/>
  <c r="U104" i="5" a="1"/>
  <c r="U104" i="5"/>
  <c r="J105" i="5" a="1"/>
  <c r="J105" i="5"/>
  <c r="K105" i="5" a="1"/>
  <c r="K105" i="5" s="1"/>
  <c r="L105" i="5" a="1"/>
  <c r="L105" i="5" s="1"/>
  <c r="M105" i="5" a="1"/>
  <c r="M105" i="5" s="1"/>
  <c r="N105" i="5" a="1"/>
  <c r="N105" i="5" s="1"/>
  <c r="O105" i="5" a="1"/>
  <c r="O105" i="5"/>
  <c r="P105" i="5" a="1"/>
  <c r="P105" i="5" s="1"/>
  <c r="Q105" i="5" a="1"/>
  <c r="Q105" i="5" s="1"/>
  <c r="R105" i="5" a="1"/>
  <c r="R105" i="5"/>
  <c r="S105" i="5" a="1"/>
  <c r="S105" i="5"/>
  <c r="T105" i="5" a="1"/>
  <c r="T105" i="5"/>
  <c r="U105" i="5" a="1"/>
  <c r="U105" i="5" s="1"/>
  <c r="J106" i="5" a="1"/>
  <c r="J106" i="5"/>
  <c r="K106" i="5" a="1"/>
  <c r="K106" i="5" s="1"/>
  <c r="L106" i="5" a="1"/>
  <c r="L106" i="5" s="1"/>
  <c r="M106" i="5" a="1"/>
  <c r="M106" i="5" s="1"/>
  <c r="N106" i="5" a="1"/>
  <c r="N106" i="5" s="1"/>
  <c r="O106" i="5" a="1"/>
  <c r="O106" i="5" s="1"/>
  <c r="P106" i="5" a="1"/>
  <c r="P106" i="5"/>
  <c r="Q106" i="5" a="1"/>
  <c r="Q106" i="5" s="1"/>
  <c r="R106" i="5" a="1"/>
  <c r="R106" i="5"/>
  <c r="S106" i="5" a="1"/>
  <c r="S106" i="5"/>
  <c r="T106" i="5" a="1"/>
  <c r="T106" i="5"/>
  <c r="U106" i="5" a="1"/>
  <c r="U106" i="5"/>
  <c r="J107" i="5" a="1"/>
  <c r="J107" i="5" s="1"/>
  <c r="K107" i="5" a="1"/>
  <c r="K107" i="5" s="1"/>
  <c r="L107" i="5" a="1"/>
  <c r="L107" i="5" s="1"/>
  <c r="M107" i="5" a="1"/>
  <c r="M107" i="5" s="1"/>
  <c r="N107" i="5" a="1"/>
  <c r="N107" i="5" s="1"/>
  <c r="O107" i="5" a="1"/>
  <c r="O107" i="5" s="1"/>
  <c r="P107" i="5" a="1"/>
  <c r="P107" i="5" s="1"/>
  <c r="Q107" i="5" a="1"/>
  <c r="Q107" i="5" s="1"/>
  <c r="R107" i="5" a="1"/>
  <c r="R107" i="5"/>
  <c r="S107" i="5" a="1"/>
  <c r="S107" i="5"/>
  <c r="T107" i="5" a="1"/>
  <c r="T107" i="5"/>
  <c r="U107" i="5" a="1"/>
  <c r="U107" i="5"/>
  <c r="J108" i="5" a="1"/>
  <c r="J108" i="5"/>
  <c r="K108" i="5" a="1"/>
  <c r="K108" i="5" s="1"/>
  <c r="L108" i="5" a="1"/>
  <c r="L108" i="5"/>
  <c r="M108" i="5" a="1"/>
  <c r="M108" i="5" s="1"/>
  <c r="N108" i="5" a="1"/>
  <c r="N108" i="5" s="1"/>
  <c r="O108" i="5" a="1"/>
  <c r="O108" i="5" s="1"/>
  <c r="P108" i="5" a="1"/>
  <c r="P108" i="5" s="1"/>
  <c r="Q108" i="5" a="1"/>
  <c r="Q108" i="5" s="1"/>
  <c r="R108" i="5" a="1"/>
  <c r="R108" i="5" s="1"/>
  <c r="S108" i="5" a="1"/>
  <c r="S108" i="5" s="1"/>
  <c r="T108" i="5" a="1"/>
  <c r="T108" i="5"/>
  <c r="U108" i="5" a="1"/>
  <c r="U108" i="5"/>
  <c r="J109" i="5" a="1"/>
  <c r="J109" i="5"/>
  <c r="K109" i="5" a="1"/>
  <c r="K109" i="5" s="1"/>
  <c r="L109" i="5" a="1"/>
  <c r="L109" i="5"/>
  <c r="M109" i="5" a="1"/>
  <c r="M109" i="5"/>
  <c r="N109" i="5" a="1"/>
  <c r="N109" i="5" s="1"/>
  <c r="O109" i="5" a="1"/>
  <c r="O109" i="5" s="1"/>
  <c r="P109" i="5" a="1"/>
  <c r="P109" i="5" s="1"/>
  <c r="Q109" i="5" a="1"/>
  <c r="Q109" i="5" s="1"/>
  <c r="R109" i="5" a="1"/>
  <c r="R109" i="5"/>
  <c r="S109" i="5" a="1"/>
  <c r="S109" i="5" s="1"/>
  <c r="T109" i="5" a="1"/>
  <c r="T109" i="5" s="1"/>
  <c r="U109" i="5" a="1"/>
  <c r="U109" i="5"/>
  <c r="J110" i="5" a="1"/>
  <c r="J110" i="5"/>
  <c r="K110" i="5" a="1"/>
  <c r="K110" i="5" s="1"/>
  <c r="L110" i="5" a="1"/>
  <c r="L110" i="5" s="1"/>
  <c r="M110" i="5" a="1"/>
  <c r="M110" i="5"/>
  <c r="N110" i="5" a="1"/>
  <c r="N110" i="5"/>
  <c r="O110" i="5" a="1"/>
  <c r="O110" i="5" s="1"/>
  <c r="P110" i="5" a="1"/>
  <c r="P110" i="5"/>
  <c r="Q110" i="5" a="1"/>
  <c r="Q110" i="5" s="1"/>
  <c r="R110" i="5" a="1"/>
  <c r="R110" i="5" s="1"/>
  <c r="S110" i="5" a="1"/>
  <c r="S110" i="5"/>
  <c r="T110" i="5" a="1"/>
  <c r="T110" i="5" s="1"/>
  <c r="U110" i="5" a="1"/>
  <c r="U110" i="5" s="1"/>
  <c r="J111" i="5" a="1"/>
  <c r="J111" i="5" s="1"/>
  <c r="K111" i="5" a="1"/>
  <c r="K111" i="5" s="1"/>
  <c r="L111" i="5" a="1"/>
  <c r="L111" i="5" s="1"/>
  <c r="M111" i="5" a="1"/>
  <c r="M111" i="5" s="1"/>
  <c r="N111" i="5" a="1"/>
  <c r="N111" i="5"/>
  <c r="O111" i="5" a="1"/>
  <c r="O111" i="5"/>
  <c r="P111" i="5" a="1"/>
  <c r="P111" i="5" s="1"/>
  <c r="Q111" i="5" a="1"/>
  <c r="Q111" i="5" s="1"/>
  <c r="R111" i="5" a="1"/>
  <c r="R111" i="5"/>
  <c r="S111" i="5" a="1"/>
  <c r="S111" i="5" s="1"/>
  <c r="T111" i="5" a="1"/>
  <c r="T111" i="5" s="1"/>
  <c r="U111" i="5" a="1"/>
  <c r="U111" i="5"/>
  <c r="J112" i="5" a="1"/>
  <c r="J112" i="5"/>
  <c r="K112" i="5" a="1"/>
  <c r="K112" i="5"/>
  <c r="L112" i="5" a="1"/>
  <c r="L112" i="5"/>
  <c r="M112" i="5" a="1"/>
  <c r="M112" i="5" s="1"/>
  <c r="N112" i="5" a="1"/>
  <c r="N112" i="5" s="1"/>
  <c r="O112" i="5" a="1"/>
  <c r="O112" i="5"/>
  <c r="P112" i="5" a="1"/>
  <c r="P112" i="5"/>
  <c r="Q112" i="5" a="1"/>
  <c r="Q112" i="5" s="1"/>
  <c r="R112" i="5" a="1"/>
  <c r="R112" i="5" s="1"/>
  <c r="S112" i="5" a="1"/>
  <c r="S112" i="5" s="1"/>
  <c r="T112" i="5" a="1"/>
  <c r="T112" i="5" s="1"/>
  <c r="U112" i="5" a="1"/>
  <c r="U112" i="5" s="1"/>
  <c r="J113" i="5" a="1"/>
  <c r="J113" i="5" s="1"/>
  <c r="K113" i="5" a="1"/>
  <c r="K113" i="5"/>
  <c r="L113" i="5" a="1"/>
  <c r="L113" i="5"/>
  <c r="M113" i="5" a="1"/>
  <c r="M113" i="5" s="1"/>
  <c r="N113" i="5" a="1"/>
  <c r="N113" i="5"/>
  <c r="O113" i="5" a="1"/>
  <c r="O113" i="5" s="1"/>
  <c r="P113" i="5" a="1"/>
  <c r="P113" i="5"/>
  <c r="Q113" i="5" a="1"/>
  <c r="Q113" i="5"/>
  <c r="R113" i="5" a="1"/>
  <c r="R113" i="5" s="1"/>
  <c r="S113" i="5" a="1"/>
  <c r="S113" i="5" s="1"/>
  <c r="T113" i="5" a="1"/>
  <c r="T113" i="5"/>
  <c r="U113" i="5" a="1"/>
  <c r="U113" i="5" s="1"/>
  <c r="J114" i="5" a="1"/>
  <c r="J114" i="5" s="1"/>
  <c r="K114" i="5" a="1"/>
  <c r="K114" i="5" s="1"/>
  <c r="L114" i="5" a="1"/>
  <c r="L114" i="5"/>
  <c r="M114" i="5" a="1"/>
  <c r="M114" i="5" s="1"/>
  <c r="N114" i="5" a="1"/>
  <c r="N114" i="5" s="1"/>
  <c r="O114" i="5" a="1"/>
  <c r="O114" i="5"/>
  <c r="P114" i="5" a="1"/>
  <c r="P114" i="5" s="1"/>
  <c r="Q114" i="5" a="1"/>
  <c r="Q114" i="5"/>
  <c r="R114" i="5" a="1"/>
  <c r="R114" i="5"/>
  <c r="S114" i="5" a="1"/>
  <c r="S114" i="5" s="1"/>
  <c r="T114" i="5" a="1"/>
  <c r="T114" i="5"/>
  <c r="U114" i="5" a="1"/>
  <c r="U114" i="5"/>
  <c r="J115" i="5" a="1"/>
  <c r="J115" i="5" s="1"/>
  <c r="K115" i="5" a="1"/>
  <c r="K115" i="5" s="1"/>
  <c r="L115" i="5" a="1"/>
  <c r="L115" i="5" s="1"/>
  <c r="M115" i="5" a="1"/>
  <c r="M115" i="5" s="1"/>
  <c r="N115" i="5" a="1"/>
  <c r="N115" i="5" s="1"/>
  <c r="O115" i="5" a="1"/>
  <c r="O115" i="5" s="1"/>
  <c r="P115" i="5" a="1"/>
  <c r="P115" i="5"/>
  <c r="Q115" i="5" a="1"/>
  <c r="Q115" i="5" s="1"/>
  <c r="R115" i="5" a="1"/>
  <c r="R115" i="5"/>
  <c r="S115" i="5" a="1"/>
  <c r="S115" i="5" s="1"/>
  <c r="T115" i="5" a="1"/>
  <c r="T115" i="5"/>
  <c r="U115" i="5" a="1"/>
  <c r="U115" i="5"/>
  <c r="J116" i="5" a="1"/>
  <c r="J116" i="5"/>
  <c r="K116" i="5" a="1"/>
  <c r="K116" i="5" s="1"/>
  <c r="L116" i="5" a="1"/>
  <c r="L116" i="5" s="1"/>
  <c r="M116" i="5" a="1"/>
  <c r="M116" i="5" s="1"/>
  <c r="N116" i="5" a="1"/>
  <c r="N116" i="5"/>
  <c r="O116" i="5" a="1"/>
  <c r="O116" i="5" s="1"/>
  <c r="P116" i="5" a="1"/>
  <c r="P116" i="5" s="1"/>
  <c r="Q116" i="5" a="1"/>
  <c r="Q116" i="5"/>
  <c r="R116" i="5" a="1"/>
  <c r="R116" i="5" s="1"/>
  <c r="S116" i="5" a="1"/>
  <c r="S116" i="5" s="1"/>
  <c r="T116" i="5" a="1"/>
  <c r="T116" i="5" s="1"/>
  <c r="U116" i="5" a="1"/>
  <c r="U116" i="5"/>
  <c r="J117" i="5" a="1"/>
  <c r="J117" i="5"/>
  <c r="K117" i="5" a="1"/>
  <c r="K117" i="5"/>
  <c r="L117" i="5" a="1"/>
  <c r="L117" i="5" s="1"/>
  <c r="M117" i="5" a="1"/>
  <c r="M117" i="5" s="1"/>
  <c r="N117" i="5" a="1"/>
  <c r="N117" i="5"/>
  <c r="O117" i="5" a="1"/>
  <c r="O117" i="5"/>
  <c r="P117" i="5" a="1"/>
  <c r="P117" i="5" s="1"/>
  <c r="Q117" i="5" a="1"/>
  <c r="Q117" i="5" s="1"/>
  <c r="R117" i="5" a="1"/>
  <c r="R117" i="5"/>
  <c r="S117" i="5" a="1"/>
  <c r="S117" i="5" s="1"/>
  <c r="T117" i="5" a="1"/>
  <c r="T117" i="5" s="1"/>
  <c r="U117" i="5" a="1"/>
  <c r="U117" i="5" s="1"/>
  <c r="J118" i="5" a="1"/>
  <c r="J118" i="5"/>
  <c r="K118" i="5" a="1"/>
  <c r="K118" i="5"/>
  <c r="L118" i="5" a="1"/>
  <c r="L118" i="5"/>
  <c r="M118" i="5" a="1"/>
  <c r="M118" i="5" s="1"/>
  <c r="N118" i="5" a="1"/>
  <c r="N118" i="5" s="1"/>
  <c r="O118" i="5" a="1"/>
  <c r="O118" i="5"/>
  <c r="P118" i="5" a="1"/>
  <c r="P118" i="5"/>
  <c r="Q118" i="5" a="1"/>
  <c r="Q118" i="5" s="1"/>
  <c r="R118" i="5" a="1"/>
  <c r="R118" i="5" s="1"/>
  <c r="S118" i="5" a="1"/>
  <c r="S118" i="5" s="1"/>
  <c r="T118" i="5" a="1"/>
  <c r="T118" i="5" s="1"/>
  <c r="U118" i="5" a="1"/>
  <c r="U118" i="5" s="1"/>
  <c r="J119" i="5" a="1"/>
  <c r="J119" i="5" s="1"/>
  <c r="K119" i="5" a="1"/>
  <c r="K119" i="5"/>
  <c r="L119" i="5" a="1"/>
  <c r="L119" i="5"/>
  <c r="M119" i="5" a="1"/>
  <c r="M119" i="5" s="1"/>
  <c r="N119" i="5" a="1"/>
  <c r="N119" i="5"/>
  <c r="O119" i="5" a="1"/>
  <c r="O119" i="5" s="1"/>
  <c r="P119" i="5" a="1"/>
  <c r="P119" i="5"/>
  <c r="Q119" i="5" a="1"/>
  <c r="Q119" i="5"/>
  <c r="R119" i="5" a="1"/>
  <c r="R119" i="5" s="1"/>
  <c r="S119" i="5" a="1"/>
  <c r="S119" i="5" s="1"/>
  <c r="T119" i="5" a="1"/>
  <c r="T119" i="5"/>
  <c r="U119" i="5" a="1"/>
  <c r="U119" i="5" s="1"/>
  <c r="J120" i="5" a="1"/>
  <c r="J120" i="5" s="1"/>
  <c r="K120" i="5" a="1"/>
  <c r="K120" i="5" s="1"/>
  <c r="L120" i="5" a="1"/>
  <c r="L120" i="5"/>
  <c r="M120" i="5" a="1"/>
  <c r="M120" i="5" s="1"/>
  <c r="N120" i="5" a="1"/>
  <c r="N120" i="5" s="1"/>
  <c r="O120" i="5" a="1"/>
  <c r="O120" i="5"/>
  <c r="P120" i="5" a="1"/>
  <c r="P120" i="5" s="1"/>
  <c r="Q120" i="5" a="1"/>
  <c r="Q120" i="5"/>
  <c r="R120" i="5" a="1"/>
  <c r="R120" i="5"/>
  <c r="S120" i="5" a="1"/>
  <c r="S120" i="5" s="1"/>
  <c r="T120" i="5" a="1"/>
  <c r="T120" i="5"/>
  <c r="U120" i="5" a="1"/>
  <c r="U120" i="5"/>
  <c r="J121" i="5" a="1"/>
  <c r="J121" i="5" s="1"/>
  <c r="K121" i="5" a="1"/>
  <c r="K121" i="5" s="1"/>
  <c r="L121" i="5" a="1"/>
  <c r="L121" i="5" s="1"/>
  <c r="M121" i="5" a="1"/>
  <c r="M121" i="5" s="1"/>
  <c r="N121" i="5" a="1"/>
  <c r="N121" i="5" s="1"/>
  <c r="O121" i="5" a="1"/>
  <c r="O121" i="5" s="1"/>
  <c r="P121" i="5" a="1"/>
  <c r="P121" i="5"/>
  <c r="Q121" i="5" a="1"/>
  <c r="Q121" i="5" s="1"/>
  <c r="R121" i="5" a="1"/>
  <c r="R121" i="5"/>
  <c r="S121" i="5" a="1"/>
  <c r="S121" i="5" s="1"/>
  <c r="T121" i="5" a="1"/>
  <c r="T121" i="5"/>
  <c r="U121" i="5" a="1"/>
  <c r="U121" i="5"/>
  <c r="J122" i="5" a="1"/>
  <c r="J122" i="5"/>
  <c r="K122" i="5" a="1"/>
  <c r="K122" i="5" s="1"/>
  <c r="L122" i="5" a="1"/>
  <c r="L122" i="5" s="1"/>
  <c r="M122" i="5" a="1"/>
  <c r="M122" i="5" s="1"/>
  <c r="N122" i="5" a="1"/>
  <c r="N122" i="5"/>
  <c r="O122" i="5" a="1"/>
  <c r="O122" i="5" s="1"/>
  <c r="P122" i="5" a="1"/>
  <c r="P122" i="5" s="1"/>
  <c r="Q122" i="5" a="1"/>
  <c r="Q122" i="5"/>
  <c r="R122" i="5" a="1"/>
  <c r="R122" i="5" s="1"/>
  <c r="S122" i="5" a="1"/>
  <c r="S122" i="5" s="1"/>
  <c r="T122" i="5" a="1"/>
  <c r="T122" i="5" s="1"/>
  <c r="U122" i="5" a="1"/>
  <c r="U122" i="5"/>
  <c r="J123" i="5" a="1"/>
  <c r="J123" i="5"/>
  <c r="K123" i="5" a="1"/>
  <c r="K123" i="5"/>
  <c r="L123" i="5" a="1"/>
  <c r="L123" i="5" s="1"/>
  <c r="M123" i="5" a="1"/>
  <c r="M123" i="5" s="1"/>
  <c r="N123" i="5" a="1"/>
  <c r="N123" i="5"/>
  <c r="O123" i="5" a="1"/>
  <c r="O123" i="5"/>
  <c r="P123" i="5" a="1"/>
  <c r="P123" i="5" s="1"/>
  <c r="Q123" i="5" a="1"/>
  <c r="Q123" i="5" s="1"/>
  <c r="R123" i="5" a="1"/>
  <c r="R123" i="5"/>
  <c r="S123" i="5" a="1"/>
  <c r="S123" i="5" s="1"/>
  <c r="T123" i="5" a="1"/>
  <c r="T123" i="5" s="1"/>
  <c r="U123" i="5" a="1"/>
  <c r="U123" i="5" s="1"/>
  <c r="J124" i="5" a="1"/>
  <c r="J124" i="5"/>
  <c r="K124" i="5" a="1"/>
  <c r="K124" i="5"/>
  <c r="L124" i="5" a="1"/>
  <c r="L124" i="5"/>
  <c r="M124" i="5" a="1"/>
  <c r="M124" i="5" s="1"/>
  <c r="N124" i="5" a="1"/>
  <c r="N124" i="5" s="1"/>
  <c r="O124" i="5" a="1"/>
  <c r="O124" i="5"/>
  <c r="P124" i="5" a="1"/>
  <c r="P124" i="5"/>
  <c r="Q124" i="5" a="1"/>
  <c r="Q124" i="5" s="1"/>
  <c r="R124" i="5" a="1"/>
  <c r="R124" i="5" s="1"/>
  <c r="S124" i="5" a="1"/>
  <c r="S124" i="5" s="1"/>
  <c r="T124" i="5" a="1"/>
  <c r="T124" i="5" s="1"/>
  <c r="U124" i="5" a="1"/>
  <c r="U124" i="5" s="1"/>
  <c r="J125" i="5" a="1"/>
  <c r="J125" i="5" s="1"/>
  <c r="K125" i="5" a="1"/>
  <c r="K125" i="5"/>
  <c r="L125" i="5" a="1"/>
  <c r="L125" i="5"/>
  <c r="M125" i="5" a="1"/>
  <c r="M125" i="5" s="1"/>
  <c r="N125" i="5" a="1"/>
  <c r="N125" i="5"/>
  <c r="O125" i="5" a="1"/>
  <c r="O125" i="5" s="1"/>
  <c r="P125" i="5" a="1"/>
  <c r="P125" i="5"/>
  <c r="Q125" i="5" a="1"/>
  <c r="Q125" i="5"/>
  <c r="R125" i="5" a="1"/>
  <c r="R125" i="5" s="1"/>
  <c r="S125" i="5" a="1"/>
  <c r="S125" i="5" s="1"/>
  <c r="T125" i="5" a="1"/>
  <c r="T125" i="5"/>
  <c r="U125" i="5" a="1"/>
  <c r="U125" i="5" s="1"/>
  <c r="J126" i="5" a="1"/>
  <c r="J126" i="5" s="1"/>
  <c r="K126" i="5" a="1"/>
  <c r="K126" i="5" s="1"/>
  <c r="L126" i="5" a="1"/>
  <c r="L126" i="5"/>
  <c r="M126" i="5" a="1"/>
  <c r="M126" i="5" s="1"/>
  <c r="N126" i="5" a="1"/>
  <c r="N126" i="5" s="1"/>
  <c r="O126" i="5" a="1"/>
  <c r="O126" i="5"/>
  <c r="P126" i="5" a="1"/>
  <c r="P126" i="5" s="1"/>
  <c r="Q126" i="5" a="1"/>
  <c r="Q126" i="5"/>
  <c r="R126" i="5" a="1"/>
  <c r="R126" i="5"/>
  <c r="S126" i="5" a="1"/>
  <c r="S126" i="5" s="1"/>
  <c r="T126" i="5" a="1"/>
  <c r="T126" i="5"/>
  <c r="U126" i="5" a="1"/>
  <c r="U126" i="5"/>
  <c r="J127" i="5" a="1"/>
  <c r="J127" i="5" s="1"/>
  <c r="K127" i="5" a="1"/>
  <c r="K127" i="5" s="1"/>
  <c r="L127" i="5" a="1"/>
  <c r="L127" i="5" s="1"/>
  <c r="M127" i="5" a="1"/>
  <c r="M127" i="5" s="1"/>
  <c r="N127" i="5" a="1"/>
  <c r="N127" i="5" s="1"/>
  <c r="O127" i="5" a="1"/>
  <c r="O127" i="5" s="1"/>
  <c r="P127" i="5" a="1"/>
  <c r="P127" i="5"/>
  <c r="Q127" i="5" a="1"/>
  <c r="Q127" i="5" s="1"/>
  <c r="R127" i="5" a="1"/>
  <c r="R127" i="5"/>
  <c r="S127" i="5" a="1"/>
  <c r="S127" i="5" s="1"/>
  <c r="T127" i="5" a="1"/>
  <c r="T127" i="5"/>
  <c r="U127" i="5" a="1"/>
  <c r="U127" i="5"/>
  <c r="J128" i="5" a="1"/>
  <c r="J128" i="5"/>
  <c r="K128" i="5" a="1"/>
  <c r="K128" i="5" s="1"/>
  <c r="L128" i="5" a="1"/>
  <c r="L128" i="5" s="1"/>
  <c r="M128" i="5" a="1"/>
  <c r="M128" i="5" s="1"/>
  <c r="N128" i="5" a="1"/>
  <c r="N128" i="5"/>
  <c r="O128" i="5" a="1"/>
  <c r="O128" i="5" s="1"/>
  <c r="P128" i="5" a="1"/>
  <c r="P128" i="5" s="1"/>
  <c r="Q128" i="5" a="1"/>
  <c r="Q128" i="5"/>
  <c r="R128" i="5" a="1"/>
  <c r="R128" i="5" s="1"/>
  <c r="S128" i="5" a="1"/>
  <c r="S128" i="5" s="1"/>
  <c r="T128" i="5" a="1"/>
  <c r="T128" i="5" s="1"/>
  <c r="U128" i="5" a="1"/>
  <c r="U128" i="5"/>
  <c r="J129" i="5" a="1"/>
  <c r="J129" i="5"/>
  <c r="K129" i="5" a="1"/>
  <c r="K129" i="5"/>
  <c r="L129" i="5" a="1"/>
  <c r="L129" i="5" s="1"/>
  <c r="M129" i="5" a="1"/>
  <c r="M129" i="5" s="1"/>
  <c r="N129" i="5" a="1"/>
  <c r="N129" i="5"/>
  <c r="O129" i="5" a="1"/>
  <c r="O129" i="5"/>
  <c r="P129" i="5" a="1"/>
  <c r="P129" i="5" s="1"/>
  <c r="Q129" i="5" a="1"/>
  <c r="Q129" i="5" s="1"/>
  <c r="R129" i="5" a="1"/>
  <c r="R129" i="5"/>
  <c r="S129" i="5" a="1"/>
  <c r="S129" i="5" s="1"/>
  <c r="T129" i="5" a="1"/>
  <c r="T129" i="5" s="1"/>
  <c r="U129" i="5" a="1"/>
  <c r="U129" i="5" s="1"/>
  <c r="J130" i="5" a="1"/>
  <c r="J130" i="5"/>
  <c r="K130" i="5" a="1"/>
  <c r="K130" i="5"/>
  <c r="L130" i="5" a="1"/>
  <c r="L130" i="5"/>
  <c r="M130" i="5" a="1"/>
  <c r="M130" i="5" s="1"/>
  <c r="N130" i="5" a="1"/>
  <c r="N130" i="5" s="1"/>
  <c r="O130" i="5" a="1"/>
  <c r="O130" i="5"/>
  <c r="P130" i="5" a="1"/>
  <c r="P130" i="5"/>
  <c r="Q130" i="5" a="1"/>
  <c r="Q130" i="5" s="1"/>
  <c r="R130" i="5" a="1"/>
  <c r="R130" i="5" s="1"/>
  <c r="S130" i="5" a="1"/>
  <c r="S130" i="5" s="1"/>
  <c r="T130" i="5" a="1"/>
  <c r="T130" i="5" s="1"/>
  <c r="U130" i="5" a="1"/>
  <c r="U130" i="5" s="1"/>
  <c r="J131" i="5" a="1"/>
  <c r="J131" i="5" s="1"/>
  <c r="K131" i="5" a="1"/>
  <c r="K131" i="5"/>
  <c r="L131" i="5" a="1"/>
  <c r="L131" i="5"/>
  <c r="M131" i="5" a="1"/>
  <c r="M131" i="5" s="1"/>
  <c r="N131" i="5" a="1"/>
  <c r="N131" i="5"/>
  <c r="O131" i="5" a="1"/>
  <c r="O131" i="5" s="1"/>
  <c r="P131" i="5" a="1"/>
  <c r="P131" i="5"/>
  <c r="Q131" i="5" a="1"/>
  <c r="Q131" i="5"/>
  <c r="R131" i="5" a="1"/>
  <c r="R131" i="5" s="1"/>
  <c r="S131" i="5" a="1"/>
  <c r="S131" i="5" s="1"/>
  <c r="T131" i="5" a="1"/>
  <c r="T131" i="5"/>
  <c r="U131" i="5" a="1"/>
  <c r="U131" i="5" s="1"/>
  <c r="J132" i="5" a="1"/>
  <c r="J132" i="5" s="1"/>
  <c r="K132" i="5" a="1"/>
  <c r="K132" i="5" s="1"/>
  <c r="L132" i="5" a="1"/>
  <c r="L132" i="5"/>
  <c r="M132" i="5" a="1"/>
  <c r="M132" i="5" s="1"/>
  <c r="N132" i="5" a="1"/>
  <c r="N132" i="5" s="1"/>
  <c r="O132" i="5" a="1"/>
  <c r="O132" i="5"/>
  <c r="P132" i="5" a="1"/>
  <c r="P132" i="5" s="1"/>
  <c r="Q132" i="5" a="1"/>
  <c r="Q132" i="5"/>
  <c r="R132" i="5" a="1"/>
  <c r="R132" i="5"/>
  <c r="S132" i="5" a="1"/>
  <c r="S132" i="5" s="1"/>
  <c r="T132" i="5" a="1"/>
  <c r="T132" i="5"/>
  <c r="U132" i="5" a="1"/>
  <c r="U132" i="5"/>
  <c r="J133" i="5" a="1"/>
  <c r="J133" i="5" s="1"/>
  <c r="K133" i="5" a="1"/>
  <c r="K133" i="5" s="1"/>
  <c r="L133" i="5" a="1"/>
  <c r="L133" i="5" s="1"/>
  <c r="M133" i="5" a="1"/>
  <c r="M133" i="5" s="1"/>
  <c r="N133" i="5" a="1"/>
  <c r="N133" i="5" s="1"/>
  <c r="O133" i="5" a="1"/>
  <c r="O133" i="5" s="1"/>
  <c r="P133" i="5" a="1"/>
  <c r="P133" i="5"/>
  <c r="Q133" i="5" a="1"/>
  <c r="Q133" i="5" s="1"/>
  <c r="R133" i="5" a="1"/>
  <c r="R133" i="5"/>
  <c r="S133" i="5" a="1"/>
  <c r="S133" i="5" s="1"/>
  <c r="T133" i="5" a="1"/>
  <c r="T133" i="5"/>
  <c r="U133" i="5" a="1"/>
  <c r="U133" i="5"/>
  <c r="J134" i="5" a="1"/>
  <c r="J134" i="5"/>
  <c r="K134" i="5" a="1"/>
  <c r="K134" i="5" s="1"/>
  <c r="L134" i="5" a="1"/>
  <c r="L134" i="5" s="1"/>
  <c r="M134" i="5" a="1"/>
  <c r="M134" i="5" s="1"/>
  <c r="N134" i="5" a="1"/>
  <c r="N134" i="5"/>
  <c r="O134" i="5" a="1"/>
  <c r="O134" i="5" s="1"/>
  <c r="P134" i="5" a="1"/>
  <c r="P134" i="5" s="1"/>
  <c r="Q134" i="5" a="1"/>
  <c r="Q134" i="5"/>
  <c r="R134" i="5" a="1"/>
  <c r="R134" i="5" s="1"/>
  <c r="S134" i="5" a="1"/>
  <c r="S134" i="5" s="1"/>
  <c r="T134" i="5" a="1"/>
  <c r="T134" i="5" s="1"/>
  <c r="U134" i="5" a="1"/>
  <c r="U134" i="5"/>
  <c r="J135" i="5" a="1"/>
  <c r="J135" i="5"/>
  <c r="K135" i="5" a="1"/>
  <c r="K135" i="5"/>
  <c r="L135" i="5" a="1"/>
  <c r="L135" i="5" s="1"/>
  <c r="M135" i="5" a="1"/>
  <c r="M135" i="5" s="1"/>
  <c r="N135" i="5" a="1"/>
  <c r="N135" i="5"/>
  <c r="O135" i="5" a="1"/>
  <c r="O135" i="5"/>
  <c r="P135" i="5" a="1"/>
  <c r="P135" i="5" s="1"/>
  <c r="Q135" i="5" a="1"/>
  <c r="Q135" i="5" s="1"/>
  <c r="R135" i="5" a="1"/>
  <c r="R135" i="5"/>
  <c r="S135" i="5" a="1"/>
  <c r="S135" i="5" s="1"/>
  <c r="T135" i="5" a="1"/>
  <c r="T135" i="5" s="1"/>
  <c r="U135" i="5" a="1"/>
  <c r="U135" i="5" s="1"/>
  <c r="J136" i="5" a="1"/>
  <c r="J136" i="5"/>
  <c r="K136" i="5" a="1"/>
  <c r="K136" i="5"/>
  <c r="L136" i="5" a="1"/>
  <c r="L136" i="5"/>
  <c r="M136" i="5" a="1"/>
  <c r="M136" i="5" s="1"/>
  <c r="N136" i="5" a="1"/>
  <c r="N136" i="5" s="1"/>
  <c r="O136" i="5" a="1"/>
  <c r="O136" i="5"/>
  <c r="P136" i="5" a="1"/>
  <c r="P136" i="5"/>
  <c r="Q136" i="5" a="1"/>
  <c r="Q136" i="5" s="1"/>
  <c r="R136" i="5" a="1"/>
  <c r="R136" i="5" s="1"/>
  <c r="S136" i="5" a="1"/>
  <c r="S136" i="5" s="1"/>
  <c r="T136" i="5" a="1"/>
  <c r="T136" i="5" s="1"/>
  <c r="U136" i="5" a="1"/>
  <c r="U136" i="5" s="1"/>
  <c r="J137" i="5" a="1"/>
  <c r="J137" i="5" s="1"/>
  <c r="K137" i="5" a="1"/>
  <c r="K137" i="5"/>
  <c r="L137" i="5" a="1"/>
  <c r="L137" i="5"/>
  <c r="M137" i="5" a="1"/>
  <c r="M137" i="5" s="1"/>
  <c r="N137" i="5" a="1"/>
  <c r="N137" i="5"/>
  <c r="O137" i="5" a="1"/>
  <c r="O137" i="5" s="1"/>
  <c r="P137" i="5" a="1"/>
  <c r="P137" i="5"/>
  <c r="Q137" i="5" a="1"/>
  <c r="Q137" i="5"/>
  <c r="R137" i="5" a="1"/>
  <c r="R137" i="5" s="1"/>
  <c r="S137" i="5" a="1"/>
  <c r="S137" i="5" s="1"/>
  <c r="T137" i="5" a="1"/>
  <c r="T137" i="5"/>
  <c r="U137" i="5" a="1"/>
  <c r="U137" i="5" s="1"/>
  <c r="J138" i="5" a="1"/>
  <c r="J138" i="5"/>
  <c r="K138" i="5" a="1"/>
  <c r="K138" i="5" s="1"/>
  <c r="L138" i="5" a="1"/>
  <c r="L138" i="5" s="1"/>
  <c r="M138" i="5" a="1"/>
  <c r="M138" i="5" s="1"/>
  <c r="N138" i="5" a="1"/>
  <c r="N138" i="5"/>
  <c r="O138" i="5" a="1"/>
  <c r="O138" i="5" s="1"/>
  <c r="P138" i="5" a="1"/>
  <c r="P138" i="5"/>
  <c r="Q138" i="5" a="1"/>
  <c r="Q138" i="5" s="1"/>
  <c r="R138" i="5" a="1"/>
  <c r="R138" i="5" s="1"/>
  <c r="S138" i="5" a="1"/>
  <c r="S138" i="5" s="1"/>
  <c r="T138" i="5" a="1"/>
  <c r="T138" i="5" s="1"/>
  <c r="U138" i="5" a="1"/>
  <c r="U138" i="5" s="1"/>
  <c r="J139" i="5" a="1"/>
  <c r="J139" i="5"/>
  <c r="K139" i="5" a="1"/>
  <c r="K139" i="5" s="1"/>
  <c r="L139" i="5" a="1"/>
  <c r="L139" i="5" s="1"/>
  <c r="M139" i="5" a="1"/>
  <c r="M139" i="5" s="1"/>
  <c r="N139" i="5" a="1"/>
  <c r="N139" i="5" s="1"/>
  <c r="O139" i="5" a="1"/>
  <c r="O139" i="5" s="1"/>
  <c r="P139" i="5" a="1"/>
  <c r="P139" i="5"/>
  <c r="Q139" i="5" a="1"/>
  <c r="Q139" i="5" s="1"/>
  <c r="R139" i="5" a="1"/>
  <c r="R139" i="5" s="1"/>
  <c r="S139" i="5" a="1"/>
  <c r="S139" i="5" s="1"/>
  <c r="T139" i="5" a="1"/>
  <c r="T139" i="5" s="1"/>
  <c r="U139" i="5" a="1"/>
  <c r="U139" i="5" s="1"/>
  <c r="J140" i="5" a="1"/>
  <c r="J140" i="5" s="1"/>
  <c r="K140" i="5" a="1"/>
  <c r="K140" i="5" s="1"/>
  <c r="L140" i="5" a="1"/>
  <c r="L140" i="5" s="1"/>
  <c r="M140" i="5" a="1"/>
  <c r="M140" i="5" s="1"/>
  <c r="N140" i="5" a="1"/>
  <c r="N140" i="5" s="1"/>
  <c r="O140" i="5" a="1"/>
  <c r="O140" i="5" s="1"/>
  <c r="P140" i="5" a="1"/>
  <c r="P140" i="5" s="1"/>
  <c r="Q140" i="5" a="1"/>
  <c r="Q140" i="5" s="1"/>
  <c r="R140" i="5" a="1"/>
  <c r="R140" i="5" s="1"/>
  <c r="S140" i="5" a="1"/>
  <c r="S140" i="5" s="1"/>
  <c r="T140" i="5" a="1"/>
  <c r="T140" i="5" s="1"/>
  <c r="U140" i="5" a="1"/>
  <c r="U140" i="5" s="1"/>
  <c r="J141" i="5" a="1"/>
  <c r="J141" i="5" s="1"/>
  <c r="K141" i="5" a="1"/>
  <c r="K141" i="5" s="1"/>
  <c r="L141" i="5" a="1"/>
  <c r="L141" i="5" s="1"/>
  <c r="M141" i="5" a="1"/>
  <c r="M141" i="5" s="1"/>
  <c r="N141" i="5" a="1"/>
  <c r="N141" i="5" s="1"/>
  <c r="O141" i="5" a="1"/>
  <c r="O141" i="5" s="1"/>
  <c r="P141" i="5" a="1"/>
  <c r="P141" i="5" s="1"/>
  <c r="Q141" i="5" a="1"/>
  <c r="Q141" i="5" s="1"/>
  <c r="R141" i="5" a="1"/>
  <c r="R141" i="5" s="1"/>
  <c r="S141" i="5" a="1"/>
  <c r="S141" i="5" s="1"/>
  <c r="T141" i="5" a="1"/>
  <c r="T141" i="5" s="1"/>
  <c r="U141" i="5" a="1"/>
  <c r="U141" i="5" s="1"/>
  <c r="J142" i="5" a="1"/>
  <c r="J142" i="5" s="1"/>
  <c r="K142" i="5" a="1"/>
  <c r="K142" i="5" s="1"/>
  <c r="L142" i="5" a="1"/>
  <c r="L142" i="5" s="1"/>
  <c r="M142" i="5" a="1"/>
  <c r="M142" i="5" s="1"/>
  <c r="N142" i="5" a="1"/>
  <c r="N142" i="5" s="1"/>
  <c r="O142" i="5" a="1"/>
  <c r="O142" i="5" s="1"/>
  <c r="P142" i="5" a="1"/>
  <c r="P142" i="5" s="1"/>
  <c r="Q142" i="5" a="1"/>
  <c r="Q142" i="5" s="1"/>
  <c r="R142" i="5" a="1"/>
  <c r="R142" i="5" s="1"/>
  <c r="S142" i="5" a="1"/>
  <c r="S142" i="5" s="1"/>
  <c r="T142" i="5" a="1"/>
  <c r="T142" i="5" s="1"/>
  <c r="U142" i="5" a="1"/>
  <c r="U142" i="5" s="1"/>
  <c r="J143" i="5" a="1"/>
  <c r="J143" i="5" s="1"/>
  <c r="K143" i="5" a="1"/>
  <c r="K143" i="5" s="1"/>
  <c r="L143" i="5" a="1"/>
  <c r="L143" i="5" s="1"/>
  <c r="M143" i="5" a="1"/>
  <c r="M143" i="5" s="1"/>
  <c r="N143" i="5" a="1"/>
  <c r="N143" i="5" s="1"/>
  <c r="O143" i="5" a="1"/>
  <c r="O143" i="5" s="1"/>
  <c r="P143" i="5" a="1"/>
  <c r="P143" i="5" s="1"/>
  <c r="Q143" i="5" a="1"/>
  <c r="Q143" i="5" s="1"/>
  <c r="R143" i="5" a="1"/>
  <c r="R143" i="5" s="1"/>
  <c r="S143" i="5" a="1"/>
  <c r="S143" i="5" s="1"/>
  <c r="T143" i="5" a="1"/>
  <c r="T143" i="5" s="1"/>
  <c r="U143" i="5" a="1"/>
  <c r="U143" i="5" s="1"/>
  <c r="J144" i="5" a="1"/>
  <c r="J144" i="5" s="1"/>
  <c r="K144" i="5" a="1"/>
  <c r="K144" i="5" s="1"/>
  <c r="L144" i="5" a="1"/>
  <c r="L144" i="5" s="1"/>
  <c r="M144" i="5" a="1"/>
  <c r="M144" i="5" s="1"/>
  <c r="N144" i="5" a="1"/>
  <c r="N144" i="5" s="1"/>
  <c r="O144" i="5" a="1"/>
  <c r="O144" i="5" s="1"/>
  <c r="P144" i="5" a="1"/>
  <c r="P144" i="5" s="1"/>
  <c r="Q144" i="5" a="1"/>
  <c r="Q144" i="5" s="1"/>
  <c r="R144" i="5" a="1"/>
  <c r="R144" i="5" s="1"/>
  <c r="S144" i="5" a="1"/>
  <c r="S144" i="5" s="1"/>
  <c r="T144" i="5" a="1"/>
  <c r="T144" i="5" s="1"/>
  <c r="U144" i="5" a="1"/>
  <c r="U144" i="5" s="1"/>
  <c r="J145" i="5" a="1"/>
  <c r="J145" i="5" s="1"/>
  <c r="K145" i="5" a="1"/>
  <c r="K145" i="5" s="1"/>
  <c r="L145" i="5" a="1"/>
  <c r="L145" i="5" s="1"/>
  <c r="M145" i="5" a="1"/>
  <c r="M145" i="5" s="1"/>
  <c r="N145" i="5" a="1"/>
  <c r="N145" i="5" s="1"/>
  <c r="O145" i="5" a="1"/>
  <c r="O145" i="5" s="1"/>
  <c r="P145" i="5" a="1"/>
  <c r="P145" i="5" s="1"/>
  <c r="Q145" i="5" a="1"/>
  <c r="Q145" i="5" s="1"/>
  <c r="R145" i="5" a="1"/>
  <c r="R145" i="5" s="1"/>
  <c r="S145" i="5" a="1"/>
  <c r="S145" i="5" s="1"/>
  <c r="T145" i="5" a="1"/>
  <c r="T145" i="5" s="1"/>
  <c r="U145" i="5" a="1"/>
  <c r="U145" i="5" s="1"/>
  <c r="J146" i="5" a="1"/>
  <c r="J146" i="5" s="1"/>
  <c r="K146" i="5" a="1"/>
  <c r="K146" i="5" s="1"/>
  <c r="L146" i="5" a="1"/>
  <c r="L146" i="5" s="1"/>
  <c r="M146" i="5" a="1"/>
  <c r="M146" i="5" s="1"/>
  <c r="N146" i="5" a="1"/>
  <c r="N146" i="5" s="1"/>
  <c r="O146" i="5" a="1"/>
  <c r="O146" i="5" s="1"/>
  <c r="P146" i="5" a="1"/>
  <c r="P146" i="5" s="1"/>
  <c r="Q146" i="5" a="1"/>
  <c r="Q146" i="5" s="1"/>
  <c r="R146" i="5" a="1"/>
  <c r="R146" i="5" s="1"/>
  <c r="S146" i="5" a="1"/>
  <c r="S146" i="5" s="1"/>
  <c r="T146" i="5" a="1"/>
  <c r="T146" i="5" s="1"/>
  <c r="U146" i="5" a="1"/>
  <c r="U146" i="5" s="1"/>
  <c r="J147" i="5" a="1"/>
  <c r="J147" i="5" s="1"/>
  <c r="K147" i="5" a="1"/>
  <c r="K147" i="5" s="1"/>
  <c r="L147" i="5" a="1"/>
  <c r="L147" i="5" s="1"/>
  <c r="M147" i="5" a="1"/>
  <c r="M147" i="5" s="1"/>
  <c r="N147" i="5" a="1"/>
  <c r="N147" i="5" s="1"/>
  <c r="O147" i="5" a="1"/>
  <c r="O147" i="5" s="1"/>
  <c r="P147" i="5" a="1"/>
  <c r="P147" i="5" s="1"/>
  <c r="Q147" i="5" a="1"/>
  <c r="Q147" i="5" s="1"/>
  <c r="R147" i="5" a="1"/>
  <c r="R147" i="5" s="1"/>
  <c r="S147" i="5" a="1"/>
  <c r="S147" i="5" s="1"/>
  <c r="T147" i="5" a="1"/>
  <c r="T147" i="5" s="1"/>
  <c r="U147" i="5" a="1"/>
  <c r="U147" i="5" s="1"/>
  <c r="J148" i="5" a="1"/>
  <c r="J148" i="5" s="1"/>
  <c r="K148" i="5" a="1"/>
  <c r="K148" i="5" s="1"/>
  <c r="L148" i="5" a="1"/>
  <c r="L148" i="5" s="1"/>
  <c r="M148" i="5" a="1"/>
  <c r="M148" i="5" s="1"/>
  <c r="N148" i="5" a="1"/>
  <c r="N148" i="5" s="1"/>
  <c r="O148" i="5" a="1"/>
  <c r="O148" i="5" s="1"/>
  <c r="P148" i="5" a="1"/>
  <c r="P148" i="5" s="1"/>
  <c r="Q148" i="5" a="1"/>
  <c r="Q148" i="5" s="1"/>
  <c r="R148" i="5" a="1"/>
  <c r="R148" i="5" s="1"/>
  <c r="S148" i="5" a="1"/>
  <c r="S148" i="5" s="1"/>
  <c r="T148" i="5" a="1"/>
  <c r="T148" i="5" s="1"/>
  <c r="U148" i="5" a="1"/>
  <c r="U148" i="5" s="1"/>
  <c r="J149" i="5" a="1"/>
  <c r="J149" i="5" s="1"/>
  <c r="K149" i="5" a="1"/>
  <c r="K149" i="5" s="1"/>
  <c r="L149" i="5" a="1"/>
  <c r="L149" i="5" s="1"/>
  <c r="M149" i="5" a="1"/>
  <c r="M149" i="5" s="1"/>
  <c r="N149" i="5" a="1"/>
  <c r="N149" i="5" s="1"/>
  <c r="O149" i="5" a="1"/>
  <c r="O149" i="5" s="1"/>
  <c r="P149" i="5" a="1"/>
  <c r="P149" i="5" s="1"/>
  <c r="Q149" i="5" a="1"/>
  <c r="Q149" i="5" s="1"/>
  <c r="R149" i="5" a="1"/>
  <c r="R149" i="5" s="1"/>
  <c r="S149" i="5" a="1"/>
  <c r="S149" i="5" s="1"/>
  <c r="T149" i="5" a="1"/>
  <c r="T149" i="5" s="1"/>
  <c r="U149" i="5" a="1"/>
  <c r="U149" i="5" s="1"/>
  <c r="J150" i="5" a="1"/>
  <c r="J150" i="5" s="1"/>
  <c r="K150" i="5" a="1"/>
  <c r="K150" i="5" s="1"/>
  <c r="L150" i="5" a="1"/>
  <c r="L150" i="5" s="1"/>
  <c r="M150" i="5" a="1"/>
  <c r="M150" i="5" s="1"/>
  <c r="N150" i="5" a="1"/>
  <c r="N150" i="5" s="1"/>
  <c r="O150" i="5" a="1"/>
  <c r="O150" i="5" s="1"/>
  <c r="P150" i="5" a="1"/>
  <c r="P150" i="5" s="1"/>
  <c r="Q150" i="5" a="1"/>
  <c r="Q150" i="5" s="1"/>
  <c r="R150" i="5" a="1"/>
  <c r="R150" i="5" s="1"/>
  <c r="S150" i="5" a="1"/>
  <c r="S150" i="5" s="1"/>
  <c r="T150" i="5" a="1"/>
  <c r="T150" i="5" s="1"/>
  <c r="U150" i="5" a="1"/>
  <c r="U150" i="5" s="1"/>
  <c r="J151" i="5" a="1"/>
  <c r="J151" i="5" s="1"/>
  <c r="K151" i="5" a="1"/>
  <c r="K151" i="5" s="1"/>
  <c r="L151" i="5" a="1"/>
  <c r="L151" i="5" s="1"/>
  <c r="M151" i="5" a="1"/>
  <c r="M151" i="5" s="1"/>
  <c r="N151" i="5" a="1"/>
  <c r="N151" i="5" s="1"/>
  <c r="O151" i="5" a="1"/>
  <c r="O151" i="5" s="1"/>
  <c r="P151" i="5" a="1"/>
  <c r="P151" i="5" s="1"/>
  <c r="Q151" i="5" a="1"/>
  <c r="Q151" i="5" s="1"/>
  <c r="R151" i="5" a="1"/>
  <c r="R151" i="5" s="1"/>
  <c r="S151" i="5" a="1"/>
  <c r="S151" i="5" s="1"/>
  <c r="T151" i="5" a="1"/>
  <c r="T151" i="5" s="1"/>
  <c r="U151" i="5" a="1"/>
  <c r="U151" i="5" s="1"/>
  <c r="J152" i="5" a="1"/>
  <c r="J152" i="5" s="1"/>
  <c r="K152" i="5" a="1"/>
  <c r="K152" i="5" s="1"/>
  <c r="L152" i="5" a="1"/>
  <c r="L152" i="5" s="1"/>
  <c r="M152" i="5" a="1"/>
  <c r="M152" i="5" s="1"/>
  <c r="N152" i="5" a="1"/>
  <c r="N152" i="5" s="1"/>
  <c r="O152" i="5" a="1"/>
  <c r="O152" i="5" s="1"/>
  <c r="P152" i="5" a="1"/>
  <c r="P152" i="5" s="1"/>
  <c r="Q152" i="5" a="1"/>
  <c r="Q152" i="5" s="1"/>
  <c r="R152" i="5" a="1"/>
  <c r="R152" i="5" s="1"/>
  <c r="S152" i="5" a="1"/>
  <c r="S152" i="5" s="1"/>
  <c r="T152" i="5" a="1"/>
  <c r="T152" i="5" s="1"/>
  <c r="U152" i="5" a="1"/>
  <c r="U152" i="5" s="1"/>
  <c r="J153" i="5" a="1"/>
  <c r="J153" i="5" s="1"/>
  <c r="K153" i="5" a="1"/>
  <c r="K153" i="5" s="1"/>
  <c r="L153" i="5" a="1"/>
  <c r="L153" i="5" s="1"/>
  <c r="M153" i="5" a="1"/>
  <c r="M153" i="5" s="1"/>
  <c r="N153" i="5" a="1"/>
  <c r="N153" i="5" s="1"/>
  <c r="O153" i="5" a="1"/>
  <c r="O153" i="5" s="1"/>
  <c r="P153" i="5" a="1"/>
  <c r="P153" i="5" s="1"/>
  <c r="Q153" i="5" a="1"/>
  <c r="Q153" i="5" s="1"/>
  <c r="R153" i="5" a="1"/>
  <c r="R153" i="5" s="1"/>
  <c r="S153" i="5" a="1"/>
  <c r="S153" i="5" s="1"/>
  <c r="T153" i="5" a="1"/>
  <c r="T153" i="5" s="1"/>
  <c r="U153" i="5" a="1"/>
  <c r="U153" i="5" s="1"/>
  <c r="J154" i="5" a="1"/>
  <c r="J154" i="5" s="1"/>
  <c r="K154" i="5" a="1"/>
  <c r="K154" i="5" s="1"/>
  <c r="L154" i="5" a="1"/>
  <c r="L154" i="5" s="1"/>
  <c r="M154" i="5" a="1"/>
  <c r="M154" i="5" s="1"/>
  <c r="N154" i="5" a="1"/>
  <c r="N154" i="5" s="1"/>
  <c r="O154" i="5" a="1"/>
  <c r="O154" i="5" s="1"/>
  <c r="P154" i="5" a="1"/>
  <c r="P154" i="5" s="1"/>
  <c r="Q154" i="5" a="1"/>
  <c r="Q154" i="5" s="1"/>
  <c r="R154" i="5" a="1"/>
  <c r="R154" i="5" s="1"/>
  <c r="S154" i="5" a="1"/>
  <c r="S154" i="5" s="1"/>
  <c r="T154" i="5" a="1"/>
  <c r="T154" i="5" s="1"/>
  <c r="U154" i="5" a="1"/>
  <c r="U154" i="5" s="1"/>
  <c r="J155" i="5" a="1"/>
  <c r="J155" i="5" s="1"/>
  <c r="K155" i="5" a="1"/>
  <c r="K155" i="5" s="1"/>
  <c r="L155" i="5" a="1"/>
  <c r="L155" i="5" s="1"/>
  <c r="M155" i="5" a="1"/>
  <c r="M155" i="5" s="1"/>
  <c r="N155" i="5" a="1"/>
  <c r="N155" i="5" s="1"/>
  <c r="O155" i="5" a="1"/>
  <c r="O155" i="5" s="1"/>
  <c r="P155" i="5" a="1"/>
  <c r="P155" i="5" s="1"/>
  <c r="Q155" i="5" a="1"/>
  <c r="Q155" i="5" s="1"/>
  <c r="R155" i="5" a="1"/>
  <c r="R155" i="5" s="1"/>
  <c r="S155" i="5" a="1"/>
  <c r="S155" i="5" s="1"/>
  <c r="T155" i="5" a="1"/>
  <c r="T155" i="5" s="1"/>
  <c r="U155" i="5" a="1"/>
  <c r="U155" i="5" s="1"/>
  <c r="J156" i="5" a="1"/>
  <c r="J156" i="5" s="1"/>
  <c r="K156" i="5" a="1"/>
  <c r="K156" i="5" s="1"/>
  <c r="L156" i="5" a="1"/>
  <c r="L156" i="5" s="1"/>
  <c r="M156" i="5" a="1"/>
  <c r="M156" i="5" s="1"/>
  <c r="N156" i="5" a="1"/>
  <c r="N156" i="5" s="1"/>
  <c r="O156" i="5" a="1"/>
  <c r="O156" i="5" s="1"/>
  <c r="P156" i="5" a="1"/>
  <c r="P156" i="5" s="1"/>
  <c r="Q156" i="5" a="1"/>
  <c r="Q156" i="5" s="1"/>
  <c r="R156" i="5" a="1"/>
  <c r="R156" i="5" s="1"/>
  <c r="S156" i="5" a="1"/>
  <c r="S156" i="5" s="1"/>
  <c r="T156" i="5" a="1"/>
  <c r="T156" i="5" s="1"/>
  <c r="U156" i="5" a="1"/>
  <c r="U156" i="5" s="1"/>
  <c r="J157" i="5" a="1"/>
  <c r="J157" i="5" s="1"/>
  <c r="K157" i="5" a="1"/>
  <c r="K157" i="5" s="1"/>
  <c r="L157" i="5" a="1"/>
  <c r="L157" i="5" s="1"/>
  <c r="M157" i="5" a="1"/>
  <c r="M157" i="5" s="1"/>
  <c r="N157" i="5" a="1"/>
  <c r="N157" i="5" s="1"/>
  <c r="O157" i="5" a="1"/>
  <c r="O157" i="5" s="1"/>
  <c r="P157" i="5" a="1"/>
  <c r="P157" i="5" s="1"/>
  <c r="Q157" i="5" a="1"/>
  <c r="Q157" i="5" s="1"/>
  <c r="R157" i="5" a="1"/>
  <c r="R157" i="5" s="1"/>
  <c r="S157" i="5" a="1"/>
  <c r="S157" i="5" s="1"/>
  <c r="T157" i="5" a="1"/>
  <c r="T157" i="5" s="1"/>
  <c r="U157" i="5" a="1"/>
  <c r="U157" i="5" s="1"/>
  <c r="J158" i="5" a="1"/>
  <c r="J158" i="5" s="1"/>
  <c r="K158" i="5" a="1"/>
  <c r="K158" i="5" s="1"/>
  <c r="L158" i="5" a="1"/>
  <c r="L158" i="5" s="1"/>
  <c r="M158" i="5" a="1"/>
  <c r="M158" i="5" s="1"/>
  <c r="N158" i="5" a="1"/>
  <c r="N158" i="5" s="1"/>
  <c r="O158" i="5" a="1"/>
  <c r="O158" i="5" s="1"/>
  <c r="P158" i="5" a="1"/>
  <c r="P158" i="5" s="1"/>
  <c r="Q158" i="5" a="1"/>
  <c r="Q158" i="5" s="1"/>
  <c r="R158" i="5" a="1"/>
  <c r="R158" i="5" s="1"/>
  <c r="S158" i="5" a="1"/>
  <c r="S158" i="5" s="1"/>
  <c r="T158" i="5" a="1"/>
  <c r="T158" i="5" s="1"/>
  <c r="U158" i="5" a="1"/>
  <c r="U158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23" i="5" a="1"/>
  <c r="I123" i="5" s="1"/>
  <c r="I124" i="5" a="1"/>
  <c r="I124" i="5" s="1"/>
  <c r="I125" i="5" a="1"/>
  <c r="I125" i="5" s="1"/>
  <c r="I126" i="5" a="1"/>
  <c r="I126" i="5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/>
  <c r="I114" i="5" a="1"/>
  <c r="I114" i="5" s="1"/>
  <c r="I115" i="5" a="1"/>
  <c r="I115" i="5" s="1"/>
  <c r="I116" i="5" a="1"/>
  <c r="I116" i="5" s="1"/>
  <c r="I117" i="5" a="1"/>
  <c r="I117" i="5" s="1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72" i="5" a="1"/>
  <c r="I72" i="5" s="1"/>
  <c r="I73" i="5" a="1"/>
  <c r="I73" i="5" s="1"/>
  <c r="I74" i="5" a="1"/>
  <c r="I74" i="5" s="1"/>
  <c r="I75" i="5" a="1"/>
  <c r="I75" i="5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52" i="5" a="1"/>
  <c r="I52" i="5" s="1"/>
  <c r="I53" i="5" a="1"/>
  <c r="I53" i="5" s="1"/>
  <c r="I54" i="5" a="1"/>
  <c r="I54" i="5" s="1"/>
  <c r="I55" i="5" a="1"/>
  <c r="I55" i="5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/>
  <c r="I68" i="5" a="1"/>
  <c r="I68" i="5" s="1"/>
  <c r="I69" i="5" a="1"/>
  <c r="I69" i="5" s="1"/>
  <c r="I70" i="5" a="1"/>
  <c r="I70" i="5" s="1"/>
  <c r="I71" i="5" a="1"/>
  <c r="I71" i="5" s="1"/>
  <c r="I30" i="5" a="1"/>
  <c r="I30" i="5" s="1"/>
  <c r="I31" i="5" a="1"/>
  <c r="I31" i="5" s="1"/>
  <c r="I32" i="5" a="1"/>
  <c r="I32" i="5" s="1"/>
  <c r="I33" i="5" a="1"/>
  <c r="I33" i="5" s="1"/>
  <c r="I34" i="5" a="1"/>
  <c r="I34" i="5"/>
  <c r="I35" i="5" a="1"/>
  <c r="I35" i="5"/>
  <c r="I36" i="5" a="1"/>
  <c r="I36" i="5" s="1"/>
  <c r="I37" i="5" a="1"/>
  <c r="I37" i="5" s="1"/>
  <c r="I38" i="5" a="1"/>
  <c r="I38" i="5" s="1"/>
  <c r="I39" i="5" a="1"/>
  <c r="I39" i="5" s="1"/>
  <c r="I40" i="5" a="1"/>
  <c r="I40" i="5"/>
  <c r="I41" i="5" a="1"/>
  <c r="I41" i="5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/>
  <c r="I48" i="5" a="1"/>
  <c r="I48" i="5" s="1"/>
  <c r="I49" i="5" a="1"/>
  <c r="I49" i="5" s="1"/>
  <c r="I50" i="5" a="1"/>
  <c r="I50" i="5" s="1"/>
  <c r="I51" i="5" a="1"/>
  <c r="I51" i="5" s="1"/>
  <c r="I9" i="5" a="1"/>
  <c r="I9" i="5" s="1"/>
  <c r="I10" i="5" a="1"/>
  <c r="I10" i="5" s="1"/>
  <c r="I11" i="5" a="1"/>
  <c r="I11" i="5" s="1"/>
  <c r="I12" i="5" a="1"/>
  <c r="I12" i="5" s="1"/>
  <c r="I13" i="5" a="1"/>
  <c r="I13" i="5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/>
  <c r="I26" i="5" a="1"/>
  <c r="I26" i="5" s="1"/>
  <c r="I27" i="5" a="1"/>
  <c r="I27" i="5" s="1"/>
  <c r="I28" i="5" a="1"/>
  <c r="I28" i="5" s="1"/>
  <c r="I29" i="5" a="1"/>
  <c r="I29" i="5" s="1"/>
  <c r="I8" i="5" a="1"/>
  <c r="I8" i="5" s="1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71" i="1"/>
  <c r="E238" i="1"/>
  <c r="E278" i="1"/>
  <c r="E320" i="1"/>
  <c r="E175" i="1"/>
  <c r="E314" i="1"/>
  <c r="E445" i="1"/>
  <c r="E454" i="1"/>
  <c r="E450" i="1"/>
  <c r="E477" i="1"/>
  <c r="E195" i="1"/>
  <c r="E324" i="1"/>
  <c r="E436" i="1"/>
  <c r="E395" i="1"/>
  <c r="E186" i="1"/>
  <c r="E350" i="1"/>
  <c r="E262" i="1"/>
  <c r="E190" i="1"/>
  <c r="E344" i="1"/>
  <c r="E466" i="1"/>
  <c r="E317" i="1"/>
  <c r="E458" i="1"/>
  <c r="E162" i="1"/>
  <c r="E439" i="1"/>
  <c r="E321" i="1"/>
  <c r="E457" i="1"/>
  <c r="E381" i="1"/>
  <c r="E492" i="1"/>
  <c r="E470" i="1"/>
  <c r="E461" i="1"/>
  <c r="E239" i="1"/>
  <c r="E144" i="1"/>
  <c r="E481" i="1"/>
  <c r="E47" i="1"/>
  <c r="E442" i="1"/>
  <c r="E485" i="1"/>
  <c r="E447" i="1"/>
  <c r="E409" i="1"/>
  <c r="E191" i="1"/>
  <c r="E469" i="1"/>
  <c r="E369" i="1"/>
  <c r="E92" i="1"/>
  <c r="E48" i="1"/>
  <c r="E498" i="1"/>
  <c r="E464" i="1"/>
  <c r="E486" i="1"/>
  <c r="E304" i="1"/>
  <c r="E69" i="1"/>
  <c r="E93" i="1"/>
  <c r="E128" i="1"/>
  <c r="E264" i="1"/>
  <c r="E421" i="1"/>
  <c r="E55" i="1"/>
  <c r="E2" i="1"/>
  <c r="E261" i="1"/>
  <c r="E423" i="1"/>
  <c r="E56" i="1"/>
  <c r="E500" i="1"/>
  <c r="E305" i="1"/>
  <c r="E223" i="1"/>
  <c r="E251" i="1"/>
  <c r="E16" i="1"/>
  <c r="E299" i="1"/>
  <c r="E406" i="1"/>
  <c r="E33" i="1"/>
  <c r="E489" i="1"/>
  <c r="E203" i="1"/>
  <c r="E418" i="1"/>
  <c r="E208" i="1"/>
  <c r="E246" i="1"/>
  <c r="E400" i="1"/>
  <c r="E286" i="1"/>
  <c r="E290" i="1"/>
  <c r="E139" i="1"/>
  <c r="E410" i="1"/>
  <c r="E367" i="1"/>
  <c r="E215" i="1"/>
  <c r="E373" i="1"/>
  <c r="E349" i="1"/>
  <c r="E414" i="1"/>
  <c r="E185" i="1"/>
  <c r="E205" i="1"/>
  <c r="E386" i="1"/>
  <c r="E322" i="1"/>
  <c r="E99" i="1"/>
  <c r="E366" i="1"/>
  <c r="E214" i="1"/>
  <c r="E212" i="1"/>
  <c r="E424" i="1"/>
  <c r="E398" i="1"/>
  <c r="E242" i="1"/>
  <c r="E307" i="1"/>
  <c r="E435" i="1"/>
  <c r="E361" i="1"/>
  <c r="E237" i="1"/>
  <c r="E326" i="1"/>
  <c r="E359" i="1"/>
  <c r="E228" i="1"/>
  <c r="E267" i="1"/>
  <c r="E302" i="1"/>
  <c r="E216" i="1"/>
  <c r="E327" i="1"/>
  <c r="E282" i="1"/>
  <c r="E245" i="1"/>
  <c r="E393" i="1"/>
  <c r="E182" i="1"/>
  <c r="E355" i="1"/>
  <c r="E437" i="1"/>
  <c r="E452" i="1"/>
  <c r="E460" i="1"/>
  <c r="E52" i="1"/>
  <c r="E380" i="1"/>
  <c r="E491" i="1"/>
  <c r="E217" i="1"/>
  <c r="E415" i="1"/>
  <c r="E451" i="1"/>
  <c r="E229" i="1"/>
  <c r="E141" i="1"/>
  <c r="E342" i="1"/>
  <c r="E194" i="1"/>
  <c r="E313" i="1"/>
  <c r="E269" i="1"/>
  <c r="E456" i="1"/>
  <c r="E125" i="1"/>
  <c r="E109" i="1"/>
  <c r="E407" i="1"/>
  <c r="E300" i="1"/>
  <c r="E226" i="1"/>
  <c r="E126" i="1"/>
  <c r="E468" i="1"/>
  <c r="E19" i="1"/>
  <c r="E75" i="1"/>
  <c r="E330" i="1"/>
  <c r="E255" i="1"/>
  <c r="E404" i="1"/>
  <c r="E158" i="1"/>
  <c r="E83" i="1"/>
  <c r="E9" i="1"/>
  <c r="E34" i="1"/>
  <c r="E44" i="1"/>
  <c r="E10" i="1"/>
  <c r="E70" i="1"/>
  <c r="E396" i="1"/>
  <c r="E340" i="1"/>
  <c r="E270" i="1"/>
  <c r="E478" i="1"/>
  <c r="E432" i="1"/>
  <c r="E279" i="1"/>
  <c r="E476" i="1"/>
  <c r="E426" i="1"/>
  <c r="E487" i="1"/>
  <c r="E325" i="1"/>
  <c r="E405" i="1"/>
  <c r="E247" i="1"/>
  <c r="E455" i="1"/>
  <c r="E497" i="1"/>
  <c r="E474" i="1"/>
  <c r="E444" i="1"/>
  <c r="E49" i="1"/>
  <c r="E220" i="1"/>
  <c r="E95" i="1"/>
  <c r="E163" i="1"/>
  <c r="E417" i="1"/>
  <c r="E38" i="1"/>
  <c r="E58" i="1"/>
  <c r="E181" i="1"/>
  <c r="E370" i="1"/>
  <c r="E284" i="1"/>
  <c r="E169" i="1"/>
  <c r="E475" i="1"/>
  <c r="E98" i="1"/>
  <c r="E281" i="1"/>
  <c r="E336" i="1"/>
  <c r="E174" i="1"/>
  <c r="E375" i="1"/>
  <c r="E146" i="1"/>
  <c r="E283" i="1"/>
  <c r="E362" i="1"/>
  <c r="E368" i="1"/>
  <c r="E343" i="1"/>
  <c r="E170" i="1"/>
  <c r="E43" i="1"/>
  <c r="E253" i="1"/>
  <c r="E25" i="1"/>
  <c r="E318" i="1"/>
  <c r="E143" i="1"/>
  <c r="E219" i="1"/>
  <c r="E21" i="1"/>
  <c r="E122" i="1"/>
  <c r="E131" i="1"/>
  <c r="E142" i="1"/>
  <c r="E115" i="1"/>
  <c r="E287" i="1"/>
  <c r="E94" i="1"/>
  <c r="E37" i="1"/>
  <c r="E277" i="1"/>
  <c r="E88" i="1"/>
  <c r="E8" i="1"/>
  <c r="E4" i="1"/>
  <c r="E50" i="1"/>
  <c r="E26" i="1"/>
  <c r="E7" i="1"/>
  <c r="E201" i="1"/>
  <c r="E494" i="1"/>
  <c r="E495" i="1"/>
  <c r="E441" i="1"/>
  <c r="E473" i="1"/>
  <c r="E388" i="1"/>
  <c r="E499" i="1"/>
  <c r="E416" i="1"/>
  <c r="E443" i="1"/>
  <c r="E41" i="1"/>
  <c r="E488" i="1"/>
  <c r="E298" i="1"/>
  <c r="E482" i="1"/>
  <c r="E134" i="1"/>
  <c r="E188" i="1"/>
  <c r="E345" i="1"/>
  <c r="E358" i="1"/>
  <c r="E150" i="1"/>
  <c r="E224" i="1"/>
  <c r="E471" i="1"/>
  <c r="E348" i="1"/>
  <c r="E241" i="1"/>
  <c r="E453" i="1"/>
  <c r="E397" i="1"/>
  <c r="E289" i="1"/>
  <c r="E363" i="1"/>
  <c r="E256" i="1"/>
  <c r="E180" i="1"/>
  <c r="E391" i="1"/>
  <c r="E346" i="1"/>
  <c r="E164" i="1"/>
  <c r="E40" i="1"/>
  <c r="E252" i="1"/>
  <c r="E82" i="1"/>
  <c r="E160" i="1"/>
  <c r="E23" i="1"/>
  <c r="E137" i="1"/>
  <c r="E154" i="1"/>
  <c r="E13" i="1"/>
  <c r="E411" i="1"/>
  <c r="E147" i="1"/>
  <c r="E89" i="1"/>
  <c r="E30" i="1"/>
  <c r="E74" i="1"/>
  <c r="E209" i="1"/>
  <c r="E196" i="1"/>
  <c r="E173" i="1"/>
  <c r="E310" i="1"/>
  <c r="E172" i="1"/>
  <c r="E403" i="1"/>
  <c r="E268" i="1"/>
  <c r="E465" i="1"/>
  <c r="E18" i="1"/>
  <c r="E177" i="1"/>
  <c r="E347" i="1"/>
  <c r="E240" i="1"/>
  <c r="E265" i="1"/>
  <c r="E66" i="1"/>
  <c r="E210" i="1"/>
  <c r="E166" i="1"/>
  <c r="E110" i="1"/>
  <c r="E472" i="1"/>
  <c r="E356" i="1"/>
  <c r="E32" i="1"/>
  <c r="E96" i="1"/>
  <c r="E338" i="1"/>
  <c r="E11" i="1"/>
  <c r="E275" i="1"/>
  <c r="E27" i="1"/>
  <c r="E86" i="1"/>
  <c r="E179" i="1"/>
  <c r="E62" i="1"/>
  <c r="E315" i="1"/>
  <c r="E76" i="1"/>
  <c r="E145" i="1"/>
  <c r="E295" i="1"/>
  <c r="E77" i="1"/>
  <c r="E429" i="1"/>
  <c r="E235" i="1"/>
  <c r="E303" i="1"/>
  <c r="E263" i="1"/>
  <c r="E377" i="1"/>
  <c r="E390" i="1"/>
  <c r="E402" i="1"/>
  <c r="E413" i="1"/>
  <c r="E249" i="1"/>
  <c r="E412" i="1"/>
  <c r="E365" i="1"/>
  <c r="E422" i="1"/>
  <c r="E339" i="1"/>
  <c r="E389" i="1"/>
  <c r="E250" i="1"/>
  <c r="E419" i="1"/>
  <c r="E364" i="1"/>
  <c r="E372" i="1"/>
  <c r="E108" i="1"/>
  <c r="E387" i="1"/>
  <c r="E259" i="1"/>
  <c r="E271" i="1"/>
  <c r="E130" i="1"/>
  <c r="E371" i="1"/>
  <c r="E260" i="1"/>
  <c r="E335" i="1"/>
  <c r="E80" i="1"/>
  <c r="E218" i="1"/>
  <c r="E288" i="1"/>
  <c r="E308" i="1"/>
  <c r="E352" i="1"/>
  <c r="E148" i="1"/>
  <c r="E430" i="1"/>
  <c r="E392" i="1"/>
  <c r="E378" i="1"/>
  <c r="E463" i="1"/>
  <c r="E341" i="1"/>
  <c r="E329" i="1"/>
  <c r="E140" i="1"/>
  <c r="E244" i="1"/>
  <c r="E31" i="1"/>
  <c r="E353" i="1"/>
  <c r="E225" i="1"/>
  <c r="E73" i="1"/>
  <c r="E151" i="1"/>
  <c r="E127" i="1"/>
  <c r="E117" i="1"/>
  <c r="E85" i="1"/>
  <c r="E257" i="1"/>
  <c r="E124" i="1"/>
  <c r="E319" i="1"/>
  <c r="E333" i="1"/>
  <c r="E116" i="1"/>
  <c r="E107" i="1"/>
  <c r="E135" i="1"/>
  <c r="E51" i="1"/>
  <c r="E280" i="1"/>
  <c r="E272" i="1"/>
  <c r="E230" i="1"/>
  <c r="E316" i="1"/>
  <c r="E227" i="1"/>
  <c r="E231" i="1"/>
  <c r="E12" i="1"/>
  <c r="E425" i="1"/>
  <c r="E399" i="1"/>
  <c r="E376" i="1"/>
  <c r="E276" i="1"/>
  <c r="E119" i="1"/>
  <c r="E183" i="1"/>
  <c r="E198" i="1"/>
  <c r="E65" i="1"/>
  <c r="E360" i="1"/>
  <c r="E306" i="1"/>
  <c r="E222" i="1"/>
  <c r="E121" i="1"/>
  <c r="E176" i="1"/>
  <c r="E68" i="1"/>
  <c r="E67" i="1"/>
  <c r="E446" i="1"/>
  <c r="E6" i="1"/>
  <c r="E301" i="1"/>
  <c r="E448" i="1"/>
  <c r="E479" i="1"/>
  <c r="E496" i="1"/>
  <c r="E493" i="1"/>
  <c r="E490" i="1"/>
  <c r="E462" i="1"/>
  <c r="E312" i="1"/>
  <c r="E420" i="1"/>
  <c r="E459" i="1"/>
  <c r="E243" i="1"/>
  <c r="E87" i="1"/>
  <c r="E467" i="1"/>
  <c r="E449" i="1"/>
  <c r="E431" i="1"/>
  <c r="E480" i="1"/>
  <c r="E408" i="1"/>
  <c r="E379" i="1"/>
  <c r="E138" i="1"/>
  <c r="E484" i="1"/>
  <c r="E440" i="1"/>
  <c r="E84" i="1"/>
  <c r="E292" i="1"/>
  <c r="E248" i="1"/>
  <c r="E382" i="1"/>
  <c r="E328" i="1"/>
  <c r="E120" i="1"/>
  <c r="E192" i="1"/>
  <c r="E233" i="1"/>
  <c r="E105" i="1"/>
  <c r="E291" i="1"/>
  <c r="E156" i="1"/>
  <c r="E17" i="1"/>
  <c r="E136" i="1"/>
  <c r="E354" i="1"/>
  <c r="E123" i="1"/>
  <c r="E29" i="1"/>
  <c r="E15" i="1"/>
  <c r="E5" i="1"/>
  <c r="E63" i="1"/>
  <c r="E337" i="1"/>
  <c r="E204" i="1"/>
  <c r="E501" i="1"/>
  <c r="E111" i="1"/>
  <c r="E20" i="1"/>
  <c r="E193" i="1"/>
  <c r="E78" i="1"/>
  <c r="E113" i="1"/>
  <c r="E35" i="1"/>
  <c r="E61" i="1"/>
  <c r="E168" i="1"/>
  <c r="E384" i="1"/>
  <c r="E114" i="1"/>
  <c r="E157" i="1"/>
  <c r="E184" i="1"/>
  <c r="E103" i="1"/>
  <c r="E112" i="1"/>
  <c r="E297" i="1"/>
  <c r="E3" i="1"/>
  <c r="E81" i="1"/>
  <c r="E155" i="1"/>
  <c r="E438" i="1"/>
  <c r="E309" i="1"/>
  <c r="E102" i="1"/>
  <c r="E42" i="1"/>
  <c r="E54" i="1"/>
  <c r="E152" i="1"/>
  <c r="E159" i="1"/>
  <c r="E374" i="1"/>
  <c r="E351" i="1"/>
  <c r="E149" i="1"/>
  <c r="E294" i="1"/>
  <c r="E22" i="1"/>
  <c r="E357" i="1"/>
  <c r="E129" i="1"/>
  <c r="E45" i="1"/>
  <c r="E39" i="1"/>
  <c r="E59" i="1"/>
  <c r="E165" i="1"/>
  <c r="E187" i="1"/>
  <c r="E206" i="1"/>
  <c r="E189" i="1"/>
  <c r="E427" i="1"/>
  <c r="E161" i="1"/>
  <c r="E323" i="1"/>
  <c r="E211" i="1"/>
  <c r="E178" i="1"/>
  <c r="E433" i="1"/>
  <c r="E332" i="1"/>
  <c r="E274" i="1"/>
  <c r="E207" i="1"/>
  <c r="E132" i="1"/>
  <c r="E36" i="1"/>
  <c r="E71" i="1"/>
  <c r="E200" i="1"/>
  <c r="E258" i="1"/>
  <c r="E221" i="1"/>
  <c r="E254" i="1"/>
  <c r="E285" i="1"/>
  <c r="E118" i="1"/>
  <c r="E434" i="1"/>
  <c r="E202" i="1"/>
  <c r="E385" i="1"/>
  <c r="E46" i="1"/>
  <c r="E72" i="1"/>
  <c r="E97" i="1"/>
  <c r="E213" i="1"/>
  <c r="E428" i="1"/>
  <c r="E106" i="1"/>
  <c r="E401" i="1"/>
  <c r="E296" i="1"/>
  <c r="E101" i="1"/>
  <c r="E236" i="1"/>
  <c r="E24" i="1"/>
  <c r="E199" i="1"/>
  <c r="E57" i="1"/>
  <c r="E14" i="1"/>
  <c r="E100" i="1"/>
  <c r="E104" i="1"/>
  <c r="E394" i="1"/>
  <c r="E234" i="1"/>
  <c r="E153" i="1"/>
  <c r="E232" i="1"/>
  <c r="E53" i="1"/>
  <c r="E64" i="1"/>
  <c r="E334" i="1"/>
  <c r="E483" i="1"/>
  <c r="E197" i="1"/>
  <c r="E79" i="1"/>
  <c r="E331" i="1"/>
  <c r="E91" i="1"/>
  <c r="E90" i="1"/>
  <c r="E167" i="1"/>
  <c r="E311" i="1"/>
  <c r="E266" i="1"/>
  <c r="E293" i="1"/>
  <c r="E273" i="1"/>
  <c r="E28" i="1"/>
  <c r="E383" i="1"/>
  <c r="E60" i="1"/>
  <c r="E1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<sst xmlns="http://schemas.openxmlformats.org/spreadsheetml/2006/main" count="2017" uniqueCount="582">
  <si>
    <t>School District</t>
  </si>
  <si>
    <t>County</t>
  </si>
  <si>
    <t>2022-23
Cyber Charter School Expenditures</t>
  </si>
  <si>
    <t>Bermudian Springs SD</t>
  </si>
  <si>
    <t>Adams</t>
  </si>
  <si>
    <t>Conewago Valley SD</t>
  </si>
  <si>
    <t>Fairfield Area SD</t>
  </si>
  <si>
    <t>Gettysburg Area SD</t>
  </si>
  <si>
    <t>Littlestown Area SD</t>
  </si>
  <si>
    <t>Upper Adams SD</t>
  </si>
  <si>
    <t>Allegheny Valley SD</t>
  </si>
  <si>
    <t>Allegheny</t>
  </si>
  <si>
    <t>Avonworth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</si>
  <si>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</si>
  <si>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</si>
  <si>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</si>
  <si>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</si>
  <si>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</si>
  <si>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</si>
  <si>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</si>
  <si>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</si>
  <si>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Duquesne City SD</t>
  </si>
  <si>
    <t>East Allegheny SD</t>
  </si>
  <si>
    <t>Elizabeth Forward SD</t>
  </si>
  <si>
    <t>Fox Chapel Area SD</t>
  </si>
  <si>
    <t>Gateway SD</t>
  </si>
  <si>
    <t>Hampton Township SD</t>
  </si>
  <si>
    <t>Highlands SD</t>
  </si>
  <si>
    <t>Keystone Oaks SD</t>
  </si>
  <si>
    <t>McKeesport Area SD</t>
  </si>
  <si>
    <t>Montour SD</t>
  </si>
  <si>
    <t>Moon Area SD</t>
  </si>
  <si>
    <t>Mt Lebanon SD</t>
  </si>
  <si>
    <t>North Allegheny SD</t>
  </si>
  <si>
    <t>North Hills SD</t>
  </si>
  <si>
    <t>Northgate SD</t>
  </si>
  <si>
    <t>Penn Hills SD</t>
  </si>
  <si>
    <t>Pine-Richland SD</t>
  </si>
  <si>
    <t>Pittsburgh SD</t>
  </si>
  <si>
    <t>Plum Borough SD</t>
  </si>
  <si>
    <t>Quaker Valley SD</t>
  </si>
  <si>
    <t>Riverview SD</t>
  </si>
  <si>
    <t>Shaler Area SD</t>
  </si>
  <si>
    <t>South Allegheny SD</t>
  </si>
  <si>
    <t>South Fayette Township SD</t>
  </si>
  <si>
    <t>South Park SD</t>
  </si>
  <si>
    <t>Steel Valley SD</t>
  </si>
  <si>
    <t>Sto-Rox SD</t>
  </si>
  <si>
    <t>Upper St. Clair SD</t>
  </si>
  <si>
    <t>West Allegheny SD</t>
  </si>
  <si>
    <t>West Jefferson Hills SD</t>
  </si>
  <si>
    <t>West Mifflin Area SD</t>
  </si>
  <si>
    <t>Wilkinsburg Borough SD</t>
  </si>
  <si>
    <t>Woodland Hills SD</t>
  </si>
  <si>
    <t>Apollo-Ridge SD</t>
  </si>
  <si>
    <t>Armstrong</t>
  </si>
  <si>
    <t>Armstrong SD</t>
  </si>
  <si>
    <t>Freeport Area SD</t>
  </si>
  <si>
    <t>Leechburg Area SD</t>
  </si>
  <si>
    <t>Aliquippa SD</t>
  </si>
  <si>
    <t>Beaver</t>
  </si>
  <si>
    <t>Ambridge Area SD</t>
  </si>
  <si>
    <t>Beaver Area SD</t>
  </si>
  <si>
    <t>Big Beaver Falls Area SD</t>
  </si>
  <si>
    <t>Blackhawk SD</t>
  </si>
  <si>
    <t>Central Valley SD</t>
  </si>
  <si>
    <t>Freedom Area SD</t>
  </si>
  <si>
    <t>Hopewell Area SD</t>
  </si>
  <si>
    <t>Midland Borough SD</t>
  </si>
  <si>
    <t>New Brighton Area SD</t>
  </si>
  <si>
    <t>Riverside Beaver County SD</t>
  </si>
  <si>
    <t>Rochester Area SD</t>
  </si>
  <si>
    <t>South Side Area SD</t>
  </si>
  <si>
    <t>Western Beaver County SD</t>
  </si>
  <si>
    <t>Bedford Area SD</t>
  </si>
  <si>
    <t>Bedford</t>
  </si>
  <si>
    <t>Chestnut Ridge SD</t>
  </si>
  <si>
    <t>Everett Area SD</t>
  </si>
  <si>
    <t>Northern Bedford County SD</t>
  </si>
  <si>
    <t>Tussey Mountain SD</t>
  </si>
  <si>
    <t>Antietam SD</t>
  </si>
  <si>
    <t>Berks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</si>
  <si>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</si>
  <si>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</si>
  <si>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</si>
  <si>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</si>
  <si>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</si>
  <si>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</si>
  <si>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</si>
  <si>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</si>
  <si>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</si>
  <si>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</si>
  <si>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</si>
  <si>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</si>
  <si>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Schuylkill Valley SD</t>
  </si>
  <si>
    <t>Tulpehocken Area SD</t>
  </si>
  <si>
    <t>Twin Valley SD</t>
  </si>
  <si>
    <t>Wilson SD</t>
  </si>
  <si>
    <t>Wyomissing Area SD</t>
  </si>
  <si>
    <t>Altoona Area SD</t>
  </si>
  <si>
    <t>Blair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</si>
  <si>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</si>
  <si>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</si>
  <si>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</si>
  <si>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</si>
  <si>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</si>
  <si>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</si>
  <si>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Athens Area SD</t>
  </si>
  <si>
    <t>Bradford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</si>
  <si>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</si>
  <si>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</si>
  <si>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</si>
  <si>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</si>
  <si>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</si>
  <si>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</si>
  <si>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Bensalem Township SD</t>
  </si>
  <si>
    <t>Bucks</t>
  </si>
  <si>
    <t>Bristol Borough SD</t>
  </si>
  <si>
    <t>Bristol Township SD</t>
  </si>
  <si>
    <t>Centennial SD</t>
  </si>
  <si>
    <t>Central Bucks SD</t>
  </si>
  <si>
    <t>Council Rock SD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</si>
  <si>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</si>
  <si>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</si>
  <si>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</si>
  <si>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</si>
  <si>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</si>
  <si>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</si>
  <si>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</si>
  <si>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Butler Area SD</t>
  </si>
  <si>
    <t>Butler</t>
  </si>
  <si>
    <t>Karns City Area SD</t>
  </si>
  <si>
    <t>Knoch SD</t>
  </si>
  <si>
    <t>Mars Area SD</t>
  </si>
  <si>
    <t>Moniteau SD</t>
  </si>
  <si>
    <t>Seneca Valley SD</t>
  </si>
  <si>
    <t>Slippery Rock Area SD</t>
  </si>
  <si>
    <t>Blacklick Valley SD</t>
  </si>
  <si>
    <t>Cambria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</si>
  <si>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</si>
  <si>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</si>
  <si>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</si>
  <si>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</si>
  <si>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</si>
  <si>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</si>
  <si>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Northern Cambria SD</t>
  </si>
  <si>
    <t>Penn Cambria SD</t>
  </si>
  <si>
    <t>Portage Area SD</t>
  </si>
  <si>
    <t>Richland SD</t>
  </si>
  <si>
    <t>Westmont Hilltop SD</t>
  </si>
  <si>
    <t>Cameron County SD</t>
  </si>
  <si>
    <t>Cameron</t>
  </si>
  <si>
    <t>Jim Thorpe Area SD</t>
  </si>
  <si>
    <t>Carbon</t>
  </si>
  <si>
    <t>Lehighton Area SD</t>
  </si>
  <si>
    <t>Palmerton Area SD</t>
  </si>
  <si>
    <t>Panther Valley SD</t>
  </si>
  <si>
    <t>Weatherly Area SD</t>
  </si>
  <si>
    <t>Bald Eagle Area SD</t>
  </si>
  <si>
    <t>Centre</t>
  </si>
  <si>
    <t>Bellefonte Area SD</t>
  </si>
  <si>
    <t>Penns Valley Area SD</t>
  </si>
  <si>
    <t>State College Area SD</t>
  </si>
  <si>
    <t>Avon Grove SD</t>
  </si>
  <si>
    <t>Chester</t>
  </si>
  <si>
    <t>Coatesville Area SD</t>
  </si>
  <si>
    <t>Downingtown Area SD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</si>
  <si>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</si>
  <si>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</si>
  <si>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</si>
  <si>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</si>
  <si>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</si>
  <si>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</si>
  <si>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</si>
  <si>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</si>
  <si>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</si>
  <si>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Allegheny-Clarion Valley SD</t>
  </si>
  <si>
    <t>Clarion</t>
  </si>
  <si>
    <t>Clarion Area SD</t>
  </si>
  <si>
    <t>Clarion-Limestone Area SD</t>
  </si>
  <si>
    <t>Keystone SD</t>
  </si>
  <si>
    <t>North Clarion County SD</t>
  </si>
  <si>
    <t>Redbank Valley SD</t>
  </si>
  <si>
    <t>Union SD</t>
  </si>
  <si>
    <t>Clearfield Area SD</t>
  </si>
  <si>
    <t>Clearfield</t>
  </si>
  <si>
    <t>Curwensville Area SD</t>
  </si>
  <si>
    <t>DuBois Area SD</t>
  </si>
  <si>
    <t>Glendale SD</t>
  </si>
  <si>
    <t>Harmony Area SD</t>
  </si>
  <si>
    <t>Moshannon Valley SD</t>
  </si>
  <si>
    <t>Philipsburg-Osceola Area SD</t>
  </si>
  <si>
    <t>West Branch Area SD</t>
  </si>
  <si>
    <t>Keystone Central SD</t>
  </si>
  <si>
    <t>Clinton</t>
  </si>
  <si>
    <t>Benton Area SD</t>
  </si>
  <si>
    <t>Columbia</t>
  </si>
  <si>
    <t>Berwick Area SD</t>
  </si>
  <si>
    <t>Bloomsburg Area SD</t>
  </si>
  <si>
    <t>Central Columbia SD</t>
  </si>
  <si>
    <t>Millville Area SD</t>
  </si>
  <si>
    <t>Southern Columbia Area SD</t>
  </si>
  <si>
    <t>Conneaut SD</t>
  </si>
  <si>
    <t>Crawford</t>
  </si>
  <si>
    <t>Crawford Central SD</t>
  </si>
  <si>
    <t>Penncrest SD</t>
  </si>
  <si>
    <t>Big Spring SD</t>
  </si>
  <si>
    <t>Cumberland</t>
  </si>
  <si>
    <t>Camp Hill SD</t>
  </si>
  <si>
    <t>Carlisle Area SD</t>
  </si>
  <si>
    <t>Cumberland Valley SD</t>
  </si>
  <si>
    <t>East Pennsboro Area SD</t>
  </si>
  <si>
    <t>Mechanicsburg Area SD</t>
  </si>
  <si>
    <t>Shippensburg Area SD</t>
  </si>
  <si>
    <t>South Middleton SD</t>
  </si>
  <si>
    <t>Central Dauphin SD</t>
  </si>
  <si>
    <t>Dauphin</t>
  </si>
  <si>
    <t>Derry Township SD</t>
  </si>
  <si>
    <t>Halifax Area SD</t>
  </si>
  <si>
    <t>Harrisburg City SD</t>
  </si>
  <si>
    <t>Lower Dauphin SD</t>
  </si>
  <si>
    <t>Middletown Area SD</t>
  </si>
  <si>
    <t>Millersburg Area SD</t>
  </si>
  <si>
    <t>Steelton-Highspire SD</t>
  </si>
  <si>
    <t>Susquehanna Township SD</t>
  </si>
  <si>
    <t>Upper Dauphin Area SD</t>
  </si>
  <si>
    <t>Chester-Upland SD</t>
  </si>
  <si>
    <t>Delaware</t>
  </si>
  <si>
    <t>Chichester SD</t>
  </si>
  <si>
    <t>Garnet Valley SD</t>
  </si>
  <si>
    <t>Haverford Township SD</t>
  </si>
  <si>
    <t>Interboro SD</t>
  </si>
  <si>
    <t>Marple Newtown SD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</si>
  <si>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</si>
  <si>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</si>
  <si>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</si>
  <si>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</si>
  <si>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</si>
  <si>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</si>
  <si>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</si>
  <si>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</si>
  <si>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</si>
  <si>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Johnsonburg Area SD</t>
  </si>
  <si>
    <t>Elk</t>
  </si>
  <si>
    <t>Ridgway Area SD</t>
  </si>
  <si>
    <t>Saint Marys Area SD</t>
  </si>
  <si>
    <t>Corry Area SD</t>
  </si>
  <si>
    <t>Erie</t>
  </si>
  <si>
    <t>Erie City SD</t>
  </si>
  <si>
    <t>Fairview SD</t>
  </si>
  <si>
    <t>Fort LeBoeuf SD</t>
  </si>
  <si>
    <t>General McLane SD</t>
  </si>
  <si>
    <t>Girard SD</t>
  </si>
  <si>
    <t>Harbor Creek SD</t>
  </si>
  <si>
    <t>Iroquois SD</t>
  </si>
  <si>
    <t>Millcreek Township SD</t>
  </si>
  <si>
    <t>North East SD</t>
  </si>
  <si>
    <t>Northwestern SD</t>
  </si>
  <si>
    <t>Union City Area SD</t>
  </si>
  <si>
    <t>Wattsburg Area SD</t>
  </si>
  <si>
    <t>Albert Gallatin Area SD</t>
  </si>
  <si>
    <t>Fayette</t>
  </si>
  <si>
    <t>Brownsville Area SD</t>
  </si>
  <si>
    <t>Connellsville Area SD</t>
  </si>
  <si>
    <t>Frazier SD</t>
  </si>
  <si>
    <t>Laurel Highlands SD</t>
  </si>
  <si>
    <t>Uniontown Area SD</t>
  </si>
  <si>
    <t>Forest Area SD</t>
  </si>
  <si>
    <t>Forest</t>
  </si>
  <si>
    <t>Chambersburg Area SD</t>
  </si>
  <si>
    <t>Franklin</t>
  </si>
  <si>
    <t>Fannett-Metal SD</t>
  </si>
  <si>
    <t>Greencastle-Antrim SD</t>
  </si>
  <si>
    <t>Tuscarora SD</t>
  </si>
  <si>
    <t>Waynesboro Area SD</t>
  </si>
  <si>
    <t>Central Fulton SD</t>
  </si>
  <si>
    <t>Fulton</t>
  </si>
  <si>
    <t>Forbes Road SD</t>
  </si>
  <si>
    <t>Southern Fulton SD</t>
  </si>
  <si>
    <t>Carmichaels Area SD</t>
  </si>
  <si>
    <t>Greene</t>
  </si>
  <si>
    <t>Central Greene SD</t>
  </si>
  <si>
    <t>Jefferson-Morgan SD</t>
  </si>
  <si>
    <t>Southeastern Greene SD</t>
  </si>
  <si>
    <t>West Greene SD</t>
  </si>
  <si>
    <t>Huntingdon Area SD</t>
  </si>
  <si>
    <t>Huntingdon</t>
  </si>
  <si>
    <t>Juniata Valley SD</t>
  </si>
  <si>
    <t>Mount Union Area SD</t>
  </si>
  <si>
    <t>Southern Huntingdon County SD</t>
  </si>
  <si>
    <t>Homer-Center SD</t>
  </si>
  <si>
    <t>Indiana</t>
  </si>
  <si>
    <t>Indiana Area SD</t>
  </si>
  <si>
    <t>Marion Center Area SD</t>
  </si>
  <si>
    <t>Penns Manor Area SD</t>
  </si>
  <si>
    <t>Purchase Line SD</t>
  </si>
  <si>
    <t>River Valley SD</t>
  </si>
  <si>
    <t>United SD</t>
  </si>
  <si>
    <t>Brockway Area SD</t>
  </si>
  <si>
    <t>Jefferson</t>
  </si>
  <si>
    <t>Brookville Area SD</t>
  </si>
  <si>
    <t>Punxsutawney Area SD</t>
  </si>
  <si>
    <t>Juniata County SD</t>
  </si>
  <si>
    <t>Juniata</t>
  </si>
  <si>
    <t>Abington Heights SD</t>
  </si>
  <si>
    <t>Lackawanna</t>
  </si>
  <si>
    <t>Carbondale Area SD</t>
  </si>
  <si>
    <t>Dunmore SD</t>
  </si>
  <si>
    <t>Lakeland SD</t>
  </si>
  <si>
    <t>Mid Valley SD</t>
  </si>
  <si>
    <t>North Pocono SD</t>
  </si>
  <si>
    <t>Old Forge SD</t>
  </si>
  <si>
    <t>Riverside SD</t>
  </si>
  <si>
    <t>Scranton SD</t>
  </si>
  <si>
    <t>Valley View SD</t>
  </si>
  <si>
    <t>Cocalico SD</t>
  </si>
  <si>
    <t>Lancaster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</si>
  <si>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</si>
  <si>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</si>
  <si>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</si>
  <si>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</si>
  <si>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</si>
  <si>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</si>
  <si>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Hempfield SD</t>
  </si>
  <si>
    <t>Lampeter-Strasburg SD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</si>
  <si>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</si>
  <si>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</si>
  <si>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</si>
  <si>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</si>
  <si>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</si>
  <si>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</si>
  <si>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</si>
  <si>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Ellwood City Area SD</t>
  </si>
  <si>
    <t>Lawrence</t>
  </si>
  <si>
    <t>Laurel SD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</si>
  <si>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</si>
  <si>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</si>
  <si>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</si>
  <si>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</si>
  <si>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</si>
  <si>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</si>
  <si>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Annville-Cleona SD</t>
  </si>
  <si>
    <t>Lebanon</t>
  </si>
  <si>
    <t>Cornwall-Lebanon SD</t>
  </si>
  <si>
    <t>Eastern Lebanon County SD</t>
  </si>
  <si>
    <t>Lebanon SD</t>
  </si>
  <si>
    <t>Northern Lebanon SD</t>
  </si>
  <si>
    <t>Palmyra Area SD</t>
  </si>
  <si>
    <t>Allentown City SD</t>
  </si>
  <si>
    <t>Lehigh</t>
  </si>
  <si>
    <t>Catasauqua Area SD</t>
  </si>
  <si>
    <t>East Penn SD</t>
  </si>
  <si>
    <t>Northern Lehigh SD</t>
  </si>
  <si>
    <t>Northwestern Lehigh SD</t>
  </si>
  <si>
    <t>Parkland SD</t>
  </si>
  <si>
    <t>Salisbury Township SD</t>
  </si>
  <si>
    <t>Southern Lehigh SD</t>
  </si>
  <si>
    <t>Whitehall-Coplay SD</t>
  </si>
  <si>
    <t>Crestwood SD</t>
  </si>
  <si>
    <t>Luzerne</t>
  </si>
  <si>
    <t>Dallas SD</t>
  </si>
  <si>
    <t>Greater Nanticoke Area SD</t>
  </si>
  <si>
    <t>Hanover Area SD</t>
  </si>
  <si>
    <t>Hazleton Area SD</t>
  </si>
  <si>
    <t>Lake-Lehman SD</t>
  </si>
  <si>
    <t>Northwest Area SD</t>
  </si>
  <si>
    <t>Pittston Area SD</t>
  </si>
  <si>
    <t>Wilkes-Barre Area SD</t>
  </si>
  <si>
    <t>Wyoming Area SD</t>
  </si>
  <si>
    <t>Wyoming Valley West SD</t>
  </si>
  <si>
    <t>East Lycoming SD</t>
  </si>
  <si>
    <t>Lycoming</t>
  </si>
  <si>
    <t>Jersey Shore Area SD</t>
  </si>
  <si>
    <t>Loyalsock Township SD</t>
  </si>
  <si>
    <t>Montgomery Area SD</t>
  </si>
  <si>
    <t>Montoursville Area SD</t>
  </si>
  <si>
    <t>Muncy SD</t>
  </si>
  <si>
    <t>South Williamsport Area SD</t>
  </si>
  <si>
    <t>Williamsport Area SD</t>
  </si>
  <si>
    <t>Bradford Area SD</t>
  </si>
  <si>
    <t>McKean</t>
  </si>
  <si>
    <t>Kane Area SD</t>
  </si>
  <si>
    <t>Otto-Eldred SD</t>
  </si>
  <si>
    <t>Port Allegany SD</t>
  </si>
  <si>
    <t>Smethport Area SD</t>
  </si>
  <si>
    <t>Commodore Perry SD</t>
  </si>
  <si>
    <t>Mercer</t>
  </si>
  <si>
    <t>Farrell Area SD</t>
  </si>
  <si>
    <t>Greenville Area SD</t>
  </si>
  <si>
    <t>Grove City Area SD</t>
  </si>
  <si>
    <t>Hermitage SD</t>
  </si>
  <si>
    <t>Jamestown Area SD</t>
  </si>
  <si>
    <t>Lakeview SD</t>
  </si>
  <si>
    <t>Mercer Area SD</t>
  </si>
  <si>
    <t>Reynolds SD</t>
  </si>
  <si>
    <t>Sharon City SD</t>
  </si>
  <si>
    <t>Sharpsville Area SD</t>
  </si>
  <si>
    <t>West Middlesex Area SD</t>
  </si>
  <si>
    <t>Mifflin County SD</t>
  </si>
  <si>
    <t>Mifflin</t>
  </si>
  <si>
    <t>East Stroudsburg Area SD</t>
  </si>
  <si>
    <t>Monroe</t>
  </si>
  <si>
    <t>Pleasant Valley SD</t>
  </si>
  <si>
    <t>Pocono Mountain SD</t>
  </si>
  <si>
    <t>Stroudsburg Area SD</t>
  </si>
  <si>
    <t>Abington SD</t>
  </si>
  <si>
    <t>Montgomery</t>
  </si>
  <si>
    <t>Bryn Athyn SD</t>
  </si>
  <si>
    <t>Cheltenham SD</t>
  </si>
  <si>
    <t>Colonial SD</t>
  </si>
  <si>
    <t>Hatboro-Horsham SD</t>
  </si>
  <si>
    <t>Jenkintown SD</t>
  </si>
  <si>
    <t>Lower Merion SD</t>
  </si>
  <si>
    <t>Lower Moreland Township SD</t>
  </si>
  <si>
    <t>Methacton SD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</si>
  <si>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</si>
  <si>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</si>
  <si>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</si>
  <si>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</si>
  <si>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</si>
  <si>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</si>
  <si>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</si>
  <si>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</si>
  <si>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</si>
  <si>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</si>
  <si>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</si>
  <si>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</si>
  <si>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Wissahickon SD</t>
  </si>
  <si>
    <t>Danville Area SD</t>
  </si>
  <si>
    <t>Montour</t>
  </si>
  <si>
    <t>Bangor Area SD</t>
  </si>
  <si>
    <t>Northampton</t>
  </si>
  <si>
    <t>Bethlehem Area SD</t>
  </si>
  <si>
    <t>Easton Area SD</t>
  </si>
  <si>
    <t>Nazareth Area SD</t>
  </si>
  <si>
    <t>Northampton Area SD</t>
  </si>
  <si>
    <t>Pen Argyl Area SD</t>
  </si>
  <si>
    <t>Saucon Valley SD</t>
  </si>
  <si>
    <t>Wilson Area SD</t>
  </si>
  <si>
    <t>Line Mountain SD</t>
  </si>
  <si>
    <t>Northumberland</t>
  </si>
  <si>
    <t>Milton Area SD</t>
  </si>
  <si>
    <t>Mount Carmel Area SD</t>
  </si>
  <si>
    <t>Shamokin Area SD</t>
  </si>
  <si>
    <t>Shikellamy SD</t>
  </si>
  <si>
    <t>Warrior Run SD</t>
  </si>
  <si>
    <t>Greenwood SD</t>
  </si>
  <si>
    <t>Perry</t>
  </si>
  <si>
    <t>Newport SD</t>
  </si>
  <si>
    <t>Susquenita SD</t>
  </si>
  <si>
    <t>West Perry SD</t>
  </si>
  <si>
    <t>Philadelphia City SD</t>
  </si>
  <si>
    <t>Philadelphia</t>
  </si>
  <si>
    <t>Delaware Valley SD</t>
  </si>
  <si>
    <t>Pike</t>
  </si>
  <si>
    <t>Wallenpaupack Area SD</t>
  </si>
  <si>
    <t>Austin Area SD</t>
  </si>
  <si>
    <t>Potter</t>
  </si>
  <si>
    <t>Coudersport Area SD</t>
  </si>
  <si>
    <t>Galeton Area SD</t>
  </si>
  <si>
    <t>Northern Potter SD</t>
  </si>
  <si>
    <t>Oswayo Valley SD</t>
  </si>
  <si>
    <t>Blue Mountain SD</t>
  </si>
  <si>
    <t>Schuylkill</t>
  </si>
  <si>
    <t>Mahanoy Area SD</t>
  </si>
  <si>
    <t>Minersville Area SD</t>
  </si>
  <si>
    <t>North Schuylkill SD</t>
  </si>
  <si>
    <t>Pine Grove Area SD</t>
  </si>
  <si>
    <t>Pottsville Area SD</t>
  </si>
  <si>
    <t>Saint Clair Area SD</t>
  </si>
  <si>
    <t>Schuylkill Haven Area SD</t>
  </si>
  <si>
    <t>Shenandoah Valley SD</t>
  </si>
  <si>
    <t>Tamaqua Area SD</t>
  </si>
  <si>
    <t>Tri-Valley SD</t>
  </si>
  <si>
    <t>Williams Valley SD</t>
  </si>
  <si>
    <t>Midd-West SD</t>
  </si>
  <si>
    <t>Snyder</t>
  </si>
  <si>
    <t>Selinsgrove Area SD</t>
  </si>
  <si>
    <t>Berlin Brothersvalley SD</t>
  </si>
  <si>
    <t>Somerset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</si>
  <si>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</si>
  <si>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</si>
  <si>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</si>
  <si>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</si>
  <si>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</si>
  <si>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</si>
  <si>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</si>
  <si>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</si>
  <si>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Turkeyfoot Valley Area SD</t>
  </si>
  <si>
    <t>Windber Area SD</t>
  </si>
  <si>
    <t>Sullivan County SD</t>
  </si>
  <si>
    <t>Sullivan</t>
  </si>
  <si>
    <t>Blue Ridge SD</t>
  </si>
  <si>
    <t>Susquehanna</t>
  </si>
  <si>
    <t>Elk Lake SD</t>
  </si>
  <si>
    <t>Forest City Regional SD</t>
  </si>
  <si>
    <t>Montrose Area SD</t>
  </si>
  <si>
    <t>Mountain View SD</t>
  </si>
  <si>
    <t>Susquehanna Community SD</t>
  </si>
  <si>
    <t>Northern Tioga SD</t>
  </si>
  <si>
    <t>Tioga</t>
  </si>
  <si>
    <t>Southern Tioga SD</t>
  </si>
  <si>
    <t>Wellsboro Area SD</t>
  </si>
  <si>
    <t>Lewisburg Area SD</t>
  </si>
  <si>
    <t>Union</t>
  </si>
  <si>
    <t>Mifflinburg Area SD</t>
  </si>
  <si>
    <t>Cranberry Area SD</t>
  </si>
  <si>
    <t>Venango</t>
  </si>
  <si>
    <t>Franklin Area SD</t>
  </si>
  <si>
    <t>Oil City Area SD</t>
  </si>
  <si>
    <t>Titusville Area SD</t>
  </si>
  <si>
    <t>Valley Grove SD</t>
  </si>
  <si>
    <t>Warren County SD</t>
  </si>
  <si>
    <t>Warren</t>
  </si>
  <si>
    <t>Avella Area SD</t>
  </si>
  <si>
    <t>Washington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</si>
  <si>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</si>
  <si>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</si>
  <si>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</si>
  <si>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</si>
  <si>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</si>
  <si>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</si>
  <si>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</si>
  <si>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</si>
  <si>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</si>
  <si>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Peters Township SD</t>
  </si>
  <si>
    <t>Ringgold SD</t>
  </si>
  <si>
    <t>Trinity Area SD</t>
  </si>
  <si>
    <t>Washington SD</t>
  </si>
  <si>
    <t>Wayne Highlands SD</t>
  </si>
  <si>
    <t>Wayne</t>
  </si>
  <si>
    <t>Western Wayne SD</t>
  </si>
  <si>
    <t>Belle Vernon Area SD</t>
  </si>
  <si>
    <t>Westmoreland</t>
  </si>
  <si>
    <t>Burrell SD</t>
  </si>
  <si>
    <t>Derry Area SD</t>
  </si>
  <si>
    <t>Franklin Regional SD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</si>
  <si>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</si>
  <si>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</si>
  <si>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</si>
  <si>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</si>
  <si>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</si>
  <si>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</si>
  <si>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</si>
  <si>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</si>
  <si>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</si>
  <si>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Norwin SD</t>
  </si>
  <si>
    <t>Penn-Trafford SD</t>
  </si>
  <si>
    <t>Southmoreland SD</t>
  </si>
  <si>
    <t>Yough SD</t>
  </si>
  <si>
    <t>Lackawanna Trail SD</t>
  </si>
  <si>
    <t>Wyoming</t>
  </si>
  <si>
    <t>Tunkhannock Area SD</t>
  </si>
  <si>
    <t>Central York SD</t>
  </si>
  <si>
    <t>York</t>
  </si>
  <si>
    <t>Dallastown Area SD</t>
  </si>
  <si>
    <t>Dover Area SD</t>
  </si>
  <si>
    <t>Eastern York SD</t>
  </si>
  <si>
    <t>Hanover Public SD</t>
  </si>
  <si>
    <t>Northeastern York SD</t>
  </si>
  <si>
    <t>Northern York County SD</t>
  </si>
  <si>
    <t>Red Lion Area SD</t>
  </si>
  <si>
    <t>South Eastern SD</t>
  </si>
  <si>
    <t>South Western SD</t>
  </si>
  <si>
    <t>Southern York County SD</t>
  </si>
  <si>
    <t>Spring Grove Area SD</t>
  </si>
  <si>
    <t>West Shore SD</t>
  </si>
  <si>
    <t>West York Area SD</t>
  </si>
  <si>
    <t>York City SD</t>
  </si>
  <si>
    <t>York Suburban SD</t>
  </si>
  <si>
    <t xml:space="preserve">Total Expenditures </t>
  </si>
  <si>
    <t>Percentange of expenses for cyber tuition</t>
  </si>
  <si>
    <t>Column Labels</t>
  </si>
  <si>
    <t>Row Labels</t>
  </si>
  <si>
    <t>Grand Total</t>
  </si>
  <si>
    <t>Count of School District</t>
  </si>
  <si>
    <t>District</t>
  </si>
  <si>
    <t>Tuition</t>
  </si>
  <si>
    <t xml:space="preserve">Expenditures </t>
  </si>
  <si>
    <t>Percentange</t>
  </si>
  <si>
    <t>Expenditures</t>
  </si>
  <si>
    <t>Tuition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</si>
</sst>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,,&quot;M&quot;"/>
    <numFmt numFmtId="168" formatCode="0.0%"/>
    <numFmt numFmtId="171" formatCode="0,&quot;K&quot;"/>
    <numFmt numFmtId="172" formatCode="0,,,&quot;B&quot;"/>
  </numFmts>
  <fonts count="7" x14ac:knownFonts="1">
    <font>
      <sz val="12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4" fillId="0" borderId="1" xfId="1" applyNumberFormat="1" applyFont="1" applyBorder="1" applyAlignment="1">
      <alignment horizontal="right" wrapText="1"/>
    </xf>
    <xf numFmtId="164" fontId="5" fillId="0" borderId="0" xfId="0" applyNumberFormat="1" applyFont="1"/>
    <xf numFmtId="9" fontId="2" fillId="0" borderId="0" xfId="0" applyNumberFormat="1" applyFont="1" applyAlignment="1">
      <alignment horizontal="right"/>
    </xf>
    <xf numFmtId="0" fontId="0" fillId="0" borderId="0" xfId="0" pivotButton="1"/>
    <xf numFmtId="164" fontId="0" fillId="0" borderId="0" xfId="0" applyNumberFormat="1"/>
    <xf numFmtId="9" fontId="0" fillId="0" borderId="0" xfId="0" applyNumberFormat="1" applyAlignment="1">
      <alignment horizontal="left"/>
    </xf>
    <xf numFmtId="49" fontId="0" fillId="0" borderId="0" xfId="0" applyNumberFormat="1"/>
    <xf numFmtId="2" fontId="1" fillId="0" borderId="1" xfId="0" applyNumberFormat="1" applyFont="1" applyBorder="1" applyAlignment="1">
      <alignment horizontal="right" wrapText="1"/>
    </xf>
    <xf numFmtId="2" fontId="2" fillId="0" borderId="0" xfId="0" applyNumberFormat="1" applyFont="1" applyAlignment="1">
      <alignment horizontal="right"/>
    </xf>
    <xf numFmtId="2" fontId="4" fillId="0" borderId="1" xfId="1" applyNumberFormat="1" applyFont="1" applyBorder="1" applyAlignment="1">
      <alignment horizontal="right" wrapText="1"/>
    </xf>
    <xf numFmtId="2" fontId="5" fillId="0" borderId="0" xfId="0" applyNumberFormat="1" applyFont="1"/>
    <xf numFmtId="2" fontId="0" fillId="0" borderId="0" xfId="0" applyNumberFormat="1"/>
    <xf numFmtId="165" fontId="0" fillId="0" borderId="0" xfId="0" applyNumberFormat="1"/>
    <xf numFmtId="168" fontId="0" fillId="0" borderId="0" xfId="2" applyNumberFormat="1" applyFont="1"/>
    <xf numFmtId="171" fontId="0" fillId="0" borderId="0" xfId="0" applyNumberFormat="1"/>
    <xf numFmtId="172" fontId="0" fillId="0" borderId="0" xfId="0" applyNumberFormat="1"/>
    <xf numFmtId="168" fontId="1" fillId="0" borderId="1" xfId="2" applyNumberFormat="1" applyFont="1" applyBorder="1" applyAlignment="1">
      <alignment horizontal="right" wrapText="1"/>
    </xf>
    <xf numFmtId="168" fontId="2" fillId="0" borderId="0" xfId="2" applyNumberFormat="1" applyFont="1" applyAlignment="1">
      <alignment horizontal="right"/>
    </xf>
  </cellXfs>
  <cellStyles count="3">
    <cellStyle name="Normal" xfId="0" builtinId="0"/>
    <cellStyle name="Normal_Exp07-08AFR5-26-09" xfId="1" xr:uid="{5ED053C3-988B-6544-81B9-C4693CBE89BA}"/>
    <cellStyle name="Percent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0.0%"/>
      <alignment horizontal="right" vertical="bottom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si Page" refreshedDate="45918.572230902777" createdVersion="8" refreshedVersion="8" minRefreshableVersion="3" recordCount="500" xr:uid="{897BF3E9-A8FE-9545-8D5F-BFD60AD9D2B7}">
  <cacheSource type="worksheet">
    <worksheetSource name="TuitionRates"/>
  </cacheSource>
  <cacheFields count="5">
    <cacheField name="School District" numFmtId="0">
      <sharedItems/>
    </cacheField>
    <cacheField name="County" numFmtId="0">
      <sharedItems/>
    </cacheField>
    <cacheField name="2022-23_x000a_Cyber Charter School Expenditures" numFmtId="164">
      <sharedItems containsSemiMixedTypes="0" containsString="0" containsNumber="1" minValue="0" maxValue="213690169.38999999"/>
    </cacheField>
    <cacheField name="Total Expenditures " numFmtId="164">
      <sharedItems containsSemiMixedTypes="0" containsString="0" containsNumber="1" minValue="257062" maxValue="4239795495.5599999" count="500">
        <n v="35133686.850000001"/>
        <n v="73538519.769999996"/>
        <n v="19740927.98"/>
        <n v="72057280.760000005"/>
        <n v="39059777.030000001"/>
        <n v="35005417.450000003"/>
        <n v="25464295"/>
        <n v="37959146.640000001"/>
        <n v="81006904.780000001"/>
        <n v="98528960.090000004"/>
        <n v="29072931.309999999"/>
        <n v="34804610.520000003"/>
        <n v="77271189.849999994"/>
        <n v="20841084.719999999"/>
        <n v="17262492"/>
        <n v="41633976.770000003"/>
        <n v="22215586"/>
        <n v="41305275.729999997"/>
        <n v="51903373.439999998"/>
        <n v="112829817.31999999"/>
        <n v="83707392.519999996"/>
        <n v="60587653.770000003"/>
        <n v="46573513"/>
        <n v="46029737"/>
        <n v="77669099"/>
        <n v="80463481.799999997"/>
        <n v="88029119.299999997"/>
        <n v="113249281.87"/>
        <n v="193101431.49000001"/>
        <n v="97134603.150000006"/>
        <n v="28479662.309999999"/>
        <n v="97685359.689999998"/>
        <n v="102613438"/>
        <n v="746818491.24000001"/>
        <n v="68582576.840000004"/>
        <n v="57564725.57"/>
        <n v="26934325.920000002"/>
        <n v="94071468.590000004"/>
        <n v="31085509.649999999"/>
        <n v="69587244.219999999"/>
        <n v="39521758.009999998"/>
        <n v="44620900.979999997"/>
        <n v="33297135.34"/>
        <n v="99431026.939999998"/>
        <n v="72660908.930000007"/>
        <n v="62097678.409999996"/>
        <n v="61047895.079999998"/>
        <n v="39173806.530000001"/>
        <n v="111719789.66"/>
        <n v="26921014.93"/>
        <n v="107846556.95"/>
        <n v="36865329.619999997"/>
        <n v="17331066.809999999"/>
        <n v="26987214.640000001"/>
        <n v="49856028.619999997"/>
        <n v="38003973.450000003"/>
        <n v="34577025.729999997"/>
        <n v="41586942.869999997"/>
        <n v="42870253.659999996"/>
        <n v="27397836.219999999"/>
        <n v="45241535.090000004"/>
        <n v="7296848.3799999999"/>
        <n v="30643469.109999999"/>
        <n v="26685406.73"/>
        <n v="20770956"/>
        <n v="25561780.91"/>
        <n v="16230264.279999999"/>
        <n v="35201795.829999998"/>
        <n v="24021826.59"/>
        <n v="25139093.170000002"/>
        <n v="17402895.190000001"/>
        <n v="19158803.77"/>
        <n v="23040132.82"/>
        <n v="138457358.16"/>
        <n v="35031788.619999997"/>
        <n v="62975396.25"/>
        <n v="63445914.219999999"/>
        <n v="82798021.579999998"/>
        <n v="51717948.130000003"/>
        <n v="83411053.079999998"/>
        <n v="47443959.18"/>
        <n v="37477343.329999998"/>
        <n v="69796946.329999998"/>
        <n v="37583393.450000003"/>
        <n v="353056600.10000002"/>
        <n v="46103669.649999999"/>
        <n v="39501383.719999999"/>
        <n v="69539565.879999995"/>
        <n v="125625146.63"/>
        <n v="41267011.399999999"/>
        <n v="123185631.93000001"/>
        <n v="22039462.16"/>
        <n v="14784841.210000001"/>
        <n v="53312634.609999999"/>
        <n v="29483449.359999999"/>
        <n v="29258845.440000001"/>
        <n v="8552048.6099999994"/>
        <n v="46977241.630000003"/>
        <n v="18844644.210000001"/>
        <n v="15626680.939999999"/>
        <n v="23833076.800000001"/>
        <n v="30207121.280000001"/>
        <n v="27086555.079999998"/>
        <n v="27513404.77"/>
        <n v="167455443.27000001"/>
        <n v="29418979.739999998"/>
        <n v="196818303.88"/>
        <n v="140275014.53999999"/>
        <n v="361464286.26999998"/>
        <n v="258798294.34999999"/>
        <n v="24220653"/>
        <n v="203296536.97999999"/>
        <n v="45687288.020000003"/>
        <n v="45505538.590000004"/>
        <n v="152461304.5"/>
        <n v="236566924.18000001"/>
        <n v="118744479.41"/>
        <n v="109260558.19"/>
        <n v="26489119.780000001"/>
        <n v="37549956.350000001"/>
        <n v="55384299.240000002"/>
        <n v="22960230.390000001"/>
        <n v="163061974.28"/>
        <n v="35344225"/>
        <n v="12485395.18"/>
        <n v="26638523.879999999"/>
        <n v="29933630.149999999"/>
        <n v="16863580.5"/>
        <n v="12953739.85"/>
        <n v="31067197.350000001"/>
        <n v="72514359.780000001"/>
        <n v="22794211.27"/>
        <n v="26757914.190000001"/>
        <n v="14455411.09"/>
        <n v="27179556"/>
        <n v="28963163.699999999"/>
        <n v="14089716"/>
        <n v="47407031.030000001"/>
        <n v="43862476.909999996"/>
        <n v="38354519.369999997"/>
        <n v="32643596.890000001"/>
        <n v="15690479.609999999"/>
        <n v="35516206.369999997"/>
        <n v="57567279.18"/>
        <n v="30487113.390000001"/>
        <n v="183445058.19"/>
        <n v="103075877.05"/>
        <n v="203801400.37"/>
        <n v="264050749.59"/>
        <n v="116755373.05"/>
        <n v="99749620.629999995"/>
        <n v="58621807.869999997"/>
        <n v="126476256.62"/>
        <n v="81182573.109999999"/>
        <n v="104480902.90000001"/>
        <n v="166384702.27000001"/>
        <n v="98697940.469999999"/>
        <n v="284856033.23000002"/>
        <n v="16335237.42"/>
        <n v="16496344.75"/>
        <n v="16391840.35"/>
        <n v="18004892.18"/>
        <n v="11145224.99"/>
        <n v="20754861.800000001"/>
        <n v="14145841.300000001"/>
        <n v="44676573.340000004"/>
        <n v="20371595.600000001"/>
        <n v="64714986.229999997"/>
        <n v="16878780.25"/>
        <n v="6728938.8099999996"/>
        <n v="17770468.190000001"/>
        <n v="36807610.850000001"/>
        <n v="19881556.600000001"/>
        <n v="84250202.629999995"/>
        <n v="15084424.960000001"/>
        <n v="50330572.450000003"/>
        <n v="29503234.02"/>
        <n v="35182990.43"/>
        <n v="13625599.84"/>
        <n v="24245194.359999999"/>
        <n v="41941532.509999998"/>
        <n v="67798510.799999997"/>
        <n v="61516922.950000003"/>
        <n v="62461533.789999999"/>
        <n v="27630183.539999999"/>
        <n v="101206671.83"/>
        <n v="174492699"/>
        <n v="48935096.840000004"/>
        <n v="89975761.349999994"/>
        <n v="64380111.82"/>
        <n v="42815054.630000003"/>
        <n v="248220115.5"/>
        <n v="69698009.969999999"/>
        <n v="22408291.34"/>
        <n v="203999880.27000001"/>
        <n v="70603796.739999995"/>
        <n v="57459532.299999997"/>
        <n v="17492927.030000001"/>
        <n v="32293807.98"/>
        <n v="60696254.359999999"/>
        <n v="24766614.210000001"/>
        <n v="148558474.50999999"/>
        <n v="91962684.549999997"/>
        <n v="120922411"/>
        <n v="141575880.88"/>
        <n v="75488403.540000007"/>
        <n v="105382030.70999999"/>
        <n v="70585360.620000005"/>
        <n v="111752256.37"/>
        <n v="127516385.53"/>
        <n v="113194498.48999999"/>
        <n v="107083429"/>
        <n v="81454703.689999998"/>
        <n v="240557304.87"/>
        <n v="90850477.849999994"/>
        <n v="121100678.53"/>
        <n v="12713365.689999999"/>
        <n v="18497269.82"/>
        <n v="32427735.829999998"/>
        <n v="40194632.240000002"/>
        <n v="279220710.05000001"/>
        <n v="33188316"/>
        <n v="38581807.700000003"/>
        <n v="40182143.539999999"/>
        <n v="42461978.280000001"/>
        <n v="40676536.200000003"/>
        <n v="33203499.66"/>
        <n v="117062497.34999999"/>
        <n v="29765774.809999999"/>
        <n v="26906925.629999999"/>
        <n v="26378507.109999999"/>
        <n v="29715432.649999999"/>
        <n v="61450613.329999998"/>
        <n v="33617505.189999998"/>
        <n v="82933008.969999999"/>
        <n v="21259489.289999999"/>
        <n v="61057678.780000001"/>
        <n v="58826827.880000003"/>
        <n v="14518481.6"/>
        <n v="174504700"/>
        <n v="9859999.9100000001"/>
        <n v="46556549.670000002"/>
        <n v="43248745"/>
        <n v="75694294.849999994"/>
        <n v="18173640.93"/>
        <n v="9233429.3499999996"/>
        <n v="19065543.579999998"/>
        <n v="21016874.699999999"/>
        <n v="36872074.289999999"/>
        <n v="16060416.68"/>
        <n v="13890947.949999999"/>
        <n v="15857542.300000001"/>
        <n v="35941329.060000002"/>
        <n v="14373136.65"/>
        <n v="24204461.739999998"/>
        <n v="20780731.579999998"/>
        <n v="18204096.93"/>
        <n v="60027610.189999998"/>
        <n v="30084067.989999998"/>
        <n v="19614916.27"/>
        <n v="21612471.32"/>
        <n v="35022544.689999998"/>
        <n v="23226795.23"/>
        <n v="18612539.84"/>
        <n v="28874003.289999999"/>
        <n v="44236822.109999999"/>
        <n v="50976626.539999999"/>
        <n v="55653850.659999996"/>
        <n v="31651942.399999999"/>
        <n v="26056817.940000001"/>
        <n v="27390973.309999999"/>
        <n v="35051555"/>
        <n v="64682993.939999998"/>
        <n v="19174574.050000001"/>
        <n v="31247441.5"/>
        <n v="200218133.43000001"/>
        <n v="44122425"/>
        <n v="68379982.540000007"/>
        <n v="32101021.98"/>
        <n v="89787353.099999994"/>
        <n v="58856630.659999996"/>
        <n v="67751191.219999999"/>
        <n v="74442540.159999996"/>
        <n v="84761515.299999997"/>
        <n v="140792456.02000001"/>
        <n v="58979453.710000001"/>
        <n v="278289692"/>
        <n v="67203750.519999996"/>
        <n v="113740937.23"/>
        <n v="102344007.44"/>
        <n v="42726325.140000001"/>
        <n v="74430676.609999999"/>
        <n v="83768533.180000007"/>
        <n v="32573311.57"/>
        <n v="19944828.120000001"/>
        <n v="29471860.43"/>
        <n v="22820697.640000001"/>
        <n v="65649028.770000003"/>
        <n v="21594171.989999998"/>
        <n v="15013371"/>
        <n v="23949970"/>
        <n v="30506930.800000001"/>
        <n v="98717622.340000004"/>
        <n v="53384335.350000001"/>
        <n v="112049712.94"/>
        <n v="45744416.609999999"/>
        <n v="61810895.859999999"/>
        <n v="410594030"/>
        <n v="38366679.43"/>
        <n v="170432309.33000001"/>
        <n v="37975976.869999997"/>
        <n v="49453020.359999999"/>
        <n v="217184920.52000001"/>
        <n v="40155849.259999998"/>
        <n v="69788964.829999998"/>
        <n v="91775996.189999998"/>
        <n v="47178198.729999997"/>
        <n v="48370545.439999998"/>
        <n v="36361996.960000001"/>
        <n v="38154621.32"/>
        <n v="209932292.12"/>
        <n v="35158624.049999997"/>
        <n v="21740017.399999999"/>
        <n v="66056684.07"/>
        <n v="158487666.18000001"/>
        <n v="44347073.270000003"/>
        <n v="84520354.129999995"/>
        <n v="28846507.079999998"/>
        <n v="47828657.350000001"/>
        <n v="28148832.510000002"/>
        <n v="20046164.84"/>
        <n v="36808687.990000002"/>
        <n v="20250898.23"/>
        <n v="20664351.25"/>
        <n v="111725472.09"/>
        <n v="46818845.280000001"/>
        <n v="21892368.550000001"/>
        <n v="12153985.18"/>
        <n v="17177840.140000001"/>
        <n v="17207510.73"/>
        <n v="11730222.32"/>
        <n v="23172412.300000001"/>
        <n v="24944487.940000001"/>
        <n v="41808282.32"/>
        <n v="36304282.850000001"/>
        <n v="10142480.720000001"/>
        <n v="21739087.960000001"/>
        <n v="21520772.359999999"/>
        <n v="23671429.710000001"/>
        <n v="43106625.359999999"/>
        <n v="18959270.59"/>
        <n v="17486861.309999999"/>
        <n v="90716320.870000005"/>
        <n v="177113658.56999999"/>
        <n v="101649543.98999999"/>
        <n v="239055379.97999999"/>
        <n v="136454893.99000001"/>
        <n v="178063678.88999999"/>
        <n v="257062"/>
        <n v="131960194.70999999"/>
        <n v="151368160.77000001"/>
        <n v="123839783.34999999"/>
        <n v="18610179.07"/>
        <n v="307088072.85000002"/>
        <n v="58580584.670000002"/>
        <n v="130299075.37"/>
        <n v="182754584.46000001"/>
        <n v="298599680.75999999"/>
        <n v="121620117.78"/>
        <n v="72685653"/>
        <n v="80010368.719999999"/>
        <n v="146206156.84"/>
        <n v="69492398.370000005"/>
        <n v="191524107.36000001"/>
        <n v="125356249.66"/>
        <n v="125996865.95"/>
        <n v="70719466.560000002"/>
        <n v="76529158.670000002"/>
        <n v="120090195.23"/>
        <n v="45479088.270000003"/>
        <n v="59456079.75"/>
        <n v="321560066.41000003"/>
        <n v="203922642"/>
        <n v="102493017.34999999"/>
        <n v="124842673.81"/>
        <n v="35669640.57"/>
        <n v="52036460.43"/>
        <n v="46191076.200000003"/>
        <n v="22492709.059999999"/>
        <n v="38151401.380000003"/>
        <n v="22832850.100000001"/>
        <n v="40031538.880000003"/>
        <n v="56481896.289999999"/>
        <n v="31437790.789999999"/>
        <n v="16681836.949999999"/>
        <n v="24059985.34"/>
        <n v="36258206.07"/>
        <n v="45353846.619999997"/>
        <n v="4239795495.5599999"/>
        <n v="96805484.450000003"/>
        <n v="88316701.25"/>
        <n v="4519886.0199999996"/>
        <n v="16109745.470000001"/>
        <n v="9509192.0999999996"/>
        <n v="11854265.76"/>
        <n v="9681651.9299999997"/>
        <n v="51044331.07"/>
        <n v="25340867.84"/>
        <n v="22374647.859999999"/>
        <n v="37252254.960000001"/>
        <n v="30007558.120000001"/>
        <n v="44086858.310000002"/>
        <n v="14386825.439999999"/>
        <n v="23605882.280000001"/>
        <n v="24018025.59"/>
        <n v="39370511.68"/>
        <n v="15174901.18"/>
        <n v="18791305.73"/>
        <n v="42434821.289999999"/>
        <n v="50189561.590000004"/>
        <n v="14428165.66"/>
        <n v="17793642.120000001"/>
        <n v="17500070.809999999"/>
        <n v="20124370.77"/>
        <n v="13311167.75"/>
        <n v="6936299.25"/>
        <n v="9067019.3800000008"/>
        <n v="8026969.4000000004"/>
        <n v="43786572.390000001"/>
        <n v="6462593.3799999999"/>
        <n v="21674558.690000001"/>
        <n v="17544559.75"/>
        <n v="23561910.66"/>
        <n v="24095232.899999999"/>
        <n v="18804407.449999999"/>
        <n v="30761595.640000001"/>
        <n v="23009581.16"/>
        <n v="17649513.449999999"/>
        <n v="40940996.420000002"/>
        <n v="38363803.030000001"/>
        <n v="28953190.57"/>
        <n v="43376612.789999999"/>
        <n v="36867634.159999996"/>
        <n v="25808237.84"/>
        <n v="41743642.509999998"/>
        <n v="38318216.5"/>
        <n v="39978354.57"/>
        <n v="16345451.98"/>
        <n v="92446342.519999996"/>
        <n v="11880277.52"/>
        <n v="21518918.920000002"/>
        <n v="21113701.010000002"/>
        <n v="24521430.550000001"/>
        <n v="18317342.280000001"/>
        <n v="106272685.98999999"/>
        <n v="30418863.059999999"/>
        <n v="24029912.940000001"/>
        <n v="20688886.920000002"/>
        <n v="34094573.399999999"/>
        <n v="79485094.370000005"/>
        <n v="54443876.939999998"/>
        <n v="71218509.579999998"/>
        <n v="33892915.299999997"/>
        <n v="67389113.849999994"/>
        <n v="52450106.649999999"/>
        <n v="45282001.649999999"/>
        <n v="34407882.890000001"/>
        <n v="38061374.43"/>
        <n v="64421342.590000004"/>
        <n v="67253897.599999994"/>
        <n v="51725131.659999996"/>
        <n v="104744948.17"/>
        <n v="22712200.739999998"/>
        <n v="65673609.060000002"/>
        <n v="33659625.399999999"/>
        <n v="17476820.289999999"/>
        <n v="38546293.43"/>
        <n v="47114452.75"/>
        <n v="84225431.459999993"/>
        <n v="67120723.879999995"/>
        <n v="34544873.020000003"/>
        <n v="36658931.630000003"/>
        <n v="22673059"/>
        <n v="49382911.780000001"/>
        <n v="105202812.42"/>
        <n v="126856703.48"/>
        <n v="70969373"/>
        <n v="54243516.770000003"/>
        <n v="46488302"/>
        <n v="83395915.980000004"/>
        <n v="60858689.909999996"/>
        <n v="98924656"/>
        <n v="57901800.200000003"/>
        <n v="84587414.290000007"/>
        <n v="60270637.979999997"/>
        <n v="84814610.170000002"/>
        <n v="141132890.34"/>
        <n v="68540219.530000001"/>
        <n v="182236908.03999999"/>
        <n v="67118959.090000004"/>
      </sharedItems>
    </cacheField>
    <cacheField name="Percentange of expenses for cyber tuition" numFmtId="9">
      <sharedItems containsSemiMixedTypes="0" containsString="0" containsNumber="1" minValue="0" maxValue="0.14771715989138479" count="500">
        <n v="3.4392939891533185E-2"/>
        <n v="2.8644196899640696E-2"/>
        <n v="2.5258090222767735E-2"/>
        <n v="2.2241556343736778E-2"/>
        <n v="3.428788466896171E-2"/>
        <n v="2.2725595006438063E-2"/>
        <n v="1.1046064302977953E-2"/>
        <n v="9.7973016497717568E-3"/>
        <n v="1.0679001899274888E-2"/>
        <n v="7.104822271143083E-3"/>
        <n v="3.2286047457386578E-2"/>
        <n v="2.1889199695604003E-2"/>
        <n v="1.2057183690435952E-2"/>
        <n v="1.639644263199368E-2"/>
        <n v="3.3460174811377176E-2"/>
        <n v="2.026276362357686E-2"/>
        <n v="2.6546677634341945E-2"/>
        <n v="3.2864444214666423E-2"/>
        <n v="2.0625083863527773E-2"/>
        <n v="8.9951261475639862E-3"/>
        <n v="2.2495054179953091E-2"/>
        <n v="9.5407251152910908E-3"/>
        <n v="3.5485448563865048E-2"/>
        <n v="1.158281656052043E-2"/>
        <n v="2.2205716587493825E-2"/>
        <n v="9.663296723011059E-3"/>
        <n v="1.809878302394876E-2"/>
        <n v="4.5380254206816364E-3"/>
        <n v="8.2787176545751663E-3"/>
        <n v="9.3852159831467833E-3"/>
        <n v="2.8580026024894255E-2"/>
        <n v="3.7304529374354606E-2"/>
        <n v="6.4022998625189809E-3"/>
        <n v="5.4035566142712793E-2"/>
        <n v="1.1306010297760634E-2"/>
        <n v="6.0968337210818742E-3"/>
        <n v="1.1015471145676251E-2"/>
        <n v="1.5102278419739932E-2"/>
        <n v="3.2834984901075927E-2"/>
        <n v="8.4778416879805561E-3"/>
        <n v="1.9345149064637981E-2"/>
        <n v="4.4111189751238414E-2"/>
        <n v="5.399385717846561E-2"/>
        <n v="3.405589084424677E-3"/>
        <n v="9.2203000191674028E-3"/>
        <n v="6.0894981854765287E-3"/>
        <n v="2.3630486327326457E-2"/>
        <n v="4.8633772634298043E-2"/>
        <n v="4.4004752112061937E-2"/>
        <n v="3.9006206219581036E-2"/>
        <n v="2.6478719217006955E-2"/>
        <n v="1.3703679180612195E-2"/>
        <n v="5.2086161798138041E-2"/>
        <n v="0.14771715989138479"/>
        <n v="2.6674412038236672E-2"/>
        <n v="1.338071348431594E-2"/>
        <n v="5.1772967518337216E-2"/>
        <n v="1.0049548515899361E-3"/>
        <n v="2.353629344025673E-2"/>
        <n v="2.9301287282459711E-2"/>
        <n v="2.7320153428507368E-2"/>
        <n v="6.9572742033595605E-2"/>
        <n v="2.3952097830871214E-2"/>
        <n v="1.5209011206253405E-2"/>
        <n v="5.7585151593407637E-2"/>
        <n v="5.2542383675410354E-3"/>
        <n v="3.1274050209119574E-2"/>
        <n v="1.4314069158101813E-2"/>
        <n v="3.1050614623556818E-2"/>
        <n v="2.7759735614997918E-2"/>
        <n v="1.5824519828071204E-2"/>
        <n v="2.4551565726485855E-2"/>
        <n v="2.4523755327900056E-2"/>
        <n v="3.8111075352905602E-2"/>
        <n v="1.4954759680780468E-2"/>
        <n v="1.9438182256773018E-2"/>
        <n v="3.0349581429673974E-2"/>
        <n v="1.8968916769134231E-2"/>
        <n v="2.0263918966113865E-2"/>
        <n v="1.4527333551799344E-2"/>
        <n v="3.3621376621376646E-2"/>
        <n v="3.1223121385536054E-2"/>
        <n v="1.736015203689786E-2"/>
        <n v="2.2180472902454205E-2"/>
        <n v="4.2747264874032298E-2"/>
        <n v="1.9500754643291176E-2"/>
        <n v="3.0356564937062416E-2"/>
        <n v="3.0471188641823601E-2"/>
        <n v="1.2997893206916768E-2"/>
        <n v="1.6192878702139306E-2"/>
        <n v="2.838486847221712E-2"/>
        <n v="2.339606548728955E-2"/>
        <n v="1.2081382374210836E-2"/>
        <n v="1.9751293060322458E-2"/>
        <n v="2.8697991868886268E-2"/>
        <n v="2.185256288773095E-2"/>
        <n v="1.9854468530669404E-2"/>
        <n v="2.9187220714218847E-2"/>
        <n v="2.6336878768803244E-2"/>
        <n v="2.3759882308059716E-2"/>
        <n v="3.0278065482506226E-2"/>
        <n v="2.1812557836693003E-2"/>
        <n v="2.504721910911973E-2"/>
        <n v="2.7933081580582587E-2"/>
        <n v="1.6781616799813211E-2"/>
        <n v="3.3796635668100164E-2"/>
        <n v="1.9988822698109719E-2"/>
        <n v="1.1974214549241994E-2"/>
        <n v="1.0327812848463515E-2"/>
        <n v="9.4338660389243021E-3"/>
        <n v="5.2886270242177201E-2"/>
        <n v="1.8182978790060058E-2"/>
        <n v="4.5886422478880152E-3"/>
        <n v="3.0230524516905843E-2"/>
        <n v="1.4496219006180679E-2"/>
        <n v="1.0647603120051693E-2"/>
        <n v="2.9115719039556821E-2"/>
        <n v="3.7964583548866088E-2"/>
        <n v="2.0866189386078572E-2"/>
        <n v="3.2374863466385892E-2"/>
        <n v="2.278193309862667E-2"/>
        <n v="2.6214450803688123E-2"/>
        <n v="9.7015492237544371E-3"/>
        <n v="3.9338817020319446E-2"/>
        <n v="4.130743661411284E-2"/>
        <n v="1.5185398478618703E-2"/>
        <n v="2.3868534368191224E-2"/>
        <n v="2.9250653501490979E-2"/>
        <n v="3.9202880085630248E-2"/>
        <n v="8.608837707080777E-3"/>
        <n v="6.6755064440837841E-2"/>
        <n v="4.8089687641120121E-2"/>
        <n v="2.1714366668278789E-2"/>
        <n v="2.709675619470743E-2"/>
        <n v="1.5388649468740401E-2"/>
        <n v="3.5897561494637409E-2"/>
        <n v="4.6076159377520458E-2"/>
        <n v="8.0645611356269742E-2"/>
        <n v="5.7580561516903175E-2"/>
        <n v="5.5158686505527195E-2"/>
        <n v="7.6331342357781454E-2"/>
        <n v="4.8611529982415878E-2"/>
        <n v="1.6381217462781626E-2"/>
        <n v="2.0971477672674679E-2"/>
        <n v="2.6202920551410068E-2"/>
        <n v="6.9853943335599434E-3"/>
        <n v="1.2490974385553385E-2"/>
        <n v="2.5200273553939761E-2"/>
        <n v="7.122927478601747E-3"/>
        <n v="1.2954611171104472E-2"/>
        <n v="5.6894808863996388E-3"/>
        <n v="2.1859805873639636E-2"/>
        <n v="1.5227025541926573E-2"/>
        <n v="2.761237632813927E-2"/>
        <n v="9.7609618762205391E-3"/>
        <n v="3.5577108467545176E-3"/>
        <n v="7.5744597753509739E-3"/>
        <n v="1.120779252522346E-2"/>
        <n v="5.3829608801608711E-2"/>
        <n v="2.9967890310973286E-2"/>
        <n v="4.3629660534120568E-2"/>
        <n v="3.531382713339859E-2"/>
        <n v="1.4354668491981696E-2"/>
        <n v="5.6315811748744088E-2"/>
        <n v="5.1492438275834461E-2"/>
        <n v="3.3817983498910839E-2"/>
        <n v="1.9133575378847596E-2"/>
        <n v="2.4842512278164169E-2"/>
        <n v="3.473694492823319E-2"/>
        <n v="7.5674027417705113E-3"/>
        <n v="4.3292766503075453E-2"/>
        <n v="2.5126174414550461E-2"/>
        <n v="2.0999983975097804E-2"/>
        <n v="3.4332167991368547E-2"/>
        <n v="1.8860003663010032E-2"/>
        <n v="3.7215169802822301E-2"/>
        <n v="2.4884128279032646E-2"/>
        <n v="1.972590167913137E-2"/>
        <n v="1.9406680300689056E-2"/>
        <n v="2.0664965706630862E-2"/>
        <n v="3.4710748818081283E-2"/>
        <n v="5.516220497869697E-2"/>
        <n v="2.7185896982514793E-2"/>
        <n v="6.2387117855627665E-2"/>
        <n v="2.2450833853563321E-2"/>
        <n v="3.7314835195287541E-2"/>
        <n v="3.0004286884232331E-2"/>
        <n v="6.4820748600361813E-2"/>
        <n v="3.9737220962120817E-2"/>
        <n v="3.8677896319317083E-2"/>
        <n v="3.736401795641011E-2"/>
        <n v="4.0424685726165491E-2"/>
        <n v="2.4535619033256025E-2"/>
        <n v="4.3937454893872331E-2"/>
        <n v="5.6676376156188805E-2"/>
        <n v="2.5483759841213323E-2"/>
        <n v="4.5024045383676055E-2"/>
        <n v="8.5259700531661098E-2"/>
        <n v="0.12330747747265201"/>
        <n v="5.3477371943714123E-2"/>
        <n v="5.9886154700998187E-2"/>
        <n v="9.10309702264053E-2"/>
        <n v="3.1379343525264669E-2"/>
        <n v="4.0036045923695649E-3"/>
        <n v="3.9966478504880202E-3"/>
        <n v="1.1344565255592104E-2"/>
        <n v="8.1646860874009814E-3"/>
        <n v="1.7317841677975974E-2"/>
        <n v="2.36537362722066E-3"/>
        <n v="1.4441797752860131E-2"/>
        <n v="1.1220584188658301E-2"/>
        <n v="5.572644307085086E-2"/>
        <n v="5.260640706898875E-3"/>
        <n v="2.4052903873057932E-2"/>
        <n v="6.2314646372550707E-3"/>
        <n v="3.8441392207779895E-2"/>
        <n v="3.30051152646424E-2"/>
        <n v="2.0572431699544726E-2"/>
        <n v="1.9874390965149293E-2"/>
        <n v="3.6531817015574709E-2"/>
        <n v="2.9269330303388075E-2"/>
        <n v="8.2369048191538244E-3"/>
        <n v="2.0332473431513162E-2"/>
        <n v="2.8417196032942151E-2"/>
        <n v="9.8440823280455027E-3"/>
        <n v="1.6214990547793989E-2"/>
        <n v="2.452382002915653E-2"/>
        <n v="1.963717784976847E-2"/>
        <n v="2.7050833554297122E-2"/>
        <n v="3.4033016353938614E-2"/>
        <n v="1.7058947958029459E-2"/>
        <n v="2.0560346106890691E-2"/>
        <n v="3.5301752292534849E-2"/>
        <n v="5.5808599103245954E-2"/>
        <n v="2.7310297650231276E-2"/>
        <n v="4.6127076084620279E-2"/>
        <n v="3.5680058324025266E-2"/>
        <n v="6.3664652420826737E-2"/>
        <n v="3.8249788462727398E-2"/>
        <n v="3.6427695070677182E-2"/>
        <n v="7.3934233940576174E-2"/>
        <n v="1.4903666936622454E-2"/>
        <n v="3.6710706865598068E-2"/>
        <n v="4.4608832101432808E-2"/>
        <n v="5.819314434974919E-2"/>
        <n v="4.8285757447204598E-2"/>
        <n v="3.0997896677855963E-2"/>
        <n v="3.2128594267158098E-2"/>
        <n v="3.4348750765657021E-2"/>
        <n v="2.3068477448743255E-2"/>
        <n v="3.4390627027005745E-2"/>
        <n v="1.5594843470794336E-2"/>
        <n v="2.6272344531935901E-2"/>
        <n v="8.9987107998447911E-3"/>
        <n v="6.8165274143377835E-2"/>
        <n v="3.4151887158921666E-2"/>
        <n v="2.0363534177248527E-2"/>
        <n v="2.8482171863720502E-2"/>
        <n v="2.6377871179648273E-2"/>
        <n v="4.9206711194388394E-2"/>
        <n v="3.0946715444848998E-2"/>
        <n v="3.5089382592775845E-2"/>
        <n v="4.1117332397475136E-2"/>
        <n v="8.2323950045068116E-3"/>
        <n v="1.995416860673219E-2"/>
        <n v="5.7817533629338731E-2"/>
        <n v="4.3443272344871026E-2"/>
        <n v="2.0998462570711907E-2"/>
        <n v="7.504254967935238E-2"/>
        <n v="2.5571609761955452E-2"/>
        <n v="5.9822742019969496E-2"/>
        <n v="4.5057728537293139E-2"/>
        <n v="3.4067594830938956E-2"/>
        <n v="5.0413960564615515E-2"/>
        <n v="2.2707998349240848E-2"/>
        <n v="4.8083787043024573E-2"/>
        <n v="3.7289677527923726E-2"/>
        <n v="2.4219854677956457E-2"/>
        <n v="4.7637493938752162E-2"/>
        <n v="1.2804104479164115E-2"/>
        <n v="2.876384684301261E-2"/>
        <n v="2.3638166815393744E-2"/>
        <n v="2.653387143633977E-2"/>
        <n v="1.8792283790141254E-2"/>
        <n v="1.7102632115870948E-2"/>
        <n v="1.571349260976395E-2"/>
        <n v="1.4608784000522736E-2"/>
        <n v="2.7472136089347534E-2"/>
        <n v="1.4744512669249085E-2"/>
        <n v="1.9552059080480345E-2"/>
        <n v="1.3628612526164941E-2"/>
        <n v="2.0986885127820151E-2"/>
        <n v="1.7189046355938591E-2"/>
        <n v="2.7402188079091894E-2"/>
        <n v="1.4280780876441064E-2"/>
        <n v="1.9567760622704607E-2"/>
        <n v="1.9042850786396906E-2"/>
        <n v="4.1443055761447779E-2"/>
        <n v="1.7343554555990182E-2"/>
        <n v="2.6852663535724255E-2"/>
        <n v="2.6122443159636525E-2"/>
        <n v="3.8862182425771913E-2"/>
        <n v="1.9099845755057313E-2"/>
        <n v="2.6784269966564262E-2"/>
        <n v="2.1255643923651448E-2"/>
        <n v="4.6493458166325496E-2"/>
        <n v="3.0061997551510653E-2"/>
        <n v="2.4530239760183557E-2"/>
        <n v="2.3191377602103838E-2"/>
        <n v="2.013124761078422E-2"/>
        <n v="3.6675508961041776E-2"/>
        <n v="1.2773027924315037E-2"/>
        <n v="1.6921601928903567E-2"/>
        <n v="1.8609201741983033E-2"/>
        <n v="9.2571357316119113E-3"/>
        <n v="2.093323646438754E-2"/>
        <n v="2.1746657939858995E-2"/>
        <n v="3.8003719066600633E-2"/>
        <n v="2.8128213671133863E-2"/>
        <n v="5.811754496008191E-2"/>
        <n v="2.0126349487885539E-2"/>
        <n v="2.9257920291109914E-2"/>
        <n v="4.8311393715811841E-2"/>
        <n v="3.6458252694729909E-2"/>
        <n v="3.9017922082193915E-2"/>
        <n v="4.0326288256090817E-2"/>
        <n v="4.5209631447151157E-2"/>
        <n v="2.6987578698557637E-2"/>
        <n v="3.9528403989371026E-2"/>
        <n v="2.2354637968606816E-2"/>
        <n v="2.1571225890408271E-2"/>
        <n v="4.0363783963276216E-2"/>
        <n v="4.1456087056736937E-2"/>
        <n v="3.8306927249893707E-2"/>
        <n v="5.3315684494951943E-2"/>
        <n v="2.5172080237174103E-2"/>
        <n v="2.6027086502707353E-2"/>
        <n v="2.9041337863471049E-2"/>
        <n v="2.2521823864172948E-2"/>
        <n v="2.9194076231152812E-2"/>
        <n v="2.8990598875537763E-2"/>
        <n v="7.417095500238445E-2"/>
        <n v="1.2996048697402125E-2"/>
        <n v="1.5854976890138834E-2"/>
        <n v="1.8842702466439164E-2"/>
        <n v="2.5528919122263807E-2"/>
        <n v="3.9986442007109851E-2"/>
        <n v="3.3771323716562003E-2"/>
        <n v="3.1708701130245334E-2"/>
        <n v="4.9402050200294312E-2"/>
        <n v="1.9843909511921786E-2"/>
        <n v="2.3412735009562449E-2"/>
        <n v="2.9350718861444934E-2"/>
        <n v="3.981913070364735E-2"/>
        <n v="3.419082460755464E-2"/>
        <n v="4.8915498663859018E-2"/>
        <n v="4.9063011477555582E-2"/>
        <n v="1.1038158496175954E-2"/>
        <n v="0.1009017279878006"/>
        <n v="2.379864440865374E-2"/>
        <n v="1.0893386704390752E-2"/>
        <n v="6.9846418218883297E-3"/>
        <n v="3.8923773773231079E-3"/>
        <n v="4.3022142727286317E-3"/>
        <n v="4.8608724478270042E-3"/>
        <n v="9.3765505743665205E-3"/>
        <n v="2.2806037683351474E-2"/>
        <n v="1.403215003222899E-2"/>
        <n v="9.4663645375068651E-3"/>
        <n v="2.8223795416682851E-2"/>
        <n v="4.5035313518050242E-2"/>
        <n v="8.9026507373723262E-3"/>
        <n v="1.0803799517791774E-2"/>
        <n v="1.261853666002122E-2"/>
        <n v="6.6809501901303131E-3"/>
        <n v="1.5125738371590026E-2"/>
        <n v="1.8301321021729152E-2"/>
        <n v="3.8214233382738425E-2"/>
        <n v="6.1236778622230908E-3"/>
        <n v="1.1573493665377736E-2"/>
        <n v="4.5851479805982337E-2"/>
        <n v="2.4493154258644186E-2"/>
        <n v="2.7525110183694072E-2"/>
        <n v="1.7864382153444328E-2"/>
        <n v="2.1811311364126576E-2"/>
        <n v="3.9888895353676956E-2"/>
        <n v="3.2636194044837724E-2"/>
        <n v="2.8901260585913777E-2"/>
        <n v="4.177232975777441E-2"/>
        <n v="2.4494401678515746E-2"/>
        <n v="3.6005286085594716E-2"/>
        <n v="6.9371003656005334E-2"/>
        <n v="3.8303361645154847E-2"/>
        <n v="2.0121725289972258E-2"/>
        <n v="3.9616626273283412E-2"/>
        <n v="5.9334185363223498E-2"/>
        <n v="7.0310621410178339E-2"/>
        <n v="0.1069753053285781"/>
        <n v="5.0401055808889997E-2"/>
        <n v="2.0999643166395E-2"/>
        <n v="3.1243612147481559E-2"/>
        <n v="0"/>
        <n v="4.0974117265181097E-2"/>
        <n v="6.5462159503539744E-2"/>
        <n v="3.2466815557541544E-2"/>
        <n v="4.7294516814962592E-2"/>
        <n v="4.0525078233726766E-2"/>
        <n v="5.7393234090596962E-2"/>
        <n v="5.1238734891982336E-2"/>
        <n v="3.4842897735820715E-2"/>
        <n v="1.765380967959948E-2"/>
        <n v="4.0483310183959439E-2"/>
        <n v="3.5955466489624693E-2"/>
        <n v="3.3753084529912346E-2"/>
        <n v="4.1820318503541072E-2"/>
        <n v="4.0909162245360994E-2"/>
        <n v="2.4057154354398241E-2"/>
        <n v="0.13329704257863723"/>
        <n v="4.64802779896425E-2"/>
        <n v="3.6177805553132741E-2"/>
        <n v="1.1593186822336499E-2"/>
        <n v="2.3174471938856776E-2"/>
        <n v="4.2086978846915882E-2"/>
        <n v="5.5374984526783293E-2"/>
        <n v="5.2292276160369175E-2"/>
        <n v="3.6443267640161287E-2"/>
        <n v="3.5889766676554739E-2"/>
        <n v="1.8870232643468154E-2"/>
        <n v="2.0191692378321829E-2"/>
        <n v="3.658587444658324E-2"/>
        <n v="2.431736754313589E-2"/>
        <n v="6.4530023900998712E-2"/>
        <n v="1.991320087621451E-2"/>
        <n v="3.8866365138973194E-2"/>
        <n v="5.4957762043174624E-2"/>
        <n v="5.6271171049045103E-2"/>
        <n v="5.1477787090671231E-2"/>
        <n v="3.5142838455980215E-2"/>
        <n v="3.33857739068677E-2"/>
        <n v="3.1219902496720745E-2"/>
        <n v="3.291726408168355E-2"/>
        <n v="1.2924591938844196E-2"/>
        <n v="3.5575141716660673E-2"/>
        <n v="2.1894334805153823E-2"/>
        <n v="3.0544421457580177E-2"/>
        <n v="3.4119263353501857E-2"/>
        <n v="1.2342235324769146E-2"/>
        <n v="2.1571610894053721E-2"/>
        <n v="2.5955808251482571E-2"/>
        <n v="3.110560248932636E-2"/>
        <n v="3.8560808425593528E-2"/>
        <n v="5.6943317963561516E-2"/>
        <n v="4.8494422361504516E-2"/>
        <n v="3.1439188130954115E-2"/>
        <n v="2.6902426558307036E-2"/>
        <n v="2.9400857889920102E-2"/>
        <n v="2.7128267656553566E-2"/>
        <n v="2.4639346329802452E-2"/>
        <n v="4.0159983934569488E-2"/>
        <n v="1.230948164250132E-2"/>
        <n v="3.1297697110693676E-2"/>
        <n v="1.7602630515481228E-2"/>
        <n v="5.4057487937604481E-2"/>
        <n v="4.8389814521948939E-2"/>
        <n v="4.3365321355357055E-2"/>
        <n v="3.0452408236242359E-2"/>
        <n v="1.2822230923374315E-2"/>
        <n v="4.1753674789720412E-2"/>
        <n v="1.5779413454164708E-2"/>
        <n v="2.4137947954409711E-2"/>
        <n v="4.2234366349411828E-2"/>
        <n v="2.8698399517285283E-2"/>
        <n v="6.2407473684560268E-2"/>
        <n v="3.1691845016443197E-2"/>
        <n v="5.1719451102388091E-2"/>
        <n v="7.2807444311141348E-2"/>
        <n v="4.2464086280370537E-2"/>
        <n v="4.1805768613114157E-2"/>
        <n v="1.6491482749597542E-2"/>
        <n v="2.8880516149761167E-2"/>
        <n v="3.6432223365573106E-2"/>
        <n v="2.8901486019656815E-2"/>
        <n v="5.2618572553443273E-2"/>
        <n v="5.0098320265553206E-2"/>
        <n v="2.1443963408445156E-2"/>
        <n v="6.1830626879222127E-3"/>
        <n v="3.1877907953336435E-2"/>
        <n v="4.6612055053892848E-2"/>
        <n v="2.1647101673018729E-2"/>
        <n v="4.446897508613467E-2"/>
        <n v="4.4540963073781033E-2"/>
        <n v="3.5033793799596334E-2"/>
        <n v="2.2959199980107009E-2"/>
        <n v="2.6359812138903482E-2"/>
        <n v="2.4461814897151685E-2"/>
        <n v="2.5976546913131913E-2"/>
        <n v="5.9587430539686917E-2"/>
        <n v="1.7801711292534578E-2"/>
        <n v="5.1392128854295067E-2"/>
        <n v="3.8509081860673415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Bermudian Springs SD"/>
    <s v="Adams"/>
    <n v="1208350.78"/>
    <x v="0"/>
    <x v="0"/>
  </r>
  <r>
    <s v="Conewago Valley SD"/>
    <s v="Adams"/>
    <n v="2106451.84"/>
    <x v="1"/>
    <x v="1"/>
  </r>
  <r>
    <s v="Fairfield Area SD"/>
    <s v="Adams"/>
    <n v="498618.14"/>
    <x v="2"/>
    <x v="2"/>
  </r>
  <r>
    <s v="Gettysburg Area SD"/>
    <s v="Adams"/>
    <n v="1602666.07"/>
    <x v="3"/>
    <x v="3"/>
  </r>
  <r>
    <s v="Littlestown Area SD"/>
    <s v="Adams"/>
    <n v="1339277.1299999999"/>
    <x v="4"/>
    <x v="4"/>
  </r>
  <r>
    <s v="Upper Adams SD"/>
    <s v="Adams"/>
    <n v="795518.94"/>
    <x v="5"/>
    <x v="5"/>
  </r>
  <r>
    <s v="Allegheny Valley SD"/>
    <s v="Allegheny"/>
    <n v="281280.24"/>
    <x v="6"/>
    <x v="6"/>
  </r>
  <r>
    <s v="Avonworth SD"/>
    <s v="Allegheny"/>
    <n v="371897.21"/>
    <x v="7"/>
    <x v="7"/>
  </r>
  <r>
    <s v="Baldwin-Whitehall SD"/>
    <s v="Allegheny"/>
    <n v="865072.89"/>
    <x v="8"/>
    <x v="8"/>
  </r>
  <r>
    <s v="Bethel Park SD"/>
    <s v="Allegheny"/>
    <n v="700030.75"/>
    <x v="9"/>
    <x v="9"/>
  </r>
  <r>
    <s v="Brentwood Borough SD"/>
    <s v="Allegheny"/>
    <n v="938650.04"/>
    <x v="10"/>
    <x v="10"/>
  </r>
  <r>
    <s v="Carlynton SD"/>
    <s v="Allegheny"/>
    <n v="761845.07"/>
    <x v="11"/>
    <x v="11"/>
  </r>
  <r>
    <s v="Chartiers Valley SD"/>
    <s v="Allegheny"/>
    <n v="931672.93"/>
    <x v="12"/>
    <x v="12"/>
  </r>
  <r>
    <s v="Clairton City SD"/>
    <s v="Allegheny"/>
    <n v="341719.65"/>
    <x v="13"/>
    <x v="13"/>
  </r>
  <r>
    <s v="Cornell SD"/>
    <s v="Allegheny"/>
    <n v="577606"/>
    <x v="14"/>
    <x v="14"/>
  </r>
  <r>
    <s v="Deer Lakes SD"/>
    <s v="Allegheny"/>
    <n v="843619.43"/>
    <x v="15"/>
    <x v="15"/>
  </r>
  <r>
    <s v="Duquesne City SD"/>
    <s v="Allegheny"/>
    <n v="589750"/>
    <x v="16"/>
    <x v="16"/>
  </r>
  <r>
    <s v="East Allegheny SD"/>
    <s v="Allegheny"/>
    <n v="1357474.93"/>
    <x v="17"/>
    <x v="17"/>
  </r>
  <r>
    <s v="Elizabeth Forward SD"/>
    <s v="Allegheny"/>
    <n v="1070511.43"/>
    <x v="18"/>
    <x v="18"/>
  </r>
  <r>
    <s v="Fox Chapel Area SD"/>
    <s v="Allegheny"/>
    <n v="1014918.44"/>
    <x v="19"/>
    <x v="19"/>
  </r>
  <r>
    <s v="Gateway SD"/>
    <s v="Allegheny"/>
    <n v="1883002.33"/>
    <x v="20"/>
    <x v="20"/>
  </r>
  <r>
    <s v="Hampton Township SD"/>
    <s v="Allegheny"/>
    <n v="578050.15"/>
    <x v="21"/>
    <x v="21"/>
  </r>
  <r>
    <s v="Highlands SD"/>
    <s v="Allegheny"/>
    <n v="1652682"/>
    <x v="22"/>
    <x v="22"/>
  </r>
  <r>
    <s v="Keystone Oaks SD"/>
    <s v="Allegheny"/>
    <n v="533154"/>
    <x v="23"/>
    <x v="23"/>
  </r>
  <r>
    <s v="McKeesport Area SD"/>
    <s v="Allegheny"/>
    <n v="1724698"/>
    <x v="24"/>
    <x v="24"/>
  </r>
  <r>
    <s v="Montour SD"/>
    <s v="Allegheny"/>
    <n v="777542.5"/>
    <x v="25"/>
    <x v="25"/>
  </r>
  <r>
    <s v="Moon Area SD"/>
    <s v="Allegheny"/>
    <n v="1593219.93"/>
    <x v="26"/>
    <x v="26"/>
  </r>
  <r>
    <s v="Mt Lebanon SD"/>
    <s v="Allegheny"/>
    <n v="513928.12"/>
    <x v="27"/>
    <x v="27"/>
  </r>
  <r>
    <s v="North Allegheny SD"/>
    <s v="Allegheny"/>
    <n v="1598632.23"/>
    <x v="28"/>
    <x v="28"/>
  </r>
  <r>
    <s v="North Hills SD"/>
    <s v="Allegheny"/>
    <n v="911629.23"/>
    <x v="29"/>
    <x v="29"/>
  </r>
  <r>
    <s v="Northgate SD"/>
    <s v="Allegheny"/>
    <n v="813949.49"/>
    <x v="30"/>
    <x v="30"/>
  </r>
  <r>
    <s v="Penn Hills SD"/>
    <s v="Allegheny"/>
    <n v="3644106.37"/>
    <x v="31"/>
    <x v="31"/>
  </r>
  <r>
    <s v="Pine-Richland SD"/>
    <s v="Allegheny"/>
    <n v="656962"/>
    <x v="32"/>
    <x v="32"/>
  </r>
  <r>
    <s v="Pittsburgh SD"/>
    <s v="Allegheny"/>
    <n v="40354759.979999997"/>
    <x v="33"/>
    <x v="33"/>
  </r>
  <r>
    <s v="Plum Borough SD"/>
    <s v="Allegheny"/>
    <n v="775395.32"/>
    <x v="34"/>
    <x v="34"/>
  </r>
  <r>
    <s v="Quaker Valley SD"/>
    <s v="Allegheny"/>
    <n v="350962.56"/>
    <x v="35"/>
    <x v="35"/>
  </r>
  <r>
    <s v="Riverview SD"/>
    <s v="Allegheny"/>
    <n v="296694.28999999998"/>
    <x v="36"/>
    <x v="36"/>
  </r>
  <r>
    <s v="Shaler Area SD"/>
    <s v="Allegheny"/>
    <n v="1420693.51"/>
    <x v="37"/>
    <x v="37"/>
  </r>
  <r>
    <s v="South Allegheny SD"/>
    <s v="Allegheny"/>
    <n v="1020692.24"/>
    <x v="38"/>
    <x v="38"/>
  </r>
  <r>
    <s v="South Fayette Township SD"/>
    <s v="Allegheny"/>
    <n v="589949.64"/>
    <x v="39"/>
    <x v="39"/>
  </r>
  <r>
    <s v="South Park SD"/>
    <s v="Allegheny"/>
    <n v="764554.3"/>
    <x v="40"/>
    <x v="40"/>
  </r>
  <r>
    <s v="Steel Valley SD"/>
    <s v="Allegheny"/>
    <n v="1968281.03"/>
    <x v="41"/>
    <x v="41"/>
  </r>
  <r>
    <s v="Sto-Rox SD"/>
    <s v="Allegheny"/>
    <n v="1797840.77"/>
    <x v="42"/>
    <x v="42"/>
  </r>
  <r>
    <s v="Upper St. Clair SD"/>
    <s v="Allegheny"/>
    <n v="338621.22"/>
    <x v="43"/>
    <x v="43"/>
  </r>
  <r>
    <s v="West Allegheny SD"/>
    <s v="Allegheny"/>
    <n v="669955.38"/>
    <x v="44"/>
    <x v="44"/>
  </r>
  <r>
    <s v="West Jefferson Hills SD"/>
    <s v="Allegheny"/>
    <n v="378143.7"/>
    <x v="45"/>
    <x v="45"/>
  </r>
  <r>
    <s v="West Mifflin Area SD"/>
    <s v="Allegheny"/>
    <n v="1442591.45"/>
    <x v="46"/>
    <x v="46"/>
  </r>
  <r>
    <s v="Wilkinsburg Borough SD"/>
    <s v="Allegheny"/>
    <n v="1905170"/>
    <x v="47"/>
    <x v="47"/>
  </r>
  <r>
    <s v="Woodland Hills SD"/>
    <s v="Allegheny"/>
    <n v="4916201.6500000004"/>
    <x v="48"/>
    <x v="48"/>
  </r>
  <r>
    <s v="Apollo-Ridge SD"/>
    <s v="Armstrong"/>
    <n v="1050086.6599999999"/>
    <x v="49"/>
    <x v="49"/>
  </r>
  <r>
    <s v="Armstrong SD"/>
    <s v="Armstrong"/>
    <n v="2855638.7"/>
    <x v="50"/>
    <x v="50"/>
  </r>
  <r>
    <s v="Freeport Area SD"/>
    <s v="Armstrong"/>
    <n v="505190.65"/>
    <x v="51"/>
    <x v="51"/>
  </r>
  <r>
    <s v="Leechburg Area SD"/>
    <s v="Armstrong"/>
    <n v="902708.75"/>
    <x v="52"/>
    <x v="52"/>
  </r>
  <r>
    <s v="Aliquippa SD"/>
    <s v="Beaver"/>
    <n v="3986474.7"/>
    <x v="53"/>
    <x v="53"/>
  </r>
  <r>
    <s v="Ambridge Area SD"/>
    <s v="Beaver"/>
    <n v="1329880.25"/>
    <x v="54"/>
    <x v="54"/>
  </r>
  <r>
    <s v="Beaver Area SD"/>
    <s v="Beaver"/>
    <n v="508520.28"/>
    <x v="55"/>
    <x v="55"/>
  </r>
  <r>
    <s v="Big Beaver Falls Area SD"/>
    <s v="Beaver"/>
    <n v="1790155.23"/>
    <x v="56"/>
    <x v="56"/>
  </r>
  <r>
    <s v="Blackhawk SD"/>
    <s v="Beaver"/>
    <n v="41793"/>
    <x v="57"/>
    <x v="57"/>
  </r>
  <r>
    <s v="Central Valley SD"/>
    <s v="Beaver"/>
    <n v="1009006.87"/>
    <x v="58"/>
    <x v="58"/>
  </r>
  <r>
    <s v="Freedom Area SD"/>
    <s v="Beaver"/>
    <n v="802791.87"/>
    <x v="59"/>
    <x v="59"/>
  </r>
  <r>
    <s v="Hopewell Area SD"/>
    <s v="Beaver"/>
    <n v="1236005.68"/>
    <x v="60"/>
    <x v="60"/>
  </r>
  <r>
    <s v="Midland Borough SD"/>
    <s v="Beaver"/>
    <n v="507661.75"/>
    <x v="61"/>
    <x v="61"/>
  </r>
  <r>
    <s v="New Brighton Area SD"/>
    <s v="Beaver"/>
    <n v="733975.37"/>
    <x v="62"/>
    <x v="62"/>
  </r>
  <r>
    <s v="Riverside Beaver County SD"/>
    <s v="Beaver"/>
    <n v="405858.65"/>
    <x v="63"/>
    <x v="63"/>
  </r>
  <r>
    <s v="Rochester Area SD"/>
    <s v="Beaver"/>
    <n v="1196098.6499999999"/>
    <x v="64"/>
    <x v="64"/>
  </r>
  <r>
    <s v="South Side Area SD"/>
    <s v="Beaver"/>
    <n v="134307.69"/>
    <x v="65"/>
    <x v="65"/>
  </r>
  <r>
    <s v="Western Beaver County SD"/>
    <s v="Beaver"/>
    <n v="507586.1"/>
    <x v="66"/>
    <x v="66"/>
  </r>
  <r>
    <s v="Bedford Area SD"/>
    <s v="Bedford"/>
    <n v="503880.94"/>
    <x v="67"/>
    <x v="67"/>
  </r>
  <r>
    <s v="Chestnut Ridge SD"/>
    <s v="Bedford"/>
    <n v="745892.48"/>
    <x v="68"/>
    <x v="68"/>
  </r>
  <r>
    <s v="Everett Area SD"/>
    <s v="Bedford"/>
    <n v="697854.58"/>
    <x v="69"/>
    <x v="69"/>
  </r>
  <r>
    <s v="Northern Bedford County SD"/>
    <s v="Bedford"/>
    <n v="275392.46000000002"/>
    <x v="70"/>
    <x v="70"/>
  </r>
  <r>
    <s v="Tussey Mountain SD"/>
    <s v="Bedford"/>
    <n v="470378.63"/>
    <x v="71"/>
    <x v="71"/>
  </r>
  <r>
    <s v="Antietam SD"/>
    <s v="Berks"/>
    <n v="565030.57999999996"/>
    <x v="72"/>
    <x v="72"/>
  </r>
  <r>
    <s v="Boyertown Area SD"/>
    <s v="Berks"/>
    <n v="5276758.8099999996"/>
    <x v="73"/>
    <x v="73"/>
  </r>
  <r>
    <s v="Brandywine Heights Area SD"/>
    <s v="Berks"/>
    <n v="523891.98"/>
    <x v="74"/>
    <x v="74"/>
  </r>
  <r>
    <s v="Conrad Weiser Area SD"/>
    <s v="Berks"/>
    <n v="1224127.23"/>
    <x v="75"/>
    <x v="75"/>
  </r>
  <r>
    <s v="Daniel Boone Area SD"/>
    <s v="Berks"/>
    <n v="1925556.94"/>
    <x v="76"/>
    <x v="76"/>
  </r>
  <r>
    <s v="Exeter Township SD"/>
    <s v="Berks"/>
    <n v="1570588.78"/>
    <x v="77"/>
    <x v="77"/>
  </r>
  <r>
    <s v="Fleetwood Area SD"/>
    <s v="Berks"/>
    <n v="1048008.31"/>
    <x v="78"/>
    <x v="78"/>
  </r>
  <r>
    <s v="Governor Mifflin SD"/>
    <s v="Berks"/>
    <n v="1211740.19"/>
    <x v="79"/>
    <x v="79"/>
  </r>
  <r>
    <s v="Hamburg Area SD"/>
    <s v="Berks"/>
    <n v="1595131.22"/>
    <x v="80"/>
    <x v="80"/>
  </r>
  <r>
    <s v="Kutztown Area SD"/>
    <s v="Berks"/>
    <n v="1170159.6399999999"/>
    <x v="81"/>
    <x v="81"/>
  </r>
  <r>
    <s v="Muhlenberg SD"/>
    <s v="Berks"/>
    <n v="1211685.6000000001"/>
    <x v="82"/>
    <x v="82"/>
  </r>
  <r>
    <s v="Oley Valley SD"/>
    <s v="Berks"/>
    <n v="833617.44"/>
    <x v="83"/>
    <x v="83"/>
  </r>
  <r>
    <s v="Reading SD"/>
    <s v="Berks"/>
    <n v="15092204"/>
    <x v="84"/>
    <x v="84"/>
  </r>
  <r>
    <s v="Schuylkill Valley SD"/>
    <s v="Berks"/>
    <n v="899056.35"/>
    <x v="85"/>
    <x v="85"/>
  </r>
  <r>
    <s v="Tulpehocken Area SD"/>
    <s v="Berks"/>
    <n v="1199126.32"/>
    <x v="86"/>
    <x v="86"/>
  </r>
  <r>
    <s v="Twin Valley SD"/>
    <s v="Berks"/>
    <n v="2118953.23"/>
    <x v="87"/>
    <x v="87"/>
  </r>
  <r>
    <s v="Wilson SD"/>
    <s v="Berks"/>
    <n v="1632862.24"/>
    <x v="88"/>
    <x v="88"/>
  </r>
  <r>
    <s v="Wyomissing Area SD"/>
    <s v="Berks"/>
    <n v="668231.71"/>
    <x v="89"/>
    <x v="89"/>
  </r>
  <r>
    <s v="Altoona Area SD"/>
    <s v="Blair"/>
    <n v="3496607.96"/>
    <x v="90"/>
    <x v="90"/>
  </r>
  <r>
    <s v="Bellwood-Antis SD"/>
    <s v="Blair"/>
    <n v="515636.7"/>
    <x v="91"/>
    <x v="91"/>
  </r>
  <r>
    <s v="Claysburg-Kimmel SD"/>
    <s v="Blair"/>
    <n v="178621.32"/>
    <x v="92"/>
    <x v="92"/>
  </r>
  <r>
    <s v="Hollidaysburg Area SD"/>
    <s v="Blair"/>
    <n v="1052993.47"/>
    <x v="93"/>
    <x v="93"/>
  </r>
  <r>
    <s v="Spring Cove SD"/>
    <s v="Blair"/>
    <n v="846115.79"/>
    <x v="94"/>
    <x v="94"/>
  </r>
  <r>
    <s v="Tyrone Area SD"/>
    <s v="Blair"/>
    <n v="639380.76"/>
    <x v="95"/>
    <x v="95"/>
  </r>
  <r>
    <s v="Williamsburg Community SD"/>
    <s v="Blair"/>
    <n v="169796.38"/>
    <x v="96"/>
    <x v="96"/>
  </r>
  <r>
    <s v="Athens Area SD"/>
    <s v="Bradford"/>
    <n v="1371135.12"/>
    <x v="97"/>
    <x v="97"/>
  </r>
  <r>
    <s v="Canton Area SD"/>
    <s v="Bradford"/>
    <n v="496309.11"/>
    <x v="98"/>
    <x v="98"/>
  </r>
  <r>
    <s v="Northeast Bradford SD"/>
    <s v="Bradford"/>
    <n v="371288.1"/>
    <x v="99"/>
    <x v="99"/>
  </r>
  <r>
    <s v="Sayre Area SD"/>
    <s v="Bradford"/>
    <n v="721619.46"/>
    <x v="100"/>
    <x v="100"/>
  </r>
  <r>
    <s v="Towanda Area SD"/>
    <s v="Bradford"/>
    <n v="658894.57999999996"/>
    <x v="101"/>
    <x v="101"/>
  </r>
  <r>
    <s v="Troy Area SD"/>
    <s v="Bradford"/>
    <n v="678442.88"/>
    <x v="102"/>
    <x v="102"/>
  </r>
  <r>
    <s v="Wyalusing Area SD"/>
    <s v="Bradford"/>
    <n v="768534.18"/>
    <x v="103"/>
    <x v="103"/>
  </r>
  <r>
    <s v="Bensalem Township SD"/>
    <s v="Bucks"/>
    <n v="2810173.08"/>
    <x v="104"/>
    <x v="104"/>
  </r>
  <r>
    <s v="Bristol Borough SD"/>
    <s v="Bucks"/>
    <n v="994262.54"/>
    <x v="105"/>
    <x v="105"/>
  </r>
  <r>
    <s v="Bristol Township SD"/>
    <s v="Bucks"/>
    <n v="3934166.18"/>
    <x v="106"/>
    <x v="106"/>
  </r>
  <r>
    <s v="Centennial SD"/>
    <s v="Bucks"/>
    <n v="1679683.12"/>
    <x v="107"/>
    <x v="107"/>
  </r>
  <r>
    <s v="Central Bucks SD"/>
    <s v="Bucks"/>
    <n v="3733135.5"/>
    <x v="108"/>
    <x v="108"/>
  </r>
  <r>
    <s v="Council Rock SD"/>
    <s v="Bucks"/>
    <n v="2441468.44"/>
    <x v="109"/>
    <x v="109"/>
  </r>
  <r>
    <s v="Morrisville Borough SD"/>
    <s v="Bucks"/>
    <n v="1280940"/>
    <x v="110"/>
    <x v="110"/>
  </r>
  <r>
    <s v="Neshaminy SD"/>
    <s v="Bucks"/>
    <n v="3696536.62"/>
    <x v="111"/>
    <x v="111"/>
  </r>
  <r>
    <s v="New Hope-Solebury SD"/>
    <s v="Bucks"/>
    <n v="209642.62"/>
    <x v="112"/>
    <x v="112"/>
  </r>
  <r>
    <s v="Palisades SD"/>
    <s v="Bucks"/>
    <n v="1375656.3"/>
    <x v="113"/>
    <x v="113"/>
  </r>
  <r>
    <s v="Pennridge SD"/>
    <s v="Bucks"/>
    <n v="2210112.46"/>
    <x v="114"/>
    <x v="114"/>
  </r>
  <r>
    <s v="Pennsbury SD"/>
    <s v="Bucks"/>
    <n v="2518870.7200000002"/>
    <x v="115"/>
    <x v="115"/>
  </r>
  <r>
    <s v="Quakertown Community SD"/>
    <s v="Bucks"/>
    <n v="3457330.9"/>
    <x v="116"/>
    <x v="116"/>
  </r>
  <r>
    <s v="Butler Area SD"/>
    <s v="Butler"/>
    <n v="4148031.59"/>
    <x v="117"/>
    <x v="117"/>
  </r>
  <r>
    <s v="Karns City Area SD"/>
    <s v="Butler"/>
    <n v="552726.99"/>
    <x v="118"/>
    <x v="118"/>
  </r>
  <r>
    <s v="Knoch SD"/>
    <s v="Butler"/>
    <n v="1215674.71"/>
    <x v="119"/>
    <x v="119"/>
  </r>
  <r>
    <s v="Mars Area SD"/>
    <s v="Butler"/>
    <n v="1261761.3999999999"/>
    <x v="120"/>
    <x v="120"/>
  </r>
  <r>
    <s v="Moniteau SD"/>
    <s v="Butler"/>
    <n v="601889.82999999996"/>
    <x v="121"/>
    <x v="121"/>
  </r>
  <r>
    <s v="Seneca Valley SD"/>
    <s v="Butler"/>
    <n v="1581953.77"/>
    <x v="122"/>
    <x v="122"/>
  </r>
  <r>
    <s v="Slippery Rock Area SD"/>
    <s v="Butler"/>
    <n v="1390400"/>
    <x v="123"/>
    <x v="123"/>
  </r>
  <r>
    <s v="Blacklick Valley SD"/>
    <s v="Cambria"/>
    <n v="515739.67"/>
    <x v="124"/>
    <x v="124"/>
  </r>
  <r>
    <s v="Cambria Heights SD"/>
    <s v="Cambria"/>
    <n v="404516.6"/>
    <x v="125"/>
    <x v="125"/>
  </r>
  <r>
    <s v="Central Cambria SD"/>
    <s v="Cambria"/>
    <n v="714471.88"/>
    <x v="126"/>
    <x v="126"/>
  </r>
  <r>
    <s v="Conemaugh Valley SD"/>
    <s v="Cambria"/>
    <n v="493270.75"/>
    <x v="127"/>
    <x v="127"/>
  </r>
  <r>
    <s v="Ferndale Area SD"/>
    <s v="Cambria"/>
    <n v="507823.91"/>
    <x v="128"/>
    <x v="128"/>
  </r>
  <r>
    <s v="Forest Hills SD"/>
    <s v="Cambria"/>
    <n v="267452.46000000002"/>
    <x v="129"/>
    <x v="129"/>
  </r>
  <r>
    <s v="Greater Johnstown SD"/>
    <s v="Cambria"/>
    <n v="4840700.76"/>
    <x v="130"/>
    <x v="130"/>
  </r>
  <r>
    <s v="Northern Cambria SD"/>
    <s v="Cambria"/>
    <n v="1096166.5"/>
    <x v="131"/>
    <x v="131"/>
  </r>
  <r>
    <s v="Penn Cambria SD"/>
    <s v="Cambria"/>
    <n v="581031.16"/>
    <x v="132"/>
    <x v="132"/>
  </r>
  <r>
    <s v="Portage Area SD"/>
    <s v="Cambria"/>
    <n v="391694.75"/>
    <x v="133"/>
    <x v="133"/>
  </r>
  <r>
    <s v="Richland SD"/>
    <s v="Cambria"/>
    <n v="418256.66"/>
    <x v="134"/>
    <x v="134"/>
  </r>
  <r>
    <s v="Westmont Hilltop SD"/>
    <s v="Cambria"/>
    <n v="1039706.95"/>
    <x v="135"/>
    <x v="135"/>
  </r>
  <r>
    <s v="Cameron County SD"/>
    <s v="Cameron"/>
    <n v="649200"/>
    <x v="136"/>
    <x v="136"/>
  </r>
  <r>
    <s v="Jim Thorpe Area SD"/>
    <s v="Carbon"/>
    <n v="3823169"/>
    <x v="137"/>
    <x v="137"/>
  </r>
  <r>
    <s v="Lehighton Area SD"/>
    <s v="Carbon"/>
    <n v="2525626.0499999998"/>
    <x v="138"/>
    <x v="138"/>
  </r>
  <r>
    <s v="Palmerton Area SD"/>
    <s v="Carbon"/>
    <n v="2115584.91"/>
    <x v="139"/>
    <x v="139"/>
  </r>
  <r>
    <s v="Panther Valley SD"/>
    <s v="Carbon"/>
    <n v="2491729.5699999998"/>
    <x v="140"/>
    <x v="140"/>
  </r>
  <r>
    <s v="Weatherly Area SD"/>
    <s v="Carbon"/>
    <n v="762738.22"/>
    <x v="141"/>
    <x v="141"/>
  </r>
  <r>
    <s v="Bald Eagle Area SD"/>
    <s v="Centre"/>
    <n v="581798.69999999995"/>
    <x v="142"/>
    <x v="142"/>
  </r>
  <r>
    <s v="Bellefonte Area SD"/>
    <s v="Centre"/>
    <n v="1207270.9099999999"/>
    <x v="143"/>
    <x v="143"/>
  </r>
  <r>
    <s v="Penns Valley Area SD"/>
    <s v="Centre"/>
    <n v="798851.41"/>
    <x v="144"/>
    <x v="144"/>
  </r>
  <r>
    <s v="State College Area SD"/>
    <s v="Centre"/>
    <n v="1281436.07"/>
    <x v="145"/>
    <x v="145"/>
  </r>
  <r>
    <s v="Avon Grove SD"/>
    <s v="Chester"/>
    <n v="1287518.1399999999"/>
    <x v="146"/>
    <x v="146"/>
  </r>
  <r>
    <s v="Coatesville Area SD"/>
    <s v="Chester"/>
    <n v="5135851.04"/>
    <x v="147"/>
    <x v="147"/>
  </r>
  <r>
    <s v="Downingtown Area SD"/>
    <s v="Chester"/>
    <n v="1880814.34"/>
    <x v="148"/>
    <x v="148"/>
  </r>
  <r>
    <s v="Great Valley SD"/>
    <s v="Chester"/>
    <n v="1512520.46"/>
    <x v="149"/>
    <x v="149"/>
  </r>
  <r>
    <s v="Kennett Consolidated SD"/>
    <s v="Chester"/>
    <n v="567523.56000000006"/>
    <x v="150"/>
    <x v="150"/>
  </r>
  <r>
    <s v="Octorara Area SD"/>
    <s v="Chester"/>
    <n v="1281461.3400000001"/>
    <x v="151"/>
    <x v="151"/>
  </r>
  <r>
    <s v="Owen J Roberts SD"/>
    <s v="Chester"/>
    <n v="1925857.19"/>
    <x v="152"/>
    <x v="152"/>
  </r>
  <r>
    <s v="Oxford Area SD"/>
    <s v="Chester"/>
    <n v="2241643.7599999998"/>
    <x v="153"/>
    <x v="153"/>
  </r>
  <r>
    <s v="Phoenixville Area SD"/>
    <s v="Chester"/>
    <n v="1019834.11"/>
    <x v="154"/>
    <x v="154"/>
  </r>
  <r>
    <s v="Tredyffrin-Easttown SD"/>
    <s v="Chester"/>
    <n v="591948.66"/>
    <x v="155"/>
    <x v="155"/>
  </r>
  <r>
    <s v="Unionville-Chadds Ford SD"/>
    <s v="Chester"/>
    <n v="747583.58"/>
    <x v="156"/>
    <x v="156"/>
  </r>
  <r>
    <s v="West Chester Area SD"/>
    <s v="Chester"/>
    <n v="3192607.32"/>
    <x v="157"/>
    <x v="157"/>
  </r>
  <r>
    <s v="Allegheny-Clarion Valley SD"/>
    <s v="Clarion"/>
    <n v="879319.44"/>
    <x v="158"/>
    <x v="158"/>
  </r>
  <r>
    <s v="Clarion Area SD"/>
    <s v="Clarion"/>
    <n v="494360.65"/>
    <x v="159"/>
    <x v="159"/>
  </r>
  <r>
    <s v="Clarion-Limestone Area SD"/>
    <s v="Clarion"/>
    <n v="715170.43"/>
    <x v="160"/>
    <x v="160"/>
  </r>
  <r>
    <s v="Keystone SD"/>
    <s v="Clarion"/>
    <n v="635821.65"/>
    <x v="161"/>
    <x v="161"/>
  </r>
  <r>
    <s v="North Clarion County SD"/>
    <s v="Clarion"/>
    <n v="159986.01"/>
    <x v="162"/>
    <x v="162"/>
  </r>
  <r>
    <s v="Redbank Valley SD"/>
    <s v="Clarion"/>
    <n v="1168826.8899999999"/>
    <x v="163"/>
    <x v="163"/>
  </r>
  <r>
    <s v="Union SD"/>
    <s v="Clarion"/>
    <n v="728403.86"/>
    <x v="164"/>
    <x v="164"/>
  </r>
  <r>
    <s v="Clearfield Area SD"/>
    <s v="Clearfield"/>
    <n v="1510871.62"/>
    <x v="165"/>
    <x v="165"/>
  </r>
  <r>
    <s v="Curwensville Area SD"/>
    <s v="Clearfield"/>
    <n v="389781.46"/>
    <x v="166"/>
    <x v="166"/>
  </r>
  <r>
    <s v="DuBois Area SD"/>
    <s v="Clearfield"/>
    <n v="1607682.84"/>
    <x v="167"/>
    <x v="167"/>
  </r>
  <r>
    <s v="Glendale SD"/>
    <s v="Clearfield"/>
    <n v="586317.26"/>
    <x v="168"/>
    <x v="168"/>
  </r>
  <r>
    <s v="Harmony Area SD"/>
    <s v="Clearfield"/>
    <n v="50920.59"/>
    <x v="169"/>
    <x v="169"/>
  </r>
  <r>
    <s v="Moshannon Valley SD"/>
    <s v="Clearfield"/>
    <n v="769332.73"/>
    <x v="170"/>
    <x v="170"/>
  </r>
  <r>
    <s v="Philipsburg-Osceola Area SD"/>
    <s v="Clearfield"/>
    <n v="924834.45"/>
    <x v="171"/>
    <x v="171"/>
  </r>
  <r>
    <s v="West Branch Area SD"/>
    <s v="Clearfield"/>
    <n v="417512.37"/>
    <x v="172"/>
    <x v="172"/>
  </r>
  <r>
    <s v="Keystone Central SD"/>
    <s v="Clinton"/>
    <n v="2892492.11"/>
    <x v="173"/>
    <x v="173"/>
  </r>
  <r>
    <s v="Benton Area SD"/>
    <s v="Columbia"/>
    <n v="284492.31"/>
    <x v="174"/>
    <x v="174"/>
  </r>
  <r>
    <s v="Berwick Area SD"/>
    <s v="Columbia"/>
    <n v="1873060.8"/>
    <x v="175"/>
    <x v="175"/>
  </r>
  <r>
    <s v="Bloomsburg Area SD"/>
    <s v="Columbia"/>
    <n v="734162.26"/>
    <x v="176"/>
    <x v="176"/>
  </r>
  <r>
    <s v="Central Columbia SD"/>
    <s v="Columbia"/>
    <n v="694016.21"/>
    <x v="177"/>
    <x v="177"/>
  </r>
  <r>
    <s v="Millville Area SD"/>
    <s v="Columbia"/>
    <n v="264427.65999999997"/>
    <x v="178"/>
    <x v="178"/>
  </r>
  <r>
    <s v="Southern Columbia Area SD"/>
    <s v="Columbia"/>
    <n v="501026.11"/>
    <x v="179"/>
    <x v="179"/>
  </r>
  <r>
    <s v="Conneaut SD"/>
    <s v="Crawford"/>
    <n v="1455822"/>
    <x v="180"/>
    <x v="180"/>
  </r>
  <r>
    <s v="Crawford Central SD"/>
    <s v="Crawford"/>
    <n v="3739915.35"/>
    <x v="181"/>
    <x v="181"/>
  </r>
  <r>
    <s v="Penncrest SD"/>
    <s v="Crawford"/>
    <n v="1672392.73"/>
    <x v="182"/>
    <x v="182"/>
  </r>
  <r>
    <s v="Big Spring SD"/>
    <s v="Cumberland"/>
    <n v="3896795.07"/>
    <x v="183"/>
    <x v="183"/>
  </r>
  <r>
    <s v="Camp Hill SD"/>
    <s v="Cumberland"/>
    <n v="620320.66"/>
    <x v="184"/>
    <x v="184"/>
  </r>
  <r>
    <s v="Carlisle Area SD"/>
    <s v="Cumberland"/>
    <n v="3776510.28"/>
    <x v="185"/>
    <x v="185"/>
  </r>
  <r>
    <s v="Cumberland Valley SD"/>
    <s v="Cumberland"/>
    <n v="5235529"/>
    <x v="186"/>
    <x v="186"/>
  </r>
  <r>
    <s v="East Pennsboro Area SD"/>
    <s v="Cumberland"/>
    <n v="3172009.61"/>
    <x v="187"/>
    <x v="187"/>
  </r>
  <r>
    <s v="Mechanicsburg Area SD"/>
    <s v="Cumberland"/>
    <n v="3575386.71"/>
    <x v="188"/>
    <x v="188"/>
  </r>
  <r>
    <s v="Shippensburg Area SD"/>
    <s v="Cumberland"/>
    <n v="2490087.29"/>
    <x v="189"/>
    <x v="189"/>
  </r>
  <r>
    <s v="South Middleton SD"/>
    <s v="Cumberland"/>
    <n v="1599742.47"/>
    <x v="190"/>
    <x v="190"/>
  </r>
  <r>
    <s v="Central Dauphin SD"/>
    <s v="Dauphin"/>
    <n v="10034220.16"/>
    <x v="191"/>
    <x v="191"/>
  </r>
  <r>
    <s v="Derry Township SD"/>
    <s v="Dauphin"/>
    <n v="1710083.82"/>
    <x v="192"/>
    <x v="192"/>
  </r>
  <r>
    <s v="Halifax Area SD"/>
    <s v="Dauphin"/>
    <n v="984563.29"/>
    <x v="193"/>
    <x v="193"/>
  </r>
  <r>
    <s v="Harrisburg City SD"/>
    <s v="Dauphin"/>
    <n v="11561973.949999999"/>
    <x v="194"/>
    <x v="194"/>
  </r>
  <r>
    <s v="Lower Dauphin SD"/>
    <s v="Dauphin"/>
    <n v="1799250.2"/>
    <x v="195"/>
    <x v="195"/>
  </r>
  <r>
    <s v="Middletown Area SD"/>
    <s v="Dauphin"/>
    <n v="2587060.59"/>
    <x v="196"/>
    <x v="196"/>
  </r>
  <r>
    <s v="Millersburg Area SD"/>
    <s v="Dauphin"/>
    <n v="1491441.72"/>
    <x v="197"/>
    <x v="197"/>
  </r>
  <r>
    <s v="Steelton-Highspire SD"/>
    <s v="Dauphin"/>
    <n v="3982068"/>
    <x v="198"/>
    <x v="198"/>
  </r>
  <r>
    <s v="Susquehanna Township SD"/>
    <s v="Dauphin"/>
    <n v="3245876.17"/>
    <x v="199"/>
    <x v="199"/>
  </r>
  <r>
    <s v="Upper Dauphin Area SD"/>
    <s v="Dauphin"/>
    <n v="1483177.29"/>
    <x v="200"/>
    <x v="200"/>
  </r>
  <r>
    <s v="Chester-Upland SD"/>
    <s v="Delaware"/>
    <n v="13523422.07"/>
    <x v="201"/>
    <x v="201"/>
  </r>
  <r>
    <s v="Chichester SD"/>
    <s v="Delaware"/>
    <n v="2885728.67"/>
    <x v="202"/>
    <x v="202"/>
  </r>
  <r>
    <s v="Garnet Valley SD"/>
    <s v="Delaware"/>
    <n v="484125.52"/>
    <x v="203"/>
    <x v="203"/>
  </r>
  <r>
    <s v="Haverford Township SD"/>
    <s v="Delaware"/>
    <n v="565828.93999999994"/>
    <x v="204"/>
    <x v="204"/>
  </r>
  <r>
    <s v="Interboro SD"/>
    <s v="Delaware"/>
    <n v="856383.12"/>
    <x v="205"/>
    <x v="205"/>
  </r>
  <r>
    <s v="Marple Newtown SD"/>
    <s v="Delaware"/>
    <n v="860411.2"/>
    <x v="206"/>
    <x v="206"/>
  </r>
  <r>
    <s v="Penn-Delco SD"/>
    <s v="Delaware"/>
    <n v="1222386.1000000001"/>
    <x v="207"/>
    <x v="207"/>
  </r>
  <r>
    <s v="Radnor Township SD"/>
    <s v="Delaware"/>
    <n v="264335.84000000003"/>
    <x v="208"/>
    <x v="208"/>
  </r>
  <r>
    <s v="Ridley SD"/>
    <s v="Delaware"/>
    <n v="1841565.85"/>
    <x v="209"/>
    <x v="209"/>
  </r>
  <r>
    <s v="Rose Tree Media SD"/>
    <s v="Delaware"/>
    <n v="1270108.3999999999"/>
    <x v="210"/>
    <x v="210"/>
  </r>
  <r>
    <s v="Southeast Delco SD"/>
    <s v="Delaware"/>
    <n v="5967378.6100000003"/>
    <x v="211"/>
    <x v="211"/>
  </r>
  <r>
    <s v="Springfield SD"/>
    <s v="Delaware"/>
    <n v="428503.93"/>
    <x v="212"/>
    <x v="212"/>
  </r>
  <r>
    <s v="Upper Darby SD"/>
    <s v="Delaware"/>
    <n v="5786101.7300000004"/>
    <x v="213"/>
    <x v="213"/>
  </r>
  <r>
    <s v="Wallingford-Swarthmore SD"/>
    <s v="Delaware"/>
    <n v="566131.54"/>
    <x v="214"/>
    <x v="214"/>
  </r>
  <r>
    <s v="William Penn SD"/>
    <s v="Delaware"/>
    <n v="4655278.68"/>
    <x v="215"/>
    <x v="215"/>
  </r>
  <r>
    <s v="Johnsonburg Area SD"/>
    <s v="Elk"/>
    <n v="419606.1"/>
    <x v="216"/>
    <x v="216"/>
  </r>
  <r>
    <s v="Ridgway Area SD"/>
    <s v="Elk"/>
    <n v="380533.82"/>
    <x v="217"/>
    <x v="217"/>
  </r>
  <r>
    <s v="Saint Marys Area SD"/>
    <s v="Elk"/>
    <n v="644481.5"/>
    <x v="218"/>
    <x v="218"/>
  </r>
  <r>
    <s v="Corry Area SD"/>
    <s v="Erie"/>
    <n v="1468382.95"/>
    <x v="219"/>
    <x v="219"/>
  </r>
  <r>
    <s v="Erie City SD"/>
    <s v="Erie"/>
    <n v="8172603.1900000004"/>
    <x v="220"/>
    <x v="220"/>
  </r>
  <r>
    <s v="Fairview SD"/>
    <s v="Erie"/>
    <n v="273369"/>
    <x v="221"/>
    <x v="221"/>
  </r>
  <r>
    <s v="Fort LeBoeuf SD"/>
    <s v="Erie"/>
    <n v="784463.58"/>
    <x v="222"/>
    <x v="222"/>
  </r>
  <r>
    <s v="General McLane SD"/>
    <s v="Erie"/>
    <n v="1141863.8500000001"/>
    <x v="223"/>
    <x v="223"/>
  </r>
  <r>
    <s v="Girard SD"/>
    <s v="Erie"/>
    <n v="417999.21"/>
    <x v="224"/>
    <x v="224"/>
  </r>
  <r>
    <s v="Harbor Creek SD"/>
    <s v="Erie"/>
    <n v="659569.65"/>
    <x v="225"/>
    <x v="225"/>
  </r>
  <r>
    <s v="Iroquois SD"/>
    <s v="Erie"/>
    <n v="814276.65"/>
    <x v="226"/>
    <x v="226"/>
  </r>
  <r>
    <s v="Millcreek Township SD"/>
    <s v="Erie"/>
    <n v="2298777.08"/>
    <x v="227"/>
    <x v="227"/>
  </r>
  <r>
    <s v="North East SD"/>
    <s v="Erie"/>
    <n v="805189.02"/>
    <x v="228"/>
    <x v="228"/>
  </r>
  <r>
    <s v="Northwestern SD"/>
    <s v="Erie"/>
    <n v="915723.84"/>
    <x v="229"/>
    <x v="229"/>
  </r>
  <r>
    <s v="Union City Area SD"/>
    <s v="Erie"/>
    <n v="449989.58"/>
    <x v="230"/>
    <x v="230"/>
  </r>
  <r>
    <s v="Wattsburg Area SD"/>
    <s v="Erie"/>
    <n v="610959.57999999996"/>
    <x v="231"/>
    <x v="231"/>
  </r>
  <r>
    <s v="Albert Gallatin Area SD"/>
    <s v="Fayette"/>
    <n v="2169314.33"/>
    <x v="232"/>
    <x v="232"/>
  </r>
  <r>
    <s v="Brownsville Area SD"/>
    <s v="Fayette"/>
    <n v="1876145.87"/>
    <x v="233"/>
    <x v="233"/>
  </r>
  <r>
    <s v="Connellsville Area SD"/>
    <s v="Fayette"/>
    <n v="2264925.16"/>
    <x v="234"/>
    <x v="234"/>
  </r>
  <r>
    <s v="Frazier SD"/>
    <s v="Fayette"/>
    <n v="980638.08"/>
    <x v="235"/>
    <x v="235"/>
  </r>
  <r>
    <s v="Laurel Highlands SD"/>
    <s v="Fayette"/>
    <n v="2178541.54"/>
    <x v="236"/>
    <x v="236"/>
  </r>
  <r>
    <s v="Uniontown Area SD"/>
    <s v="Fayette"/>
    <n v="3745189.55"/>
    <x v="237"/>
    <x v="237"/>
  </r>
  <r>
    <s v="Forest Area SD"/>
    <s v="Forest"/>
    <n v="555328.85"/>
    <x v="238"/>
    <x v="238"/>
  </r>
  <r>
    <s v="Chambersburg Area SD"/>
    <s v="Franklin"/>
    <n v="6356804"/>
    <x v="239"/>
    <x v="239"/>
  </r>
  <r>
    <s v="Fannett-Metal SD"/>
    <s v="Franklin"/>
    <n v="728991.54"/>
    <x v="240"/>
    <x v="240"/>
  </r>
  <r>
    <s v="Greencastle-Antrim SD"/>
    <s v="Franklin"/>
    <n v="693863.31"/>
    <x v="241"/>
    <x v="241"/>
  </r>
  <r>
    <s v="Tuscarora SD"/>
    <s v="Franklin"/>
    <n v="1587692"/>
    <x v="242"/>
    <x v="242"/>
  </r>
  <r>
    <s v="Waynesboro Area SD"/>
    <s v="Franklin"/>
    <n v="3376634.09"/>
    <x v="243"/>
    <x v="243"/>
  </r>
  <r>
    <s v="Central Fulton SD"/>
    <s v="Fulton"/>
    <n v="1057581.31"/>
    <x v="244"/>
    <x v="244"/>
  </r>
  <r>
    <s v="Forbes Road SD"/>
    <s v="Fulton"/>
    <n v="445843.13"/>
    <x v="245"/>
    <x v="245"/>
  </r>
  <r>
    <s v="Southern Fulton SD"/>
    <s v="Fulton"/>
    <n v="590991.75"/>
    <x v="246"/>
    <x v="246"/>
  </r>
  <r>
    <s v="Carmichaels Area SD"/>
    <s v="Greene"/>
    <n v="675242.64"/>
    <x v="247"/>
    <x v="247"/>
  </r>
  <r>
    <s v="Central Greene SD"/>
    <s v="Greene"/>
    <n v="1266509.69"/>
    <x v="248"/>
    <x v="248"/>
  </r>
  <r>
    <s v="Jefferson-Morgan SD"/>
    <s v="Greene"/>
    <n v="370489.36"/>
    <x v="249"/>
    <x v="249"/>
  </r>
  <r>
    <s v="Southeastern Greene SD"/>
    <s v="Greene"/>
    <n v="477718.41"/>
    <x v="250"/>
    <x v="250"/>
  </r>
  <r>
    <s v="West Greene SD"/>
    <s v="Greene"/>
    <n v="247295.89"/>
    <x v="251"/>
    <x v="251"/>
  </r>
  <r>
    <s v="Huntingdon Area SD"/>
    <s v="Huntingdon"/>
    <n v="944262.98"/>
    <x v="252"/>
    <x v="252"/>
  </r>
  <r>
    <s v="Juniata Valley SD"/>
    <s v="Huntingdon"/>
    <n v="129339.7"/>
    <x v="253"/>
    <x v="253"/>
  </r>
  <r>
    <s v="Mount Union Area SD"/>
    <s v="Huntingdon"/>
    <n v="1649903.77"/>
    <x v="254"/>
    <x v="254"/>
  </r>
  <r>
    <s v="Southern Huntingdon County SD"/>
    <s v="Huntingdon"/>
    <n v="709701.2"/>
    <x v="255"/>
    <x v="255"/>
  </r>
  <r>
    <s v="Homer-Center SD"/>
    <s v="Indiana"/>
    <n v="370699.75"/>
    <x v="256"/>
    <x v="256"/>
  </r>
  <r>
    <s v="Indiana Area SD"/>
    <s v="Indiana"/>
    <n v="1709716.71"/>
    <x v="257"/>
    <x v="257"/>
  </r>
  <r>
    <s v="Marion Center Area SD"/>
    <s v="Indiana"/>
    <n v="793553.67"/>
    <x v="258"/>
    <x v="258"/>
  </r>
  <r>
    <s v="Penns Manor Area SD"/>
    <s v="Indiana"/>
    <n v="965185.52"/>
    <x v="259"/>
    <x v="259"/>
  </r>
  <r>
    <s v="Purchase Line SD"/>
    <s v="Indiana"/>
    <n v="668835"/>
    <x v="260"/>
    <x v="260"/>
  </r>
  <r>
    <s v="River Valley SD"/>
    <s v="Indiana"/>
    <n v="1228919.47"/>
    <x v="261"/>
    <x v="261"/>
  </r>
  <r>
    <s v="United SD"/>
    <s v="Indiana"/>
    <n v="955023.86"/>
    <x v="262"/>
    <x v="262"/>
  </r>
  <r>
    <s v="Brockway Area SD"/>
    <s v="Jefferson"/>
    <n v="153225.78"/>
    <x v="263"/>
    <x v="263"/>
  </r>
  <r>
    <s v="Brookville Area SD"/>
    <s v="Jefferson"/>
    <n v="576156.73"/>
    <x v="264"/>
    <x v="264"/>
  </r>
  <r>
    <s v="Punxsutawney Area SD"/>
    <s v="Jefferson"/>
    <n v="2557663.9500000002"/>
    <x v="265"/>
    <x v="265"/>
  </r>
  <r>
    <s v="Juniata County SD"/>
    <s v="Juniata"/>
    <n v="2214591.4700000002"/>
    <x v="266"/>
    <x v="266"/>
  </r>
  <r>
    <s v="Abington Heights SD"/>
    <s v="Lackawanna"/>
    <n v="1168645.3"/>
    <x v="267"/>
    <x v="267"/>
  </r>
  <r>
    <s v="Carbondale Area SD"/>
    <s v="Lackawanna"/>
    <n v="2375242.46"/>
    <x v="268"/>
    <x v="268"/>
  </r>
  <r>
    <s v="Dunmore SD"/>
    <s v="Lackawanna"/>
    <n v="666314.78"/>
    <x v="269"/>
    <x v="269"/>
  </r>
  <r>
    <s v="Lakeland SD"/>
    <s v="Lackawanna"/>
    <n v="1638603.13"/>
    <x v="270"/>
    <x v="270"/>
  </r>
  <r>
    <s v="Mid Valley SD"/>
    <s v="Lackawanna"/>
    <n v="1579343.45"/>
    <x v="271"/>
    <x v="271"/>
  </r>
  <r>
    <s v="North Pocono SD"/>
    <s v="Lackawanna"/>
    <n v="2203594.0299999998"/>
    <x v="272"/>
    <x v="272"/>
  </r>
  <r>
    <s v="Old Forge SD"/>
    <s v="Lackawanna"/>
    <n v="966666.22"/>
    <x v="273"/>
    <x v="273"/>
  </r>
  <r>
    <s v="Riverside SD"/>
    <s v="Lackawanna"/>
    <n v="709566.85"/>
    <x v="274"/>
    <x v="274"/>
  </r>
  <r>
    <s v="Scranton SD"/>
    <s v="Lackawanna"/>
    <n v="9627246.0899999999"/>
    <x v="275"/>
    <x v="275"/>
  </r>
  <r>
    <s v="Valley View SD"/>
    <s v="Lackawanna"/>
    <n v="1645311"/>
    <x v="276"/>
    <x v="276"/>
  </r>
  <r>
    <s v="Cocalico SD"/>
    <s v="Lancaster"/>
    <n v="1656153.24"/>
    <x v="277"/>
    <x v="277"/>
  </r>
  <r>
    <s v="Columbia Borough SD"/>
    <s v="Lancaster"/>
    <n v="1529212.24"/>
    <x v="278"/>
    <x v="278"/>
  </r>
  <r>
    <s v="Conestoga Valley SD"/>
    <s v="Lancaster"/>
    <n v="1149646.6499999999"/>
    <x v="279"/>
    <x v="279"/>
  </r>
  <r>
    <s v="Donegal SD"/>
    <s v="Lancaster"/>
    <n v="1692943.11"/>
    <x v="280"/>
    <x v="280"/>
  </r>
  <r>
    <s v="Eastern Lancaster County SD"/>
    <s v="Lancaster"/>
    <n v="1601513.96"/>
    <x v="281"/>
    <x v="281"/>
  </r>
  <r>
    <s v="Elizabethtown Area SD"/>
    <s v="Lancaster"/>
    <n v="1975248.79"/>
    <x v="282"/>
    <x v="282"/>
  </r>
  <r>
    <s v="Ephrata Area SD"/>
    <s v="Lancaster"/>
    <n v="1592862.45"/>
    <x v="283"/>
    <x v="283"/>
  </r>
  <r>
    <s v="Hempfield SD"/>
    <s v="Lancaster"/>
    <n v="2407921.58"/>
    <x v="284"/>
    <x v="284"/>
  </r>
  <r>
    <s v="Lampeter-Strasburg SD"/>
    <s v="Lancaster"/>
    <n v="926773.21"/>
    <x v="285"/>
    <x v="285"/>
  </r>
  <r>
    <s v="Lancaster SD"/>
    <s v="Lancaster"/>
    <n v="4065474"/>
    <x v="286"/>
    <x v="286"/>
  </r>
  <r>
    <s v="Manheim Central SD"/>
    <s v="Lancaster"/>
    <n v="1846230.58"/>
    <x v="287"/>
    <x v="287"/>
  </r>
  <r>
    <s v="Manheim Township SD"/>
    <s v="Lancaster"/>
    <n v="1677054.69"/>
    <x v="288"/>
    <x v="288"/>
  </r>
  <r>
    <s v="Penn Manor SD"/>
    <s v="Lancaster"/>
    <n v="2001036.08"/>
    <x v="289"/>
    <x v="289"/>
  </r>
  <r>
    <s v="Pequea Valley SD"/>
    <s v="Lancaster"/>
    <n v="582300.53"/>
    <x v="290"/>
    <x v="290"/>
  </r>
  <r>
    <s v="Solanco SD"/>
    <s v="Lancaster"/>
    <n v="1562068.06"/>
    <x v="291"/>
    <x v="291"/>
  </r>
  <r>
    <s v="Warwick SD"/>
    <s v="Lancaster"/>
    <n v="1439901.2"/>
    <x v="292"/>
    <x v="292"/>
  </r>
  <r>
    <s v="Ellwood City Area SD"/>
    <s v="Lawrence"/>
    <n v="892580.01"/>
    <x v="293"/>
    <x v="293"/>
  </r>
  <r>
    <s v="Laurel SD"/>
    <s v="Lawrence"/>
    <n v="284827.71999999997"/>
    <x v="294"/>
    <x v="294"/>
  </r>
  <r>
    <s v="Mohawk Area SD"/>
    <s v="Lawrence"/>
    <n v="576698.31000000006"/>
    <x v="295"/>
    <x v="295"/>
  </r>
  <r>
    <s v="Neshannock Township SD"/>
    <s v="Lawrence"/>
    <n v="434571.14"/>
    <x v="296"/>
    <x v="296"/>
  </r>
  <r>
    <s v="New Castle Area SD"/>
    <s v="Lawrence"/>
    <n v="2720696.36"/>
    <x v="297"/>
    <x v="297"/>
  </r>
  <r>
    <s v="Shenango Area SD"/>
    <s v="Lawrence"/>
    <n v="374519.7"/>
    <x v="298"/>
    <x v="298"/>
  </r>
  <r>
    <s v="Union Area SD"/>
    <s v="Lawrence"/>
    <n v="403149"/>
    <x v="299"/>
    <x v="299"/>
  </r>
  <r>
    <s v="Wilmington Area SD"/>
    <s v="Lawrence"/>
    <n v="625631.73"/>
    <x v="300"/>
    <x v="300"/>
  </r>
  <r>
    <s v="Annville-Cleona SD"/>
    <s v="Lebanon"/>
    <n v="1185565.9099999999"/>
    <x v="301"/>
    <x v="301"/>
  </r>
  <r>
    <s v="Cornwall-Lebanon SD"/>
    <s v="Lebanon"/>
    <n v="1885491.36"/>
    <x v="302"/>
    <x v="302"/>
  </r>
  <r>
    <s v="Eastern Lebanon County SD"/>
    <s v="Lebanon"/>
    <n v="1429860.45"/>
    <x v="303"/>
    <x v="303"/>
  </r>
  <r>
    <s v="Lebanon SD"/>
    <s v="Lebanon"/>
    <n v="2381688.7999999998"/>
    <x v="304"/>
    <x v="304"/>
  </r>
  <r>
    <s v="Northern Lebanon SD"/>
    <s v="Lebanon"/>
    <n v="2126816.12"/>
    <x v="305"/>
    <x v="305"/>
  </r>
  <r>
    <s v="Palmyra Area SD"/>
    <s v="Lebanon"/>
    <n v="1858159"/>
    <x v="306"/>
    <x v="306"/>
  </r>
  <r>
    <s v="Allentown City SD"/>
    <s v="Lehigh"/>
    <n v="10071970"/>
    <x v="307"/>
    <x v="307"/>
  </r>
  <r>
    <s v="Catasauqua Area SD"/>
    <s v="Lehigh"/>
    <n v="889776.15"/>
    <x v="308"/>
    <x v="308"/>
  </r>
  <r>
    <s v="East Penn SD"/>
    <s v="Lehigh"/>
    <n v="3431015.02"/>
    <x v="309"/>
    <x v="309"/>
  </r>
  <r>
    <s v="Northern Lehigh SD"/>
    <s v="Lehigh"/>
    <n v="1392788.28"/>
    <x v="310"/>
    <x v="310"/>
  </r>
  <r>
    <s v="Northwestern Lehigh SD"/>
    <s v="Lehigh"/>
    <n v="631664.81000000006"/>
    <x v="311"/>
    <x v="311"/>
  </r>
  <r>
    <s v="Parkland SD"/>
    <s v="Lehigh"/>
    <n v="3675116.77"/>
    <x v="312"/>
    <x v="312"/>
  </r>
  <r>
    <s v="Salisbury Township SD"/>
    <s v="Lehigh"/>
    <n v="747268.3"/>
    <x v="313"/>
    <x v="313"/>
  </r>
  <r>
    <s v="Southern Lehigh SD"/>
    <s v="Lehigh"/>
    <n v="646045.92000000004"/>
    <x v="314"/>
    <x v="314"/>
  </r>
  <r>
    <s v="Whitehall-Coplay SD"/>
    <s v="Lehigh"/>
    <n v="1921168.63"/>
    <x v="315"/>
    <x v="315"/>
  </r>
  <r>
    <s v="Crestwood SD"/>
    <s v="Luzerne"/>
    <n v="1025968.15"/>
    <x v="316"/>
    <x v="316"/>
  </r>
  <r>
    <s v="Dallas SD"/>
    <s v="Luzerne"/>
    <n v="1838260.62"/>
    <x v="317"/>
    <x v="317"/>
  </r>
  <r>
    <s v="Greater Nanticoke Area SD"/>
    <s v="Luzerne"/>
    <n v="1022798.02"/>
    <x v="318"/>
    <x v="318"/>
  </r>
  <r>
    <s v="Hanover Area SD"/>
    <s v="Luzerne"/>
    <n v="2217452.92"/>
    <x v="319"/>
    <x v="319"/>
  </r>
  <r>
    <s v="Hazleton Area SD"/>
    <s v="Luzerne"/>
    <n v="4225170.68"/>
    <x v="320"/>
    <x v="320"/>
  </r>
  <r>
    <s v="Lake-Lehman SD"/>
    <s v="Luzerne"/>
    <n v="1028668.22"/>
    <x v="321"/>
    <x v="321"/>
  </r>
  <r>
    <s v="Northwest Area SD"/>
    <s v="Luzerne"/>
    <n v="1050290.54"/>
    <x v="322"/>
    <x v="322"/>
  </r>
  <r>
    <s v="Pittston Area SD"/>
    <s v="Luzerne"/>
    <n v="2408311.2799999998"/>
    <x v="323"/>
    <x v="323"/>
  </r>
  <r>
    <s v="Wilkes-Barre Area SD"/>
    <s v="Luzerne"/>
    <n v="6183859.4100000001"/>
    <x v="324"/>
    <x v="324"/>
  </r>
  <r>
    <s v="Wyoming Area SD"/>
    <s v="Luzerne"/>
    <n v="1788352.86"/>
    <x v="325"/>
    <x v="325"/>
  </r>
  <r>
    <s v="Wyoming Valley West SD"/>
    <s v="Luzerne"/>
    <n v="3821134.06"/>
    <x v="326"/>
    <x v="326"/>
  </r>
  <r>
    <s v="East Lycoming SD"/>
    <s v="Lycoming"/>
    <n v="778497.38"/>
    <x v="327"/>
    <x v="327"/>
  </r>
  <r>
    <s v="Jersey Shore Area SD"/>
    <s v="Lycoming"/>
    <n v="1890590.49"/>
    <x v="328"/>
    <x v="328"/>
  </r>
  <r>
    <s v="Loyalsock Township SD"/>
    <s v="Lycoming"/>
    <n v="629256.95999999996"/>
    <x v="329"/>
    <x v="329"/>
  </r>
  <r>
    <s v="Montgomery Area SD"/>
    <s v="Lycoming"/>
    <n v="432420.35"/>
    <x v="330"/>
    <x v="330"/>
  </r>
  <r>
    <s v="Montoursville Area SD"/>
    <s v="Lycoming"/>
    <n v="1485737.93"/>
    <x v="331"/>
    <x v="331"/>
  </r>
  <r>
    <s v="Muncy SD"/>
    <s v="Lycoming"/>
    <n v="839523"/>
    <x v="332"/>
    <x v="332"/>
  </r>
  <r>
    <s v="South Williamsport Area SD"/>
    <s v="Lycoming"/>
    <n v="791587.8"/>
    <x v="333"/>
    <x v="333"/>
  </r>
  <r>
    <s v="Williamsport Area SD"/>
    <s v="Lycoming"/>
    <n v="5956720.0199999996"/>
    <x v="334"/>
    <x v="334"/>
  </r>
  <r>
    <s v="Bradford Area SD"/>
    <s v="McKean"/>
    <n v="1178527.73"/>
    <x v="335"/>
    <x v="335"/>
  </r>
  <r>
    <s v="Kane Area SD"/>
    <s v="McKean"/>
    <n v="569794.56999999995"/>
    <x v="336"/>
    <x v="336"/>
  </r>
  <r>
    <s v="Otto-Eldred SD"/>
    <s v="McKean"/>
    <n v="352967.99"/>
    <x v="337"/>
    <x v="337"/>
  </r>
  <r>
    <s v="Port Allegany SD"/>
    <s v="McKean"/>
    <n v="386876.29"/>
    <x v="338"/>
    <x v="338"/>
  </r>
  <r>
    <s v="Smethport Area SD"/>
    <s v="McKean"/>
    <n v="502357.38"/>
    <x v="339"/>
    <x v="339"/>
  </r>
  <r>
    <s v="Commodore Perry SD"/>
    <s v="Mercer"/>
    <n v="340066.17"/>
    <x v="340"/>
    <x v="340"/>
  </r>
  <r>
    <s v="Farrell Area SD"/>
    <s v="Mercer"/>
    <n v="1718719.95"/>
    <x v="341"/>
    <x v="341"/>
  </r>
  <r>
    <s v="Greenville Area SD"/>
    <s v="Mercer"/>
    <n v="324179.78000000003"/>
    <x v="342"/>
    <x v="342"/>
  </r>
  <r>
    <s v="Grove City Area SD"/>
    <s v="Mercer"/>
    <n v="662869.35"/>
    <x v="343"/>
    <x v="343"/>
  </r>
  <r>
    <s v="Hermitage SD"/>
    <s v="Mercer"/>
    <n v="684070.8"/>
    <x v="344"/>
    <x v="344"/>
  </r>
  <r>
    <s v="Jamestown Area SD"/>
    <s v="Mercer"/>
    <n v="258926.57"/>
    <x v="345"/>
    <x v="345"/>
  </r>
  <r>
    <s v="Lakeview SD"/>
    <s v="Mercer"/>
    <n v="869268.78"/>
    <x v="346"/>
    <x v="346"/>
  </r>
  <r>
    <s v="Mercer Area SD"/>
    <s v="Mercer"/>
    <n v="726784.97"/>
    <x v="347"/>
    <x v="347"/>
  </r>
  <r>
    <s v="Reynolds SD"/>
    <s v="Mercer"/>
    <n v="750590.29"/>
    <x v="348"/>
    <x v="348"/>
  </r>
  <r>
    <s v="Sharon City SD"/>
    <s v="Mercer"/>
    <n v="2129555.67"/>
    <x v="349"/>
    <x v="349"/>
  </r>
  <r>
    <s v="Sharpsville Area SD"/>
    <s v="Mercer"/>
    <n v="376226.05"/>
    <x v="350"/>
    <x v="350"/>
  </r>
  <r>
    <s v="West Middlesex Area SD"/>
    <s v="Mercer"/>
    <n v="409415.25"/>
    <x v="351"/>
    <x v="351"/>
  </r>
  <r>
    <s v="Mifflin County SD"/>
    <s v="Mifflin"/>
    <n v="2662589.23"/>
    <x v="352"/>
    <x v="352"/>
  </r>
  <r>
    <s v="East Stroudsburg Area SD"/>
    <s v="Monroe"/>
    <n v="7052511.9199999999"/>
    <x v="353"/>
    <x v="353"/>
  </r>
  <r>
    <s v="Pleasant Valley SD"/>
    <s v="Monroe"/>
    <n v="3475481.73"/>
    <x v="354"/>
    <x v="354"/>
  </r>
  <r>
    <s v="Pocono Mountain SD"/>
    <s v="Monroe"/>
    <n v="11693513.119999999"/>
    <x v="355"/>
    <x v="355"/>
  </r>
  <r>
    <s v="Stroudsburg Area SD"/>
    <s v="Monroe"/>
    <n v="6694888.0300000003"/>
    <x v="356"/>
    <x v="356"/>
  </r>
  <r>
    <s v="Abington SD"/>
    <s v="Montgomery"/>
    <n v="1965495.11"/>
    <x v="357"/>
    <x v="357"/>
  </r>
  <r>
    <s v="Bryn Athyn SD"/>
    <s v="Montgomery"/>
    <n v="25938"/>
    <x v="358"/>
    <x v="358"/>
  </r>
  <r>
    <s v="Cheltenham SD"/>
    <s v="Montgomery"/>
    <n v="3140473.75"/>
    <x v="359"/>
    <x v="359"/>
  </r>
  <r>
    <s v="Colonial SD"/>
    <s v="Montgomery"/>
    <n v="1648911.91"/>
    <x v="360"/>
    <x v="360"/>
  </r>
  <r>
    <s v="Hatboro-Horsham SD"/>
    <s v="Montgomery"/>
    <n v="864976.53"/>
    <x v="361"/>
    <x v="361"/>
  </r>
  <r>
    <s v="Jenkintown SD"/>
    <s v="Montgomery"/>
    <n v="72437.84"/>
    <x v="362"/>
    <x v="362"/>
  </r>
  <r>
    <s v="Lower Merion SD"/>
    <s v="Montgomery"/>
    <n v="1321158.69"/>
    <x v="363"/>
    <x v="363"/>
  </r>
  <r>
    <s v="Lower Moreland Township SD"/>
    <s v="Montgomery"/>
    <n v="284752.75"/>
    <x v="364"/>
    <x v="364"/>
  </r>
  <r>
    <s v="Methacton SD"/>
    <s v="Montgomery"/>
    <n v="1221755.8700000001"/>
    <x v="365"/>
    <x v="365"/>
  </r>
  <r>
    <s v="Norristown Area SD"/>
    <s v="Montgomery"/>
    <n v="4167907.94"/>
    <x v="366"/>
    <x v="366"/>
  </r>
  <r>
    <s v="North Penn SD"/>
    <s v="Montgomery"/>
    <n v="4189995.52"/>
    <x v="367"/>
    <x v="367"/>
  </r>
  <r>
    <s v="Perkiomen Valley SD"/>
    <s v="Montgomery"/>
    <n v="1151300.3700000001"/>
    <x v="368"/>
    <x v="368"/>
  </r>
  <r>
    <s v="Pottsgrove SD"/>
    <s v="Montgomery"/>
    <n v="2051465"/>
    <x v="369"/>
    <x v="369"/>
  </r>
  <r>
    <s v="Pottstown SD"/>
    <s v="Montgomery"/>
    <n v="3603292.04"/>
    <x v="370"/>
    <x v="370"/>
  </r>
  <r>
    <s v="Souderton Area SD"/>
    <s v="Montgomery"/>
    <n v="1301622.3500000001"/>
    <x v="371"/>
    <x v="371"/>
  </r>
  <r>
    <s v="Springfield Township SD"/>
    <s v="Montgomery"/>
    <n v="750781.94"/>
    <x v="372"/>
    <x v="372"/>
  </r>
  <r>
    <s v="Spring-Ford Area SD"/>
    <s v="Montgomery"/>
    <n v="2416753.9700000002"/>
    <x v="373"/>
    <x v="373"/>
  </r>
  <r>
    <s v="Upper Dublin SD"/>
    <s v="Montgomery"/>
    <n v="837498.86"/>
    <x v="374"/>
    <x v="374"/>
  </r>
  <r>
    <s v="Upper Merion Area SD"/>
    <s v="Montgomery"/>
    <n v="1905795.63"/>
    <x v="375"/>
    <x v="375"/>
  </r>
  <r>
    <s v="Upper Moreland Township SD"/>
    <s v="Montgomery"/>
    <n v="1294259.6599999999"/>
    <x v="376"/>
    <x v="376"/>
  </r>
  <r>
    <s v="Upper Perkiomen SD"/>
    <s v="Montgomery"/>
    <n v="2924503.13"/>
    <x v="377"/>
    <x v="377"/>
  </r>
  <r>
    <s v="Wissahickon SD"/>
    <s v="Montgomery"/>
    <n v="735393.67"/>
    <x v="378"/>
    <x v="378"/>
  </r>
  <r>
    <s v="Danville Area SD"/>
    <s v="Montour"/>
    <n v="526351.93999999994"/>
    <x v="379"/>
    <x v="379"/>
  </r>
  <r>
    <s v="Bangor Area SD"/>
    <s v="Northampton"/>
    <n v="2726149.24"/>
    <x v="380"/>
    <x v="380"/>
  </r>
  <r>
    <s v="Bethlehem Area SD"/>
    <s v="Northampton"/>
    <n v="7876020.3099999996"/>
    <x v="381"/>
    <x v="381"/>
  </r>
  <r>
    <s v="Easton Area SD"/>
    <s v="Northampton"/>
    <n v="5612993.1900000004"/>
    <x v="382"/>
    <x v="382"/>
  </r>
  <r>
    <s v="Nazareth Area SD"/>
    <s v="Northampton"/>
    <n v="1830974.43"/>
    <x v="383"/>
    <x v="383"/>
  </r>
  <r>
    <s v="Northampton Area SD"/>
    <s v="Northampton"/>
    <n v="2722982.43"/>
    <x v="384"/>
    <x v="384"/>
  </r>
  <r>
    <s v="Pen Argyl Area SD"/>
    <s v="Northampton"/>
    <n v="1422822.56"/>
    <x v="385"/>
    <x v="385"/>
  </r>
  <r>
    <s v="Saucon Valley SD"/>
    <s v="Northampton"/>
    <n v="1698272.02"/>
    <x v="386"/>
    <x v="386"/>
  </r>
  <r>
    <s v="Wilson Area SD"/>
    <s v="Northampton"/>
    <n v="1334980.33"/>
    <x v="387"/>
    <x v="387"/>
  </r>
  <r>
    <s v="Line Mountain SD"/>
    <s v="Northumberland"/>
    <n v="939572.86"/>
    <x v="388"/>
    <x v="388"/>
  </r>
  <r>
    <s v="Milton Area SD"/>
    <s v="Northumberland"/>
    <n v="934495.75"/>
    <x v="389"/>
    <x v="389"/>
  </r>
  <r>
    <s v="Mount Carmel Area SD"/>
    <s v="Northumberland"/>
    <n v="822103.3"/>
    <x v="390"/>
    <x v="390"/>
  </r>
  <r>
    <s v="Shamokin Area SD"/>
    <s v="Northumberland"/>
    <n v="2777028.03"/>
    <x v="391"/>
    <x v="391"/>
  </r>
  <r>
    <s v="Shikellamy SD"/>
    <s v="Northumberland"/>
    <n v="2163446.5"/>
    <x v="392"/>
    <x v="392"/>
  </r>
  <r>
    <s v="Warrior Run SD"/>
    <s v="Northumberland"/>
    <n v="632582.59"/>
    <x v="393"/>
    <x v="393"/>
  </r>
  <r>
    <s v="Greenwood SD"/>
    <s v="Perry"/>
    <n v="660878.1"/>
    <x v="394"/>
    <x v="394"/>
  </r>
  <r>
    <s v="Newport SD"/>
    <s v="Perry"/>
    <n v="1427579.63"/>
    <x v="395"/>
    <x v="395"/>
  </r>
  <r>
    <s v="Susquenita SD"/>
    <s v="Perry"/>
    <n v="2549337"/>
    <x v="396"/>
    <x v="396"/>
  </r>
  <r>
    <s v="West Perry SD"/>
    <s v="Perry"/>
    <n v="4851741.59"/>
    <x v="397"/>
    <x v="397"/>
  </r>
  <r>
    <s v="Philadelphia City SD"/>
    <s v="Philadelphia"/>
    <n v="213690169.38999999"/>
    <x v="398"/>
    <x v="398"/>
  </r>
  <r>
    <s v="Delaware Valley SD"/>
    <s v="Pike"/>
    <n v="2032880.63"/>
    <x v="399"/>
    <x v="399"/>
  </r>
  <r>
    <s v="Wallenpaupack Area SD"/>
    <s v="Pike"/>
    <n v="2759332.76"/>
    <x v="400"/>
    <x v="400"/>
  </r>
  <r>
    <s v="Austin Area SD"/>
    <s v="Potter"/>
    <n v="0"/>
    <x v="401"/>
    <x v="401"/>
  </r>
  <r>
    <s v="Coudersport Area SD"/>
    <s v="Potter"/>
    <n v="660082.6"/>
    <x v="402"/>
    <x v="402"/>
  </r>
  <r>
    <s v="Galeton Area SD"/>
    <s v="Potter"/>
    <n v="622492.25"/>
    <x v="403"/>
    <x v="403"/>
  </r>
  <r>
    <s v="Northern Potter SD"/>
    <s v="Potter"/>
    <n v="384870.26"/>
    <x v="404"/>
    <x v="404"/>
  </r>
  <r>
    <s v="Oswayo Valley SD"/>
    <s v="Potter"/>
    <n v="457889.05"/>
    <x v="405"/>
    <x v="405"/>
  </r>
  <r>
    <s v="Blue Mountain SD"/>
    <s v="Schuylkill"/>
    <n v="2068575.51"/>
    <x v="406"/>
    <x v="406"/>
  </r>
  <r>
    <s v="Mahanoy Area SD"/>
    <s v="Schuylkill"/>
    <n v="1454394.36"/>
    <x v="407"/>
    <x v="407"/>
  </r>
  <r>
    <s v="Minersville Area SD"/>
    <s v="Schuylkill"/>
    <n v="1146448.6499999999"/>
    <x v="408"/>
    <x v="408"/>
  </r>
  <r>
    <s v="North Schuylkill SD"/>
    <s v="Schuylkill"/>
    <n v="1297976.51"/>
    <x v="409"/>
    <x v="409"/>
  </r>
  <r>
    <s v="Pine Grove Area SD"/>
    <s v="Schuylkill"/>
    <n v="529747.72"/>
    <x v="410"/>
    <x v="410"/>
  </r>
  <r>
    <s v="Pottsville Area SD"/>
    <s v="Schuylkill"/>
    <n v="1784781.96"/>
    <x v="411"/>
    <x v="411"/>
  </r>
  <r>
    <s v="Saint Clair Area SD"/>
    <s v="Schuylkill"/>
    <n v="517285.02"/>
    <x v="412"/>
    <x v="412"/>
  </r>
  <r>
    <s v="Schuylkill Haven Area SD"/>
    <s v="Schuylkill"/>
    <n v="796771.34"/>
    <x v="413"/>
    <x v="413"/>
  </r>
  <r>
    <s v="Shenandoah Valley SD"/>
    <s v="Schuylkill"/>
    <n v="1004441.48"/>
    <x v="414"/>
    <x v="414"/>
  </r>
  <r>
    <s v="Tamaqua Area SD"/>
    <s v="Schuylkill"/>
    <n v="1610614.65"/>
    <x v="415"/>
    <x v="415"/>
  </r>
  <r>
    <s v="Tri-Valley SD"/>
    <s v="Schuylkill"/>
    <n v="365064.94"/>
    <x v="416"/>
    <x v="416"/>
  </r>
  <r>
    <s v="Williams Valley SD"/>
    <s v="Schuylkill"/>
    <n v="2504825.48"/>
    <x v="417"/>
    <x v="417"/>
  </r>
  <r>
    <s v="Midd-West SD"/>
    <s v="Snyder"/>
    <n v="1972382.29"/>
    <x v="418"/>
    <x v="418"/>
  </r>
  <r>
    <s v="Selinsgrove Area SD"/>
    <s v="Snyder"/>
    <n v="1815748.2"/>
    <x v="419"/>
    <x v="419"/>
  </r>
  <r>
    <s v="Berlin Brothersvalley SD"/>
    <s v="Somerset"/>
    <n v="167268.42000000001"/>
    <x v="420"/>
    <x v="420"/>
  </r>
  <r>
    <s v="Conemaugh Township Area SD"/>
    <s v="Somerset"/>
    <n v="412358.26"/>
    <x v="421"/>
    <x v="421"/>
  </r>
  <r>
    <s v="Meyersdale Area SD"/>
    <s v="Somerset"/>
    <n v="736525.11"/>
    <x v="422"/>
    <x v="422"/>
  </r>
  <r>
    <s v="North Star SD"/>
    <s v="Somerset"/>
    <n v="1114386.72"/>
    <x v="423"/>
    <x v="423"/>
  </r>
  <r>
    <s v="Rockwood Area SD"/>
    <s v="Somerset"/>
    <n v="696071.26"/>
    <x v="424"/>
    <x v="424"/>
  </r>
  <r>
    <s v="Salisbury-Elk Lick SD"/>
    <s v="Somerset"/>
    <n v="252781.41"/>
    <x v="425"/>
    <x v="425"/>
  </r>
  <r>
    <s v="Shade-Central City SD"/>
    <s v="Somerset"/>
    <n v="325413.21000000002"/>
    <x v="426"/>
    <x v="426"/>
  </r>
  <r>
    <s v="Shanksville-Stonycreek SD"/>
    <s v="Somerset"/>
    <n v="151470.78"/>
    <x v="427"/>
    <x v="427"/>
  </r>
  <r>
    <s v="Somerset Area SD"/>
    <s v="Somerset"/>
    <n v="884125"/>
    <x v="428"/>
    <x v="428"/>
  </r>
  <r>
    <s v="Turkeyfoot Valley Area SD"/>
    <s v="Somerset"/>
    <n v="236439.63"/>
    <x v="429"/>
    <x v="429"/>
  </r>
  <r>
    <s v="Windber Area SD"/>
    <s v="Somerset"/>
    <n v="527068.21"/>
    <x v="430"/>
    <x v="430"/>
  </r>
  <r>
    <s v="Sullivan County SD"/>
    <s v="Sullivan"/>
    <n v="1132150.8600000001"/>
    <x v="431"/>
    <x v="431"/>
  </r>
  <r>
    <s v="Blue Ridge SD"/>
    <s v="Susquehanna"/>
    <n v="469193.06"/>
    <x v="432"/>
    <x v="432"/>
  </r>
  <r>
    <s v="Elk Lake SD"/>
    <s v="Susquehanna"/>
    <n v="936494.12"/>
    <x v="433"/>
    <x v="433"/>
  </r>
  <r>
    <s v="Forest City Regional SD"/>
    <s v="Susquehanna"/>
    <n v="1033448.15"/>
    <x v="434"/>
    <x v="434"/>
  </r>
  <r>
    <s v="Montrose Area SD"/>
    <s v="Susquehanna"/>
    <n v="1730991.01"/>
    <x v="435"/>
    <x v="435"/>
  </r>
  <r>
    <s v="Mountain View SD"/>
    <s v="Susquehanna"/>
    <n v="1184482.32"/>
    <x v="436"/>
    <x v="436"/>
  </r>
  <r>
    <s v="Susquehanna Community SD"/>
    <s v="Susquehanna"/>
    <n v="620254"/>
    <x v="437"/>
    <x v="437"/>
  </r>
  <r>
    <s v="Northern Tioga SD"/>
    <s v="Tioga"/>
    <n v="1366846.85"/>
    <x v="438"/>
    <x v="438"/>
  </r>
  <r>
    <s v="Southern Tioga SD"/>
    <s v="Tioga"/>
    <n v="1197714.19"/>
    <x v="439"/>
    <x v="439"/>
  </r>
  <r>
    <s v="Wellsboro Area SD"/>
    <s v="Tioga"/>
    <n v="953059.82"/>
    <x v="440"/>
    <x v="440"/>
  </r>
  <r>
    <s v="Lewisburg Area SD"/>
    <s v="Union"/>
    <n v="560625.02"/>
    <x v="441"/>
    <x v="441"/>
  </r>
  <r>
    <s v="Mifflinburg Area SD"/>
    <s v="Union"/>
    <n v="1311571.31"/>
    <x v="442"/>
    <x v="442"/>
  </r>
  <r>
    <s v="Cranberry Area SD"/>
    <s v="Venango"/>
    <n v="565054.19999999995"/>
    <x v="443"/>
    <x v="443"/>
  </r>
  <r>
    <s v="Franklin Area SD"/>
    <s v="Venango"/>
    <n v="1275035.4099999999"/>
    <x v="444"/>
    <x v="444"/>
  </r>
  <r>
    <s v="Oil City Area SD"/>
    <s v="Venango"/>
    <n v="1307389.32"/>
    <x v="445"/>
    <x v="445"/>
  </r>
  <r>
    <s v="Titusville Area SD"/>
    <s v="Venango"/>
    <n v="493422.26"/>
    <x v="446"/>
    <x v="446"/>
  </r>
  <r>
    <s v="Valley Grove SD"/>
    <s v="Venango"/>
    <n v="352597.73"/>
    <x v="447"/>
    <x v="447"/>
  </r>
  <r>
    <s v="Warren County SD"/>
    <s v="Warren"/>
    <n v="2399519.54"/>
    <x v="448"/>
    <x v="448"/>
  </r>
  <r>
    <s v="Avella Area SD"/>
    <s v="Washington"/>
    <n v="369543.19"/>
    <x v="449"/>
    <x v="449"/>
  </r>
  <r>
    <s v="Bentworth SD"/>
    <s v="Washington"/>
    <n v="829786.91"/>
    <x v="450"/>
    <x v="450"/>
  </r>
  <r>
    <s v="Bethlehem-Center SD"/>
    <s v="Washington"/>
    <n v="1202284.19"/>
    <x v="451"/>
    <x v="451"/>
  </r>
  <r>
    <s v="Burgettstown Area SD"/>
    <s v="Washington"/>
    <n v="1189152.6100000001"/>
    <x v="452"/>
    <x v="452"/>
  </r>
  <r>
    <s v="California Area SD"/>
    <s v="Washington"/>
    <n v="575882.37"/>
    <x v="453"/>
    <x v="453"/>
  </r>
  <r>
    <s v="Canon-McMillan SD"/>
    <s v="Washington"/>
    <n v="2858993.13"/>
    <x v="454"/>
    <x v="454"/>
  </r>
  <r>
    <s v="Charleroi SD"/>
    <s v="Washington"/>
    <n v="894340.67"/>
    <x v="455"/>
    <x v="455"/>
  </r>
  <r>
    <s v="Chartiers-Houston SD"/>
    <s v="Washington"/>
    <n v="651889.91"/>
    <x v="456"/>
    <x v="456"/>
  </r>
  <r>
    <s v="Fort Cherry SD"/>
    <s v="Washington"/>
    <n v="509760.65"/>
    <x v="457"/>
    <x v="457"/>
  </r>
  <r>
    <s v="McGuffey SD"/>
    <s v="Washington"/>
    <n v="1369237.52"/>
    <x v="458"/>
    <x v="458"/>
  </r>
  <r>
    <s v="Peters Township SD"/>
    <s v="Washington"/>
    <n v="978420.31"/>
    <x v="459"/>
    <x v="459"/>
  </r>
  <r>
    <s v="Ringgold SD"/>
    <s v="Washington"/>
    <n v="1703967.97"/>
    <x v="460"/>
    <x v="460"/>
  </r>
  <r>
    <s v="Trinity Area SD"/>
    <s v="Washington"/>
    <n v="1253633.1100000001"/>
    <x v="461"/>
    <x v="461"/>
  </r>
  <r>
    <s v="Washington SD"/>
    <s v="Washington"/>
    <n v="1832165.86"/>
    <x v="462"/>
    <x v="462"/>
  </r>
  <r>
    <s v="Wayne Highlands SD"/>
    <s v="Wayne"/>
    <n v="3260946.72"/>
    <x v="463"/>
    <x v="463"/>
  </r>
  <r>
    <s v="Western Wayne SD"/>
    <s v="Wayne"/>
    <n v="2274515.73"/>
    <x v="464"/>
    <x v="464"/>
  </r>
  <r>
    <s v="Belle Vernon Area SD"/>
    <s v="Westmoreland"/>
    <n v="1378946"/>
    <x v="465"/>
    <x v="465"/>
  </r>
  <r>
    <s v="Burrell SD"/>
    <s v="Westmoreland"/>
    <n v="441185.82"/>
    <x v="466"/>
    <x v="466"/>
  </r>
  <r>
    <s v="Derry Area SD"/>
    <s v="Westmoreland"/>
    <n v="1589202.25"/>
    <x v="467"/>
    <x v="467"/>
  </r>
  <r>
    <s v="Franklin Regional SD"/>
    <s v="Westmoreland"/>
    <n v="1016531"/>
    <x v="468"/>
    <x v="468"/>
  </r>
  <r>
    <s v="Greater Latrobe SD"/>
    <s v="Westmoreland"/>
    <n v="1623371.08"/>
    <x v="469"/>
    <x v="469"/>
  </r>
  <r>
    <s v="Greensburg Salem SD"/>
    <s v="Westmoreland"/>
    <n v="2184578.16"/>
    <x v="470"/>
    <x v="470"/>
  </r>
  <r>
    <s v="Hempfield Area SD"/>
    <s v="Westmoreland"/>
    <n v="3006012.37"/>
    <x v="471"/>
    <x v="471"/>
  </r>
  <r>
    <s v="Jeannette City SD"/>
    <s v="Westmoreland"/>
    <n v="1417411.07"/>
    <x v="472"/>
    <x v="472"/>
  </r>
  <r>
    <s v="Kiski Area SD"/>
    <s v="Westmoreland"/>
    <n v="2081317.84"/>
    <x v="473"/>
    <x v="473"/>
  </r>
  <r>
    <s v="Ligonier Valley SD"/>
    <s v="Westmoreland"/>
    <n v="1740857.35"/>
    <x v="474"/>
    <x v="474"/>
  </r>
  <r>
    <s v="Monessen City SD"/>
    <s v="Westmoreland"/>
    <n v="1272442.6200000001"/>
    <x v="475"/>
    <x v="475"/>
  </r>
  <r>
    <s v="Mount Pleasant Area SD"/>
    <s v="Westmoreland"/>
    <n v="1636833.13"/>
    <x v="476"/>
    <x v="476"/>
  </r>
  <r>
    <s v="New Kensington-Arnold SD"/>
    <s v="Westmoreland"/>
    <n v="1969655.91"/>
    <x v="477"/>
    <x v="477"/>
  </r>
  <r>
    <s v="Norwin SD"/>
    <s v="Westmoreland"/>
    <n v="1389002.25"/>
    <x v="478"/>
    <x v="478"/>
  </r>
  <r>
    <s v="Penn-Trafford SD"/>
    <s v="Westmoreland"/>
    <n v="1938481.15"/>
    <x v="479"/>
    <x v="479"/>
  </r>
  <r>
    <s v="Southmoreland SD"/>
    <s v="Westmoreland"/>
    <n v="1258546.53"/>
    <x v="480"/>
    <x v="480"/>
  </r>
  <r>
    <s v="Yough SD"/>
    <s v="Westmoreland"/>
    <n v="1059497.6000000001"/>
    <x v="481"/>
    <x v="481"/>
  </r>
  <r>
    <s v="Lackawanna Trail SD"/>
    <s v="Wyoming"/>
    <n v="1193024"/>
    <x v="482"/>
    <x v="482"/>
  </r>
  <r>
    <s v="Tunkhannock Area SD"/>
    <s v="Wyoming"/>
    <n v="2474000.9300000002"/>
    <x v="483"/>
    <x v="483"/>
  </r>
  <r>
    <s v="Central York SD"/>
    <s v="York"/>
    <n v="2255965.2599999998"/>
    <x v="484"/>
    <x v="484"/>
  </r>
  <r>
    <s v="Dallastown Area SD"/>
    <s v="York"/>
    <n v="784362.95"/>
    <x v="485"/>
    <x v="485"/>
  </r>
  <r>
    <s v="Dover Area SD"/>
    <s v="York"/>
    <n v="2262355.14"/>
    <x v="486"/>
    <x v="486"/>
  </r>
  <r>
    <s v="Eastern York SD"/>
    <s v="York"/>
    <n v="2528401.79"/>
    <x v="487"/>
    <x v="487"/>
  </r>
  <r>
    <s v="Hanover Public SD"/>
    <s v="York"/>
    <n v="1006337"/>
    <x v="488"/>
    <x v="488"/>
  </r>
  <r>
    <s v="Northeastern York SD"/>
    <s v="York"/>
    <n v="3708530.91"/>
    <x v="489"/>
    <x v="489"/>
  </r>
  <r>
    <s v="Northern York County SD"/>
    <s v="York"/>
    <n v="2710704.66"/>
    <x v="490"/>
    <x v="490"/>
  </r>
  <r>
    <s v="Red Lion Area SD"/>
    <s v="York"/>
    <n v="3465706"/>
    <x v="491"/>
    <x v="491"/>
  </r>
  <r>
    <s v="South Eastern SD"/>
    <s v="York"/>
    <n v="1329379.01"/>
    <x v="492"/>
    <x v="492"/>
  </r>
  <r>
    <s v="South Western SD"/>
    <s v="York"/>
    <n v="2229708.35"/>
    <x v="493"/>
    <x v="493"/>
  </r>
  <r>
    <s v="Southern York County SD"/>
    <s v="York"/>
    <n v="1474329.19"/>
    <x v="494"/>
    <x v="494"/>
  </r>
  <r>
    <s v="Spring Grove Area SD"/>
    <s v="York"/>
    <n v="2203190.7000000002"/>
    <x v="495"/>
    <x v="495"/>
  </r>
  <r>
    <s v="West Shore SD"/>
    <s v="York"/>
    <n v="8409746.3000000007"/>
    <x v="496"/>
    <x v="496"/>
  </r>
  <r>
    <s v="West York Area SD"/>
    <s v="York"/>
    <n v="1220133.2"/>
    <x v="497"/>
    <x v="497"/>
  </r>
  <r>
    <s v="York City SD"/>
    <s v="York"/>
    <n v="9365542.6600000001"/>
    <x v="498"/>
    <x v="498"/>
  </r>
  <r>
    <s v="York Suburban SD"/>
    <s v="York"/>
    <n v="2584689.4900000002"/>
    <x v="499"/>
    <x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99200-DD1F-294B-ABBA-C830AA2FA61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H505" firstHeaderRow="1" firstDataRow="2" firstDataCol="1"/>
  <pivotFields count="5">
    <pivotField dataField="1" showAll="0"/>
    <pivotField showAll="0"/>
    <pivotField numFmtId="164" showAll="0"/>
    <pivotField axis="axisCol" numFmtId="164" showAll="0">
      <items count="501">
        <item x="358"/>
        <item x="401"/>
        <item x="429"/>
        <item x="169"/>
        <item x="425"/>
        <item x="61"/>
        <item x="427"/>
        <item x="96"/>
        <item x="426"/>
        <item x="245"/>
        <item x="403"/>
        <item x="405"/>
        <item x="240"/>
        <item x="345"/>
        <item x="162"/>
        <item x="340"/>
        <item x="404"/>
        <item x="449"/>
        <item x="337"/>
        <item x="124"/>
        <item x="216"/>
        <item x="128"/>
        <item x="424"/>
        <item x="178"/>
        <item x="250"/>
        <item x="136"/>
        <item x="164"/>
        <item x="253"/>
        <item x="412"/>
        <item x="420"/>
        <item x="133"/>
        <item x="238"/>
        <item x="92"/>
        <item x="299"/>
        <item x="174"/>
        <item x="416"/>
        <item x="99"/>
        <item x="141"/>
        <item x="251"/>
        <item x="249"/>
        <item x="402"/>
        <item x="66"/>
        <item x="158"/>
        <item x="447"/>
        <item x="160"/>
        <item x="159"/>
        <item x="394"/>
        <item x="127"/>
        <item x="168"/>
        <item x="338"/>
        <item x="339"/>
        <item x="14"/>
        <item x="52"/>
        <item x="70"/>
        <item x="475"/>
        <item x="351"/>
        <item x="197"/>
        <item x="422"/>
        <item x="431"/>
        <item x="437"/>
        <item x="170"/>
        <item x="421"/>
        <item x="161"/>
        <item x="244"/>
        <item x="256"/>
        <item x="453"/>
        <item x="217"/>
        <item x="362"/>
        <item x="263"/>
        <item x="417"/>
        <item x="434"/>
        <item x="98"/>
        <item x="350"/>
        <item x="246"/>
        <item x="71"/>
        <item x="273"/>
        <item x="259"/>
        <item x="2"/>
        <item x="172"/>
        <item x="294"/>
        <item x="330"/>
        <item x="423"/>
        <item x="332"/>
        <item x="166"/>
        <item x="333"/>
        <item x="457"/>
        <item x="163"/>
        <item x="64"/>
        <item x="255"/>
        <item x="13"/>
        <item x="247"/>
        <item x="451"/>
        <item x="235"/>
        <item x="450"/>
        <item x="347"/>
        <item x="298"/>
        <item x="260"/>
        <item x="430"/>
        <item x="346"/>
        <item x="322"/>
        <item x="336"/>
        <item x="91"/>
        <item x="16"/>
        <item x="408"/>
        <item x="193"/>
        <item x="388"/>
        <item x="482"/>
        <item x="472"/>
        <item x="131"/>
        <item x="296"/>
        <item x="390"/>
        <item x="121"/>
        <item x="436"/>
        <item x="72"/>
        <item x="341"/>
        <item x="262"/>
        <item x="432"/>
        <item x="413"/>
        <item x="348"/>
        <item x="100"/>
        <item x="300"/>
        <item x="414"/>
        <item x="68"/>
        <item x="456"/>
        <item x="395"/>
        <item x="433"/>
        <item x="254"/>
        <item x="110"/>
        <item x="179"/>
        <item x="452"/>
        <item x="200"/>
        <item x="342"/>
        <item x="69"/>
        <item x="407"/>
        <item x="6"/>
        <item x="65"/>
        <item x="443"/>
        <item x="269"/>
        <item x="230"/>
        <item x="118"/>
        <item x="125"/>
        <item x="63"/>
        <item x="132"/>
        <item x="229"/>
        <item x="49"/>
        <item x="36"/>
        <item x="53"/>
        <item x="102"/>
        <item x="134"/>
        <item x="270"/>
        <item x="59"/>
        <item x="103"/>
        <item x="184"/>
        <item x="329"/>
        <item x="30"/>
        <item x="327"/>
        <item x="264"/>
        <item x="440"/>
        <item x="135"/>
        <item x="10"/>
        <item x="95"/>
        <item x="105"/>
        <item x="295"/>
        <item x="94"/>
        <item x="176"/>
        <item x="231"/>
        <item x="228"/>
        <item x="126"/>
        <item x="410"/>
        <item x="258"/>
        <item x="101"/>
        <item x="455"/>
        <item x="144"/>
        <item x="301"/>
        <item x="62"/>
        <item x="435"/>
        <item x="129"/>
        <item x="38"/>
        <item x="274"/>
        <item x="393"/>
        <item x="268"/>
        <item x="278"/>
        <item x="198"/>
        <item x="218"/>
        <item x="293"/>
        <item x="140"/>
        <item x="221"/>
        <item x="226"/>
        <item x="42"/>
        <item x="233"/>
        <item x="474"/>
        <item x="462"/>
        <item x="458"/>
        <item x="466"/>
        <item x="480"/>
        <item x="56"/>
        <item x="11"/>
        <item x="5"/>
        <item x="261"/>
        <item x="74"/>
        <item x="271"/>
        <item x="0"/>
        <item x="321"/>
        <item x="177"/>
        <item x="67"/>
        <item x="123"/>
        <item x="142"/>
        <item x="385"/>
        <item x="252"/>
        <item x="396"/>
        <item x="344"/>
        <item x="318"/>
        <item x="481"/>
        <item x="171"/>
        <item x="331"/>
        <item x="51"/>
        <item x="442"/>
        <item x="248"/>
        <item x="409"/>
        <item x="81"/>
        <item x="119"/>
        <item x="83"/>
        <item x="7"/>
        <item x="310"/>
        <item x="55"/>
        <item x="467"/>
        <item x="389"/>
        <item x="319"/>
        <item x="445"/>
        <item x="139"/>
        <item x="439"/>
        <item x="308"/>
        <item x="476"/>
        <item x="222"/>
        <item x="4"/>
        <item x="47"/>
        <item x="415"/>
        <item x="86"/>
        <item x="40"/>
        <item x="446"/>
        <item x="391"/>
        <item x="313"/>
        <item x="223"/>
        <item x="219"/>
        <item x="225"/>
        <item x="438"/>
        <item x="89"/>
        <item x="17"/>
        <item x="57"/>
        <item x="15"/>
        <item x="444"/>
        <item x="343"/>
        <item x="180"/>
        <item x="418"/>
        <item x="224"/>
        <item x="290"/>
        <item x="190"/>
        <item x="58"/>
        <item x="349"/>
        <item x="242"/>
        <item x="441"/>
        <item x="428"/>
        <item x="138"/>
        <item x="411"/>
        <item x="276"/>
        <item x="265"/>
        <item x="325"/>
        <item x="41"/>
        <item x="165"/>
        <item x="60"/>
        <item x="465"/>
        <item x="397"/>
        <item x="379"/>
        <item x="113"/>
        <item x="112"/>
        <item x="305"/>
        <item x="23"/>
        <item x="85"/>
        <item x="387"/>
        <item x="488"/>
        <item x="241"/>
        <item x="22"/>
        <item x="335"/>
        <item x="97"/>
        <item x="477"/>
        <item x="316"/>
        <item x="137"/>
        <item x="80"/>
        <item x="328"/>
        <item x="317"/>
        <item x="187"/>
        <item x="483"/>
        <item x="311"/>
        <item x="54"/>
        <item x="419"/>
        <item x="175"/>
        <item x="266"/>
        <item x="406"/>
        <item x="78"/>
        <item x="470"/>
        <item x="18"/>
        <item x="386"/>
        <item x="464"/>
        <item x="93"/>
        <item x="303"/>
        <item x="487"/>
        <item x="460"/>
        <item x="120"/>
        <item x="267"/>
        <item x="392"/>
        <item x="196"/>
        <item x="35"/>
        <item x="143"/>
        <item x="492"/>
        <item x="364"/>
        <item x="151"/>
        <item x="237"/>
        <item x="280"/>
        <item x="285"/>
        <item x="380"/>
        <item x="257"/>
        <item x="494"/>
        <item x="21"/>
        <item x="199"/>
        <item x="490"/>
        <item x="46"/>
        <item x="236"/>
        <item x="232"/>
        <item x="182"/>
        <item x="306"/>
        <item x="45"/>
        <item x="183"/>
        <item x="75"/>
        <item x="76"/>
        <item x="189"/>
        <item x="468"/>
        <item x="272"/>
        <item x="167"/>
        <item x="297"/>
        <item x="473"/>
        <item x="323"/>
        <item x="499"/>
        <item x="479"/>
        <item x="287"/>
        <item x="469"/>
        <item x="463"/>
        <item x="281"/>
        <item x="181"/>
        <item x="277"/>
        <item x="497"/>
        <item x="34"/>
        <item x="372"/>
        <item x="87"/>
        <item x="39"/>
        <item x="192"/>
        <item x="314"/>
        <item x="82"/>
        <item x="207"/>
        <item x="195"/>
        <item x="376"/>
        <item x="486"/>
        <item x="461"/>
        <item x="3"/>
        <item x="130"/>
        <item x="44"/>
        <item x="369"/>
        <item x="1"/>
        <item x="291"/>
        <item x="282"/>
        <item x="205"/>
        <item x="243"/>
        <item x="377"/>
        <item x="12"/>
        <item x="24"/>
        <item x="459"/>
        <item x="370"/>
        <item x="25"/>
        <item x="8"/>
        <item x="153"/>
        <item x="212"/>
        <item x="77"/>
        <item x="234"/>
        <item x="489"/>
        <item x="79"/>
        <item x="20"/>
        <item x="292"/>
        <item x="478"/>
        <item x="173"/>
        <item x="326"/>
        <item x="493"/>
        <item x="283"/>
        <item x="495"/>
        <item x="26"/>
        <item x="400"/>
        <item x="279"/>
        <item x="188"/>
        <item x="352"/>
        <item x="214"/>
        <item x="315"/>
        <item x="202"/>
        <item x="448"/>
        <item x="37"/>
        <item x="399"/>
        <item x="29"/>
        <item x="31"/>
        <item x="9"/>
        <item x="156"/>
        <item x="302"/>
        <item x="491"/>
        <item x="43"/>
        <item x="150"/>
        <item x="185"/>
        <item x="354"/>
        <item x="289"/>
        <item x="383"/>
        <item x="32"/>
        <item x="146"/>
        <item x="154"/>
        <item x="471"/>
        <item x="484"/>
        <item x="206"/>
        <item x="454"/>
        <item x="211"/>
        <item x="50"/>
        <item x="117"/>
        <item x="48"/>
        <item x="334"/>
        <item x="208"/>
        <item x="304"/>
        <item x="19"/>
        <item x="210"/>
        <item x="27"/>
        <item x="288"/>
        <item x="149"/>
        <item x="227"/>
        <item x="116"/>
        <item x="378"/>
        <item x="203"/>
        <item x="215"/>
        <item x="368"/>
        <item x="90"/>
        <item x="361"/>
        <item x="384"/>
        <item x="374"/>
        <item x="88"/>
        <item x="375"/>
        <item x="152"/>
        <item x="485"/>
        <item x="209"/>
        <item x="365"/>
        <item x="359"/>
        <item x="356"/>
        <item x="73"/>
        <item x="107"/>
        <item x="284"/>
        <item x="496"/>
        <item x="204"/>
        <item x="371"/>
        <item x="201"/>
        <item x="360"/>
        <item x="114"/>
        <item x="324"/>
        <item x="122"/>
        <item x="155"/>
        <item x="104"/>
        <item x="309"/>
        <item x="186"/>
        <item x="239"/>
        <item x="353"/>
        <item x="357"/>
        <item x="498"/>
        <item x="366"/>
        <item x="145"/>
        <item x="373"/>
        <item x="28"/>
        <item x="106"/>
        <item x="275"/>
        <item x="111"/>
        <item x="147"/>
        <item x="382"/>
        <item x="194"/>
        <item x="320"/>
        <item x="312"/>
        <item x="115"/>
        <item x="355"/>
        <item x="213"/>
        <item x="191"/>
        <item x="109"/>
        <item x="148"/>
        <item x="286"/>
        <item x="220"/>
        <item x="157"/>
        <item x="367"/>
        <item x="363"/>
        <item x="381"/>
        <item x="84"/>
        <item x="108"/>
        <item x="307"/>
        <item x="33"/>
        <item x="398"/>
        <item t="default"/>
      </items>
    </pivotField>
    <pivotField axis="axisRow" numFmtId="9" showAll="0">
      <items count="501">
        <item x="401"/>
        <item x="57"/>
        <item x="208"/>
        <item x="43"/>
        <item x="155"/>
        <item x="362"/>
        <item x="204"/>
        <item x="203"/>
        <item x="363"/>
        <item x="27"/>
        <item x="112"/>
        <item x="364"/>
        <item x="65"/>
        <item x="212"/>
        <item x="150"/>
        <item x="45"/>
        <item x="35"/>
        <item x="378"/>
        <item x="485"/>
        <item x="214"/>
        <item x="32"/>
        <item x="374"/>
        <item x="361"/>
        <item x="145"/>
        <item x="9"/>
        <item x="148"/>
        <item x="169"/>
        <item x="156"/>
        <item x="206"/>
        <item x="263"/>
        <item x="221"/>
        <item x="28"/>
        <item x="39"/>
        <item x="129"/>
        <item x="371"/>
        <item x="19"/>
        <item x="253"/>
        <item x="44"/>
        <item x="314"/>
        <item x="365"/>
        <item x="29"/>
        <item x="109"/>
        <item x="368"/>
        <item x="21"/>
        <item x="25"/>
        <item x="122"/>
        <item x="154"/>
        <item x="7"/>
        <item x="224"/>
        <item x="108"/>
        <item x="115"/>
        <item x="8"/>
        <item x="372"/>
        <item x="360"/>
        <item x="36"/>
        <item x="357"/>
        <item x="6"/>
        <item x="157"/>
        <item x="210"/>
        <item x="34"/>
        <item x="205"/>
        <item x="379"/>
        <item x="23"/>
        <item x="420"/>
        <item x="107"/>
        <item x="12"/>
        <item x="92"/>
        <item x="459"/>
        <item x="446"/>
        <item x="146"/>
        <item x="373"/>
        <item x="311"/>
        <item x="279"/>
        <item x="466"/>
        <item x="441"/>
        <item x="149"/>
        <item x="342"/>
        <item x="88"/>
        <item x="55"/>
        <item x="290"/>
        <item x="51"/>
        <item x="367"/>
        <item x="294"/>
        <item x="67"/>
        <item x="162"/>
        <item x="209"/>
        <item x="114"/>
        <item x="79"/>
        <item x="286"/>
        <item x="288"/>
        <item x="241"/>
        <item x="74"/>
        <item x="37"/>
        <item x="375"/>
        <item x="125"/>
        <item x="63"/>
        <item x="152"/>
        <item x="134"/>
        <item x="251"/>
        <item x="285"/>
        <item x="468"/>
        <item x="70"/>
        <item x="343"/>
        <item x="89"/>
        <item x="225"/>
        <item x="142"/>
        <item x="13"/>
        <item x="478"/>
        <item x="104"/>
        <item x="312"/>
        <item x="230"/>
        <item x="284"/>
        <item x="292"/>
        <item x="207"/>
        <item x="298"/>
        <item x="82"/>
        <item x="461"/>
        <item x="410"/>
        <item x="497"/>
        <item x="383"/>
        <item x="26"/>
        <item x="111"/>
        <item x="376"/>
        <item x="313"/>
        <item x="283"/>
        <item x="344"/>
        <item x="174"/>
        <item x="427"/>
        <item x="77"/>
        <item x="296"/>
        <item x="302"/>
        <item x="166"/>
        <item x="40"/>
        <item x="178"/>
        <item x="75"/>
        <item x="85"/>
        <item x="289"/>
        <item x="295"/>
        <item x="227"/>
        <item x="177"/>
        <item x="93"/>
        <item x="350"/>
        <item x="96"/>
        <item x="218"/>
        <item x="432"/>
        <item x="264"/>
        <item x="106"/>
        <item x="393"/>
        <item x="320"/>
        <item x="309"/>
        <item x="428"/>
        <item x="15"/>
        <item x="78"/>
        <item x="222"/>
        <item x="256"/>
        <item x="231"/>
        <item x="217"/>
        <item x="18"/>
        <item x="179"/>
        <item x="118"/>
        <item x="315"/>
        <item x="143"/>
        <item x="291"/>
        <item x="267"/>
        <item x="399"/>
        <item x="172"/>
        <item x="304"/>
        <item x="484"/>
        <item x="330"/>
        <item x="447"/>
        <item x="488"/>
        <item x="132"/>
        <item x="316"/>
        <item x="384"/>
        <item x="101"/>
        <item x="95"/>
        <item x="151"/>
        <item x="11"/>
        <item x="443"/>
        <item x="83"/>
        <item x="24"/>
        <item x="3"/>
        <item x="329"/>
        <item x="184"/>
        <item x="20"/>
        <item x="338"/>
        <item x="274"/>
        <item x="5"/>
        <item x="120"/>
        <item x="366"/>
        <item x="492"/>
        <item x="249"/>
        <item x="421"/>
        <item x="308"/>
        <item x="91"/>
        <item x="351"/>
        <item x="58"/>
        <item x="46"/>
        <item x="281"/>
        <item x="99"/>
        <item x="359"/>
        <item x="126"/>
        <item x="62"/>
        <item x="213"/>
        <item x="416"/>
        <item x="469"/>
        <item x="277"/>
        <item x="430"/>
        <item x="494"/>
        <item x="381"/>
        <item x="389"/>
        <item x="72"/>
        <item x="226"/>
        <item x="307"/>
        <item x="192"/>
        <item x="71"/>
        <item x="457"/>
        <item x="167"/>
        <item x="176"/>
        <item x="102"/>
        <item x="171"/>
        <item x="335"/>
        <item x="147"/>
        <item x="2"/>
        <item x="195"/>
        <item x="345"/>
        <item x="269"/>
        <item x="448"/>
        <item x="495"/>
        <item x="336"/>
        <item x="300"/>
        <item x="144"/>
        <item x="121"/>
        <item x="252"/>
        <item x="98"/>
        <item x="493"/>
        <item x="258"/>
        <item x="50"/>
        <item x="282"/>
        <item x="16"/>
        <item x="54"/>
        <item x="303"/>
        <item x="299"/>
        <item x="454"/>
        <item x="327"/>
        <item x="228"/>
        <item x="133"/>
        <item x="456"/>
        <item x="182"/>
        <item x="234"/>
        <item x="60"/>
        <item x="293"/>
        <item x="287"/>
        <item x="382"/>
        <item x="153"/>
        <item x="69"/>
        <item x="103"/>
        <item x="318"/>
        <item x="369"/>
        <item x="90"/>
        <item x="223"/>
        <item x="257"/>
        <item x="30"/>
        <item x="1"/>
        <item x="94"/>
        <item x="471"/>
        <item x="280"/>
        <item x="479"/>
        <item x="387"/>
        <item x="481"/>
        <item x="340"/>
        <item x="337"/>
        <item x="116"/>
        <item x="97"/>
        <item x="339"/>
        <item x="127"/>
        <item x="321"/>
        <item x="220"/>
        <item x="59"/>
        <item x="352"/>
        <item x="455"/>
        <item x="159"/>
        <item x="186"/>
        <item x="306"/>
        <item x="113"/>
        <item x="100"/>
        <item x="76"/>
        <item x="86"/>
        <item x="465"/>
        <item x="87"/>
        <item x="444"/>
        <item x="260"/>
        <item x="246"/>
        <item x="68"/>
        <item x="449"/>
        <item x="439"/>
        <item x="81"/>
        <item x="400"/>
        <item x="66"/>
        <item x="460"/>
        <item x="202"/>
        <item x="453"/>
        <item x="473"/>
        <item x="348"/>
        <item x="486"/>
        <item x="247"/>
        <item x="10"/>
        <item x="119"/>
        <item x="404"/>
        <item x="386"/>
        <item x="38"/>
        <item x="17"/>
        <item x="440"/>
        <item x="216"/>
        <item x="438"/>
        <item x="14"/>
        <item x="80"/>
        <item x="413"/>
        <item x="347"/>
        <item x="105"/>
        <item x="165"/>
        <item x="229"/>
        <item x="272"/>
        <item x="445"/>
        <item x="255"/>
        <item x="354"/>
        <item x="4"/>
        <item x="173"/>
        <item x="248"/>
        <item x="250"/>
        <item x="0"/>
        <item x="180"/>
        <item x="168"/>
        <item x="409"/>
        <item x="491"/>
        <item x="261"/>
        <item x="437"/>
        <item x="232"/>
        <item x="161"/>
        <item x="22"/>
        <item x="442"/>
        <item x="236"/>
        <item x="426"/>
        <item x="135"/>
        <item x="412"/>
        <item x="390"/>
        <item x="419"/>
        <item x="239"/>
        <item x="480"/>
        <item x="425"/>
        <item x="323"/>
        <item x="219"/>
        <item x="429"/>
        <item x="310"/>
        <item x="242"/>
        <item x="175"/>
        <item x="276"/>
        <item x="31"/>
        <item x="185"/>
        <item x="190"/>
        <item x="117"/>
        <item x="317"/>
        <item x="73"/>
        <item x="377"/>
        <item x="238"/>
        <item x="392"/>
        <item x="333"/>
        <item x="215"/>
        <item x="499"/>
        <item x="450"/>
        <item x="189"/>
        <item x="301"/>
        <item x="433"/>
        <item x="49"/>
        <item x="324"/>
        <item x="128"/>
        <item x="123"/>
        <item x="328"/>
        <item x="394"/>
        <item x="188"/>
        <item x="353"/>
        <item x="385"/>
        <item x="346"/>
        <item x="458"/>
        <item x="325"/>
        <item x="331"/>
        <item x="191"/>
        <item x="411"/>
        <item x="406"/>
        <item x="415"/>
        <item x="402"/>
        <item x="262"/>
        <item x="124"/>
        <item x="297"/>
        <item x="332"/>
        <item x="467"/>
        <item x="388"/>
        <item x="477"/>
        <item x="414"/>
        <item x="422"/>
        <item x="470"/>
        <item x="476"/>
        <item x="84"/>
        <item x="170"/>
        <item x="464"/>
        <item x="266"/>
        <item x="160"/>
        <item x="193"/>
        <item x="48"/>
        <item x="41"/>
        <item x="489"/>
        <item x="490"/>
        <item x="243"/>
        <item x="196"/>
        <item x="370"/>
        <item x="271"/>
        <item x="326"/>
        <item x="380"/>
        <item x="136"/>
        <item x="235"/>
        <item x="418"/>
        <item x="305"/>
        <item x="487"/>
        <item x="405"/>
        <item x="278"/>
        <item x="275"/>
        <item x="131"/>
        <item x="245"/>
        <item x="322"/>
        <item x="463"/>
        <item x="452"/>
        <item x="141"/>
        <item x="47"/>
        <item x="355"/>
        <item x="356"/>
        <item x="259"/>
        <item x="349"/>
        <item x="483"/>
        <item x="398"/>
        <item x="273"/>
        <item x="408"/>
        <item x="498"/>
        <item x="436"/>
        <item x="164"/>
        <item x="474"/>
        <item x="56"/>
        <item x="52"/>
        <item x="424"/>
        <item x="482"/>
        <item x="110"/>
        <item x="334"/>
        <item x="199"/>
        <item x="158"/>
        <item x="42"/>
        <item x="33"/>
        <item x="462"/>
        <item x="434"/>
        <item x="139"/>
        <item x="181"/>
        <item x="423"/>
        <item x="211"/>
        <item x="233"/>
        <item x="435"/>
        <item x="163"/>
        <item x="194"/>
        <item x="451"/>
        <item x="407"/>
        <item x="138"/>
        <item x="64"/>
        <item x="265"/>
        <item x="319"/>
        <item x="244"/>
        <item x="395"/>
        <item x="496"/>
        <item x="270"/>
        <item x="200"/>
        <item x="183"/>
        <item x="472"/>
        <item x="237"/>
        <item x="431"/>
        <item x="187"/>
        <item x="403"/>
        <item x="130"/>
        <item x="254"/>
        <item x="391"/>
        <item x="61"/>
        <item x="396"/>
        <item x="475"/>
        <item x="240"/>
        <item x="341"/>
        <item x="268"/>
        <item x="140"/>
        <item x="137"/>
        <item x="197"/>
        <item x="201"/>
        <item x="358"/>
        <item x="397"/>
        <item x="198"/>
        <item x="417"/>
        <item x="53"/>
        <item t="default"/>
      </items>
    </pivotField>
  </pivotFields>
  <rowFields count="1">
    <field x="4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Fields count="1">
    <field x="3"/>
  </colFields>
  <col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colItems>
  <dataFields count="1">
    <dataField name="Count of School District" fld="0" subtotal="count" baseField="0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A9F53F-EC5F-5746-9555-4C33157DFAB4}" name="TuitionRates3" displayName="TuitionRates3" ref="A1:E501" totalsRowShown="0" headerRowBorderDxfId="5">
  <autoFilter ref="A1:E501" xr:uid="{66093F71-7C28-4445-B201-754F352556D3}"/>
  <sortState xmlns:xlrd2="http://schemas.microsoft.com/office/spreadsheetml/2017/richdata2" ref="A2:E501">
    <sortCondition descending="1" ref="E1:E501"/>
  </sortState>
  <tableColumns count="5">
    <tableColumn id="1" xr3:uid="{28B53340-F8C1-8A42-9FC0-5CEA1F3992C4}" name="District" dataDxfId="4"/>
    <tableColumn id="2" xr3:uid="{0A5EB0C1-2082-664E-A295-0413B1CF3472}" name="County" dataDxfId="3"/>
    <tableColumn id="3" xr3:uid="{0FB06B38-0BB2-BF4F-A0C9-3D5E3D1B43C7}" name="Tuition" dataDxfId="2"/>
    <tableColumn id="4" xr3:uid="{AF12F95F-C9D4-D147-9BAD-56FAE6AEDC87}" name="Expenditures " dataDxfId="1"/>
    <tableColumn id="5" xr3:uid="{16197590-E06F-674A-8E5E-6A7AC642389F}" name="Percentange" dataDxfId="0" dataCellStyle="Percent">
      <calculatedColumnFormula>TuitionRates3[[#This Row],[Tuition]]/D2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93F71-7C28-4445-B201-754F352556D3}" name="TuitionRates" displayName="TuitionRates" ref="A1:E501" totalsRowShown="0" headerRowBorderDxfId="10">
  <autoFilter ref="A1:E501" xr:uid="{66093F71-7C28-4445-B201-754F352556D3}"/>
  <sortState xmlns:xlrd2="http://schemas.microsoft.com/office/spreadsheetml/2017/richdata2" ref="A2:E501">
    <sortCondition descending="1" ref="E1:E501"/>
  </sortState>
  <tableColumns count="5">
    <tableColumn id="1" xr3:uid="{6722B4BB-71A0-6245-8590-A0EBDB05CAEA}" name="School District" dataDxfId="9"/>
    <tableColumn id="2" xr3:uid="{7A7F2698-B7E0-6240-86CB-CA32B838BF42}" name="County" dataDxfId="8"/>
    <tableColumn id="3" xr3:uid="{A3C3E491-4C75-294C-8ABB-578441267CFE}" name="2022-23_x000a_Cyber Charter School Expenditures" dataDxfId="7"/>
    <tableColumn id="4" xr3:uid="{B075E7E2-4522-264D-B463-33E804C9A753}" name="Total Expenditures "/>
    <tableColumn id="5" xr3:uid="{D0E95269-67AC-4F41-AE9A-BA2A1BB83816}" name="Percentange of expenses for cyber tuition" dataDxfId="6">
      <calculatedColumnFormula>TuitionRates[[#This Row],[2022-23
Cyber Charter School Expenditures]]/D2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EA34-0E01-4440-976D-781AE8CDE0EF}">
  <dimension ref="A1:BB501"/>
  <sheetViews>
    <sheetView workbookViewId="0">
      <selection activeCell="G37" sqref="G37"/>
    </sheetView>
  </sheetViews>
  <sheetFormatPr baseColWidth="10" defaultRowHeight="16" x14ac:dyDescent="0.2"/>
  <cols>
    <col min="1" max="1" width="23.33203125" style="3" bestFit="1" customWidth="1"/>
    <col min="2" max="2" width="12.33203125" style="3" bestFit="1" customWidth="1"/>
    <col min="3" max="3" width="12.6640625" style="13" bestFit="1" customWidth="1"/>
    <col min="4" max="4" width="10.83203125" style="16"/>
    <col min="5" max="5" width="15.5" style="16" customWidth="1"/>
    <col min="6" max="6" width="12.6640625" style="4" customWidth="1"/>
    <col min="9" max="13" width="11.1640625" bestFit="1" customWidth="1"/>
  </cols>
  <sheetData>
    <row r="1" spans="1:54" x14ac:dyDescent="0.2">
      <c r="A1" s="1" t="s">
        <v>576</v>
      </c>
      <c r="B1" s="1" t="s">
        <v>1</v>
      </c>
      <c r="C1" s="12" t="s">
        <v>577</v>
      </c>
      <c r="D1" s="14" t="s">
        <v>578</v>
      </c>
      <c r="E1" s="21" t="s">
        <v>579</v>
      </c>
      <c r="F1"/>
    </row>
    <row r="2" spans="1:54" x14ac:dyDescent="0.2">
      <c r="A2" s="3" t="s">
        <v>59</v>
      </c>
      <c r="B2" s="3" t="s">
        <v>60</v>
      </c>
      <c r="C2" s="13">
        <v>3986474.7</v>
      </c>
      <c r="D2" s="15">
        <v>26987214.640000001</v>
      </c>
      <c r="E2" s="22">
        <f>TuitionRates3[[#This Row],[Tuition]]/D2</f>
        <v>0.14771715989138479</v>
      </c>
      <c r="F2"/>
    </row>
    <row r="3" spans="1:54" x14ac:dyDescent="0.2">
      <c r="A3" s="3" t="s">
        <v>474</v>
      </c>
      <c r="B3" s="3" t="s">
        <v>463</v>
      </c>
      <c r="C3" s="13">
        <v>2504825.48</v>
      </c>
      <c r="D3" s="15">
        <v>18791305.73</v>
      </c>
      <c r="E3" s="22">
        <f>TuitionRates3[[#This Row],[Tuition]]/D3</f>
        <v>0.13329704257863723</v>
      </c>
      <c r="F3"/>
    </row>
    <row r="4" spans="1:54" x14ac:dyDescent="0.2">
      <c r="A4" s="3" t="s">
        <v>223</v>
      </c>
      <c r="B4" s="3" t="s">
        <v>216</v>
      </c>
      <c r="C4" s="13">
        <v>3982068</v>
      </c>
      <c r="D4" s="15">
        <v>32293807.98</v>
      </c>
      <c r="E4" s="22">
        <f>TuitionRates3[[#This Row],[Tuition]]/D4</f>
        <v>0.12330747747265201</v>
      </c>
      <c r="F4"/>
    </row>
    <row r="5" spans="1:54" x14ac:dyDescent="0.2">
      <c r="A5" s="3" t="s">
        <v>450</v>
      </c>
      <c r="B5" s="3" t="s">
        <v>447</v>
      </c>
      <c r="C5" s="13">
        <v>4851741.59</v>
      </c>
      <c r="D5" s="15">
        <v>45353846.619999997</v>
      </c>
      <c r="E5" s="22">
        <f>TuitionRates3[[#This Row],[Tuition]]/D5</f>
        <v>0.1069753053285781</v>
      </c>
      <c r="F5"/>
    </row>
    <row r="6" spans="1:54" x14ac:dyDescent="0.2">
      <c r="A6" s="3" t="s">
        <v>407</v>
      </c>
      <c r="B6" s="3" t="s">
        <v>406</v>
      </c>
      <c r="C6" s="13">
        <v>25938</v>
      </c>
      <c r="D6" s="15">
        <v>257062</v>
      </c>
      <c r="E6" s="22">
        <f>TuitionRates3[[#This Row],[Tuition]]/D6</f>
        <v>0.1009017279878006</v>
      </c>
      <c r="F6"/>
      <c r="I6" t="s">
        <v>580</v>
      </c>
    </row>
    <row r="7" spans="1:54" x14ac:dyDescent="0.2">
      <c r="A7" s="3" t="s">
        <v>226</v>
      </c>
      <c r="B7" s="3" t="s">
        <v>227</v>
      </c>
      <c r="C7" s="13">
        <v>13523422.07</v>
      </c>
      <c r="D7" s="15">
        <v>148558474.50999999</v>
      </c>
      <c r="E7" s="22">
        <f>TuitionRates3[[#This Row],[Tuition]]/D7</f>
        <v>9.10309702264053E-2</v>
      </c>
      <c r="F7"/>
      <c r="I7" s="20">
        <v>5000000000</v>
      </c>
      <c r="J7" s="20">
        <v>4000000000</v>
      </c>
      <c r="K7" s="20">
        <v>3000000000</v>
      </c>
      <c r="L7" s="20">
        <v>2000000000</v>
      </c>
      <c r="M7" s="20">
        <v>1000000000</v>
      </c>
      <c r="N7" s="17">
        <v>900000000</v>
      </c>
      <c r="O7" s="17">
        <v>800000000</v>
      </c>
      <c r="P7" s="17">
        <v>700000000</v>
      </c>
      <c r="Q7" s="17">
        <v>600000000</v>
      </c>
      <c r="R7" s="17">
        <v>500000000</v>
      </c>
      <c r="S7" s="17">
        <v>400000000</v>
      </c>
      <c r="T7" s="17">
        <v>300000000</v>
      </c>
      <c r="U7" s="17">
        <v>200000000</v>
      </c>
      <c r="V7" s="17">
        <v>100000000</v>
      </c>
      <c r="W7" s="17">
        <v>90000000</v>
      </c>
      <c r="X7" s="17">
        <v>80000000</v>
      </c>
      <c r="Y7" s="17">
        <v>70000000</v>
      </c>
      <c r="Z7" s="17">
        <v>60000000</v>
      </c>
      <c r="AA7" s="17">
        <v>50000000</v>
      </c>
      <c r="AB7" s="17">
        <v>40000000</v>
      </c>
      <c r="AC7" s="17">
        <v>30000000</v>
      </c>
      <c r="AD7" s="17">
        <v>20000000</v>
      </c>
      <c r="AE7" s="17">
        <v>10000000</v>
      </c>
      <c r="AF7" s="17">
        <v>9000000</v>
      </c>
      <c r="AG7" s="17">
        <v>8000000</v>
      </c>
      <c r="AH7" s="17">
        <v>7000000</v>
      </c>
      <c r="AI7" s="17">
        <v>6000000</v>
      </c>
      <c r="AJ7" s="17">
        <v>5000000</v>
      </c>
      <c r="AK7" s="17">
        <v>4000000</v>
      </c>
      <c r="AL7" s="17">
        <v>3000000</v>
      </c>
      <c r="AM7" s="17">
        <v>2000000</v>
      </c>
      <c r="AN7" s="17">
        <v>1000000</v>
      </c>
      <c r="AO7" s="19">
        <v>900000</v>
      </c>
      <c r="AP7" s="19">
        <v>800000</v>
      </c>
      <c r="AQ7" s="19">
        <v>700000</v>
      </c>
      <c r="AR7" s="19">
        <v>600000</v>
      </c>
      <c r="AS7" s="19">
        <v>500000</v>
      </c>
      <c r="AT7" s="19">
        <v>400000</v>
      </c>
      <c r="AU7" s="19">
        <v>300000</v>
      </c>
      <c r="AV7" s="19">
        <v>200000</v>
      </c>
      <c r="AW7" s="19">
        <v>100000</v>
      </c>
    </row>
    <row r="8" spans="1:54" x14ac:dyDescent="0.2">
      <c r="A8" s="3" t="s">
        <v>222</v>
      </c>
      <c r="B8" s="3" t="s">
        <v>216</v>
      </c>
      <c r="C8" s="13">
        <v>1491441.72</v>
      </c>
      <c r="D8" s="15">
        <v>17492927.030000001</v>
      </c>
      <c r="E8" s="22">
        <f>TuitionRates3[[#This Row],[Tuition]]/D8</f>
        <v>8.5259700531661098E-2</v>
      </c>
      <c r="F8"/>
      <c r="G8" t="s">
        <v>581</v>
      </c>
      <c r="H8" s="18">
        <v>0.15</v>
      </c>
      <c r="I8" t="str" cm="1">
        <f t="array" ref="I8">_xlfn.TEXTJOIN(",",TRUE,(_xlfn._xlws.FILTER($A$2:$A$501,($D$2:$D$501&gt;=J$7)*($D$2:$D$501&lt;I$7)*($E$2:$E$501&gt;=$H9)*($E$2:$E$501&lt;$H8)," ")))</f>
        <v xml:space="preserve"> </v>
      </c>
      <c r="J8" t="str" cm="1">
        <f t="array" ref="J8">_xlfn.TEXTJOIN(",",TRUE,(_xlfn._xlws.FILTER($A$2:$A$501,($D$2:$D$501&gt;=K$7)*($D$2:$D$501&lt;J$7)*($E$2:$E$501&gt;=$H9)*($E$2:$E$501&lt;$H8)," ")))</f>
        <v xml:space="preserve"> </v>
      </c>
      <c r="K8" t="str" cm="1">
        <f t="array" ref="K8">_xlfn.TEXTJOIN(",",TRUE,(_xlfn._xlws.FILTER($A$2:$A$501,($D$2:$D$501&gt;=L$7)*($D$2:$D$501&lt;K$7)*($E$2:$E$501&gt;=$H9)*($E$2:$E$501&lt;$H8)," ")))</f>
        <v xml:space="preserve"> </v>
      </c>
      <c r="L8" t="str" cm="1">
        <f t="array" ref="L8">_xlfn.TEXTJOIN(",",TRUE,(_xlfn._xlws.FILTER($A$2:$A$501,($D$2:$D$501&gt;=M$7)*($D$2:$D$501&lt;L$7)*($E$2:$E$501&gt;=$H9)*($E$2:$E$501&lt;$H8)," ")))</f>
        <v xml:space="preserve"> </v>
      </c>
      <c r="M8" t="str" cm="1">
        <f t="array" ref="M8">_xlfn.TEXTJOIN(",",TRUE,(_xlfn._xlws.FILTER($A$2:$A$501,($D$2:$D$501&gt;=N$7)*($D$2:$D$501&lt;M$7)*($E$2:$E$501&gt;=$H9)*($E$2:$E$501&lt;$H8)," ")))</f>
        <v xml:space="preserve"> </v>
      </c>
      <c r="N8" t="str" cm="1">
        <f t="array" ref="N8">_xlfn.TEXTJOIN(",",TRUE,(_xlfn._xlws.FILTER($A$2:$A$501,($D$2:$D$501&gt;=O$7)*($D$2:$D$501&lt;N$7)*($E$2:$E$501&gt;=$H9)*($E$2:$E$501&lt;$H8)," ")))</f>
        <v xml:space="preserve"> </v>
      </c>
      <c r="O8" t="str" cm="1">
        <f t="array" ref="O8">_xlfn.TEXTJOIN(",",TRUE,(_xlfn._xlws.FILTER($A$2:$A$501,($D$2:$D$501&gt;=P$7)*($D$2:$D$501&lt;O$7)*($E$2:$E$501&gt;=$H9)*($E$2:$E$501&lt;$H8)," ")))</f>
        <v xml:space="preserve"> </v>
      </c>
      <c r="P8" t="str" cm="1">
        <f t="array" ref="P8">_xlfn.TEXTJOIN(",",TRUE,(_xlfn._xlws.FILTER($A$2:$A$501,($D$2:$D$501&gt;=Q$7)*($D$2:$D$501&lt;P$7)*($E$2:$E$501&gt;=$H9)*($E$2:$E$501&lt;$H8)," ")))</f>
        <v xml:space="preserve"> </v>
      </c>
      <c r="Q8" t="str" cm="1">
        <f t="array" ref="Q8">_xlfn.TEXTJOIN(",",TRUE,(_xlfn._xlws.FILTER($A$2:$A$501,($D$2:$D$501&gt;=R$7)*($D$2:$D$501&lt;Q$7)*($E$2:$E$501&gt;=$H9)*($E$2:$E$501&lt;$H8)," ")))</f>
        <v xml:space="preserve"> </v>
      </c>
      <c r="R8" t="str" cm="1">
        <f t="array" ref="R8">_xlfn.TEXTJOIN(",",TRUE,(_xlfn._xlws.FILTER($A$2:$A$501,($D$2:$D$501&gt;=S$7)*($D$2:$D$501&lt;R$7)*($E$2:$E$501&gt;=$H9)*($E$2:$E$501&lt;$H8)," ")))</f>
        <v xml:space="preserve"> </v>
      </c>
      <c r="S8" t="str" cm="1">
        <f t="array" ref="S8">_xlfn.TEXTJOIN(",",TRUE,(_xlfn._xlws.FILTER($A$2:$A$501,($D$2:$D$501&gt;=T$7)*($D$2:$D$501&lt;S$7)*($E$2:$E$501&gt;=$H9)*($E$2:$E$501&lt;$H8)," ")))</f>
        <v xml:space="preserve"> </v>
      </c>
      <c r="T8" t="str" cm="1">
        <f t="array" ref="T8">_xlfn.TEXTJOIN(",",TRUE,(_xlfn._xlws.FILTER($A$2:$A$501,($D$2:$D$501&gt;=U$7)*($D$2:$D$501&lt;T$7)*($E$2:$E$501&gt;=$H9)*($E$2:$E$501&lt;$H8)," ")))</f>
        <v xml:space="preserve"> </v>
      </c>
      <c r="U8" t="str" cm="1">
        <f t="array" ref="U8">_xlfn.TEXTJOIN(",",TRUE,(_xlfn._xlws.FILTER($A$2:$A$501,($D$2:$D$501&gt;=V$7)*($D$2:$D$501&lt;U$7)*($E$2:$E$501&gt;=$H9)*($E$2:$E$501&lt;$H8)," ")))</f>
        <v xml:space="preserve"> </v>
      </c>
      <c r="V8" t="str" cm="1">
        <f t="array" ref="V8">_xlfn.TEXTJOIN(",",TRUE,(_xlfn._xlws.FILTER($A$2:$A$501,($D$2:$D$501&gt;=W$7)*($D$2:$D$501&lt;V$7)*($E$2:$E$501&gt;=$H9)*($E$2:$E$501&lt;$H8)," ")))</f>
        <v xml:space="preserve"> </v>
      </c>
      <c r="W8" t="str" cm="1">
        <f t="array" ref="W8">_xlfn.TEXTJOIN(",",TRUE,(_xlfn._xlws.FILTER($A$2:$A$501,($D$2:$D$501&gt;=X$7)*($D$2:$D$501&lt;W$7)*($E$2:$E$501&gt;=$H9)*($E$2:$E$501&lt;$H8)," ")))</f>
        <v xml:space="preserve"> </v>
      </c>
      <c r="X8" t="str" cm="1">
        <f t="array" ref="X8">_xlfn.TEXTJOIN(",",TRUE,(_xlfn._xlws.FILTER($A$2:$A$501,($D$2:$D$501&gt;=Y$7)*($D$2:$D$501&lt;X$7)*($E$2:$E$501&gt;=$H9)*($E$2:$E$501&lt;$H8)," ")))</f>
        <v xml:space="preserve"> </v>
      </c>
      <c r="Y8" t="str" cm="1">
        <f t="array" ref="Y8">_xlfn.TEXTJOIN(",",TRUE,(_xlfn._xlws.FILTER($A$2:$A$501,($D$2:$D$501&gt;=Z$7)*($D$2:$D$501&lt;Y$7)*($E$2:$E$501&gt;=$H9)*($E$2:$E$501&lt;$H8)," ")))</f>
        <v xml:space="preserve"> </v>
      </c>
      <c r="Z8" t="str" cm="1">
        <f t="array" ref="Z8">_xlfn.TEXTJOIN(",",TRUE,(_xlfn._xlws.FILTER($A$2:$A$501,($D$2:$D$501&gt;=AA$7)*($D$2:$D$501&lt;Z$7)*($E$2:$E$501&gt;=$H9)*($E$2:$E$501&lt;$H8)," ")))</f>
        <v xml:space="preserve"> </v>
      </c>
      <c r="AA8" t="str" cm="1">
        <f t="array" ref="AA8">_xlfn.TEXTJOIN(",",TRUE,(_xlfn._xlws.FILTER($A$2:$A$501,($D$2:$D$501&gt;=AB$7)*($D$2:$D$501&lt;AA$7)*($E$2:$E$501&gt;=$H9)*($E$2:$E$501&lt;$H8)," ")))</f>
        <v xml:space="preserve"> </v>
      </c>
      <c r="AB8" t="str" cm="1">
        <f t="array" ref="AB8">_xlfn.TEXTJOIN(",",TRUE,(_xlfn._xlws.FILTER($A$2:$A$501,($D$2:$D$501&gt;=AC$7)*($D$2:$D$501&lt;AB$7)*($E$2:$E$501&gt;=$H9)*($E$2:$E$501&lt;$H8)," ")))</f>
        <v xml:space="preserve"> </v>
      </c>
      <c r="AC8" t="str" cm="1">
        <f t="array" ref="AC8">_xlfn.TEXTJOIN(",",TRUE,(_xlfn._xlws.FILTER($A$2:$A$501,($D$2:$D$501&gt;=AD$7)*($D$2:$D$501&lt;AC$7)*($E$2:$E$501&gt;=$H9)*($E$2:$E$501&lt;$H8)," ")))</f>
        <v xml:space="preserve"> </v>
      </c>
      <c r="AD8" t="str" cm="1">
        <f t="array" ref="AD8">_xlfn.TEXTJOIN(",",TRUE,(_xlfn._xlws.FILTER($A$2:$A$501,($D$2:$D$501&gt;=AE$7)*($D$2:$D$501&lt;AD$7)*($E$2:$E$501&gt;=$H9)*($E$2:$E$501&lt;$H8)," ")))</f>
        <v xml:space="preserve"> </v>
      </c>
      <c r="AE8" t="str" cm="1">
        <f t="array" ref="AE8">_xlfn.TEXTJOIN(",",TRUE,(_xlfn._xlws.FILTER($A$2:$A$501,($D$2:$D$501&gt;=AF$7)*($D$2:$D$501&lt;AE$7)*($E$2:$E$501&gt;=$H9)*($E$2:$E$501&lt;$H8)," ")))</f>
        <v xml:space="preserve"> </v>
      </c>
      <c r="AF8" t="str" cm="1">
        <f t="array" ref="AF8">_xlfn.TEXTJOIN(",",TRUE,(_xlfn._xlws.FILTER($A$2:$A$501,($D$2:$D$501&gt;=AG$7)*($D$2:$D$501&lt;AF$7)*($E$2:$E$501&gt;=$H9)*($E$2:$E$501&lt;$H8)," ")))</f>
        <v xml:space="preserve"> </v>
      </c>
      <c r="AG8" t="str" cm="1">
        <f t="array" ref="AG8">_xlfn.TEXTJOIN(",",TRUE,(_xlfn._xlws.FILTER($A$2:$A$501,($D$2:$D$501&gt;=AH$7)*($D$2:$D$501&lt;AG$7)*($E$2:$E$501&gt;=$H9)*($E$2:$E$501&lt;$H8)," ")))</f>
        <v xml:space="preserve"> </v>
      </c>
      <c r="AH8" t="str" cm="1">
        <f t="array" ref="AH8">_xlfn.TEXTJOIN(",",TRUE,(_xlfn._xlws.FILTER($A$2:$A$501,($D$2:$D$501&gt;=AI$7)*($D$2:$D$501&lt;AH$7)*($E$2:$E$501&gt;=$H9)*($E$2:$E$501&lt;$H8)," ")))</f>
        <v xml:space="preserve"> </v>
      </c>
      <c r="AI8" t="str" cm="1">
        <f t="array" ref="AI8">_xlfn.TEXTJOIN(",",TRUE,(_xlfn._xlws.FILTER($A$2:$A$501,($D$2:$D$501&gt;=AJ$7)*($D$2:$D$501&lt;AI$7)*($E$2:$E$501&gt;=$H9)*($E$2:$E$501&lt;$H8)," ")))</f>
        <v xml:space="preserve"> </v>
      </c>
      <c r="AJ8" t="str" cm="1">
        <f t="array" ref="AJ8">_xlfn.TEXTJOIN(",",TRUE,(_xlfn._xlws.FILTER($A$2:$A$501,($D$2:$D$501&gt;=AK$7)*($D$2:$D$501&lt;AJ$7)*($E$2:$E$501&gt;=$H9)*($E$2:$E$501&lt;$H8)," ")))</f>
        <v xml:space="preserve"> </v>
      </c>
      <c r="AK8" t="str" cm="1">
        <f t="array" ref="AK8">_xlfn.TEXTJOIN(",",TRUE,(_xlfn._xlws.FILTER($A$2:$A$501,($D$2:$D$501&gt;=AL$7)*($D$2:$D$501&lt;AK$7)*($E$2:$E$501&gt;=$H9)*($E$2:$E$501&lt;$H8)," ")))</f>
        <v xml:space="preserve"> </v>
      </c>
      <c r="AL8" t="str" cm="1">
        <f t="array" ref="AL8">_xlfn.TEXTJOIN(",",TRUE,(_xlfn._xlws.FILTER($A$2:$A$501,($D$2:$D$501&gt;=AM$7)*($D$2:$D$501&lt;AL$7)*($E$2:$E$501&gt;=$H9)*($E$2:$E$501&lt;$H8)," ")))</f>
        <v xml:space="preserve"> </v>
      </c>
      <c r="AM8" t="str" cm="1">
        <f t="array" ref="AM8">_xlfn.TEXTJOIN(",",TRUE,(_xlfn._xlws.FILTER($A$2:$A$501,($D$2:$D$501&gt;=AN$7)*($D$2:$D$501&lt;AM$7)*($E$2:$E$501&gt;=$H9)*($E$2:$E$501&lt;$H8)," ")))</f>
        <v xml:space="preserve"> </v>
      </c>
      <c r="AN8" t="str" cm="1">
        <f t="array" ref="AN8">_xlfn.TEXTJOIN(",",TRUE,(_xlfn._xlws.FILTER($A$2:$A$501,($D$2:$D$501&gt;=AO$7)*($D$2:$D$501&lt;AN$7)*($E$2:$E$501&gt;=$H9)*($E$2:$E$501&lt;$H8)," ")))</f>
        <v xml:space="preserve"> </v>
      </c>
      <c r="AO8" t="str" cm="1">
        <f t="array" ref="AO8">_xlfn.TEXTJOIN(",",TRUE,(_xlfn._xlws.FILTER($A$2:$A$501,($D$2:$D$501&gt;=AP$7)*($D$2:$D$501&lt;AO$7)*($E$2:$E$501&gt;=$H9)*($E$2:$E$501&lt;$H8)," ")))</f>
        <v xml:space="preserve"> </v>
      </c>
      <c r="AP8" t="str" cm="1">
        <f t="array" ref="AP8">_xlfn.TEXTJOIN(",",TRUE,(_xlfn._xlws.FILTER($A$2:$A$501,($D$2:$D$501&gt;=AQ$7)*($D$2:$D$501&lt;AP$7)*($E$2:$E$501&gt;=$H9)*($E$2:$E$501&lt;$H8)," ")))</f>
        <v xml:space="preserve"> </v>
      </c>
      <c r="AQ8" t="str" cm="1">
        <f t="array" ref="AQ8">_xlfn.TEXTJOIN(",",TRUE,(_xlfn._xlws.FILTER($A$2:$A$501,($D$2:$D$501&gt;=AR$7)*($D$2:$D$501&lt;AQ$7)*($E$2:$E$501&gt;=$H9)*($E$2:$E$501&lt;$H8)," ")))</f>
        <v xml:space="preserve"> </v>
      </c>
      <c r="AR8" t="str" cm="1">
        <f t="array" ref="AR8">_xlfn.TEXTJOIN(",",TRUE,(_xlfn._xlws.FILTER($A$2:$A$501,($D$2:$D$501&gt;=AS$7)*($D$2:$D$501&lt;AR$7)*($E$2:$E$501&gt;=$H9)*($E$2:$E$501&lt;$H8)," ")))</f>
        <v xml:space="preserve"> </v>
      </c>
      <c r="AS8" t="str" cm="1">
        <f t="array" ref="AS8">_xlfn.TEXTJOIN(",",TRUE,(_xlfn._xlws.FILTER($A$2:$A$501,($D$2:$D$501&gt;=AT$7)*($D$2:$D$501&lt;AS$7)*($E$2:$E$501&gt;=$H9)*($E$2:$E$501&lt;$H8)," ")))</f>
        <v xml:space="preserve"> </v>
      </c>
      <c r="AT8" t="str" cm="1">
        <f t="array" ref="AT8">_xlfn.TEXTJOIN(",",TRUE,(_xlfn._xlws.FILTER($A$2:$A$501,($D$2:$D$501&gt;=AU$7)*($D$2:$D$501&lt;AT$7)*($E$2:$E$501&gt;=$H9)*($E$2:$E$501&lt;$H8)," ")))</f>
        <v xml:space="preserve"> </v>
      </c>
      <c r="AU8" t="str" cm="1">
        <f t="array" ref="AU8">_xlfn.TEXTJOIN(",",TRUE,(_xlfn._xlws.FILTER($A$2:$A$501,($D$2:$D$501&gt;=AV$7)*($D$2:$D$501&lt;AU$7)*($E$2:$E$501&gt;=$H9)*($E$2:$E$501&lt;$H8)," ")))</f>
        <v xml:space="preserve"> </v>
      </c>
      <c r="AV8" t="str" cm="1">
        <f t="array" ref="AV8">_xlfn.TEXTJOIN(",",TRUE,(_xlfn._xlws.FILTER($A$2:$A$501,($D$2:$D$501&gt;=AW$7)*($D$2:$D$501&lt;AV$7)*($E$2:$E$501&gt;=$H9)*($E$2:$E$501&lt;$H8)," ")))</f>
        <v xml:space="preserve"> </v>
      </c>
      <c r="AW8" t="str" cm="1">
        <f t="array" ref="AW8">_xlfn.TEXTJOIN(",",TRUE,(_xlfn._xlws.FILTER($A$2:$A$501,($D$2:$D$501&gt;=AX$7)*($D$2:$D$501&lt;AW$7)*($E$2:$E$501&gt;=$H9)*($E$2:$E$501&lt;$H8)," ")))</f>
        <v xml:space="preserve"> </v>
      </c>
      <c r="AX8" t="str" cm="1">
        <f t="array" ref="AX8">_xlfn.TEXTJOIN(",",TRUE,(_xlfn._xlws.FILTER($A$2:$A$501,($D$2:$D$501&gt;=AY$7)*($D$2:$D$501&lt;AX$7)*($E$2:$E$501&gt;=$H9)*($E$2:$E$501&lt;$H8)," ")))</f>
        <v xml:space="preserve"> </v>
      </c>
      <c r="AY8" t="str" cm="1">
        <f t="array" ref="AY8">_xlfn.TEXTJOIN(",",TRUE,(_xlfn._xlws.FILTER($A$2:$A$501,($D$2:$D$501&gt;=AZ$7)*($D$2:$D$501&lt;AY$7)*($E$2:$E$501&gt;=$H9)*($E$2:$E$501&lt;$H8)," ")))</f>
        <v xml:space="preserve"> </v>
      </c>
      <c r="AZ8" t="str" cm="1">
        <f t="array" ref="AZ8">_xlfn.TEXTJOIN(",",TRUE,(_xlfn._xlws.FILTER($A$2:$A$501,($D$2:$D$501&gt;=BA$7)*($D$2:$D$501&lt;AZ$7)*($E$2:$E$501&gt;=$H9)*($E$2:$E$501&lt;$H8)," ")))</f>
        <v xml:space="preserve"> </v>
      </c>
      <c r="BA8" t="str" cm="1">
        <f t="array" ref="BA8">_xlfn.TEXTJOIN(",",TRUE,(_xlfn._xlws.FILTER($A$2:$A$501,($D$2:$D$501&gt;=BB$7)*($D$2:$D$501&lt;BA$7)*($E$2:$E$501&gt;=$H9)*($E$2:$E$501&lt;$H8)," ")))</f>
        <v xml:space="preserve"> </v>
      </c>
      <c r="BB8" t="str" cm="1">
        <f t="array" ref="BB8">_xlfn.TEXTJOIN(",",TRUE,(_xlfn._xlws.FILTER($A$2:$A$501,($D$2:$D$501&gt;=BC$7)*($D$2:$D$501&lt;BB$7)*($E$2:$E$501&gt;=$H9)*($E$2:$E$501&lt;$H8)," ")))</f>
        <v xml:space="preserve"> </v>
      </c>
    </row>
    <row r="9" spans="1:54" x14ac:dyDescent="0.2">
      <c r="A9" s="3" t="s">
        <v>152</v>
      </c>
      <c r="B9" s="3" t="s">
        <v>153</v>
      </c>
      <c r="C9" s="13">
        <v>3823169</v>
      </c>
      <c r="D9" s="15">
        <v>47407031.030000001</v>
      </c>
      <c r="E9" s="22">
        <f>TuitionRates3[[#This Row],[Tuition]]/D9</f>
        <v>8.0645611356269742E-2</v>
      </c>
      <c r="F9"/>
      <c r="H9" s="18">
        <v>0.14899999999999999</v>
      </c>
      <c r="I9" t="str" cm="1">
        <f t="array" ref="I9">_xlfn.TEXTJOIN(",",TRUE,(_xlfn._xlws.FILTER($A$2:$A$501,($D$2:$D$501&gt;=J$7)*($D$2:$D$501&lt;I$7)*($E$2:$E$501&gt;=$H10)*($E$2:$E$501&lt;$H9)," ")))</f>
        <v xml:space="preserve"> </v>
      </c>
      <c r="J9" t="str" cm="1">
        <f t="array" ref="J9">_xlfn.TEXTJOIN(",",TRUE,(_xlfn._xlws.FILTER($A$2:$A$501,($D$2:$D$501&gt;=K$7)*($D$2:$D$501&lt;J$7)*($E$2:$E$501&gt;=$H10)*($E$2:$E$501&lt;$H9)," ")))</f>
        <v xml:space="preserve"> </v>
      </c>
      <c r="K9" t="str" cm="1">
        <f t="array" ref="K9">_xlfn.TEXTJOIN(",",TRUE,(_xlfn._xlws.FILTER($A$2:$A$501,($D$2:$D$501&gt;=L$7)*($D$2:$D$501&lt;K$7)*($E$2:$E$501&gt;=$H10)*($E$2:$E$501&lt;$H9)," ")))</f>
        <v xml:space="preserve"> </v>
      </c>
      <c r="L9" t="str" cm="1">
        <f t="array" ref="L9">_xlfn.TEXTJOIN(",",TRUE,(_xlfn._xlws.FILTER($A$2:$A$501,($D$2:$D$501&gt;=M$7)*($D$2:$D$501&lt;L$7)*($E$2:$E$501&gt;=$H10)*($E$2:$E$501&lt;$H9)," ")))</f>
        <v xml:space="preserve"> </v>
      </c>
      <c r="M9" t="str" cm="1">
        <f t="array" ref="M9">_xlfn.TEXTJOIN(",",TRUE,(_xlfn._xlws.FILTER($A$2:$A$501,($D$2:$D$501&gt;=N$7)*($D$2:$D$501&lt;M$7)*($E$2:$E$501&gt;=$H10)*($E$2:$E$501&lt;$H9)," ")))</f>
        <v xml:space="preserve"> </v>
      </c>
      <c r="N9" t="str" cm="1">
        <f t="array" ref="N9">_xlfn.TEXTJOIN(",",TRUE,(_xlfn._xlws.FILTER($A$2:$A$501,($D$2:$D$501&gt;=O$7)*($D$2:$D$501&lt;N$7)*($E$2:$E$501&gt;=$H10)*($E$2:$E$501&lt;$H9)," ")))</f>
        <v xml:space="preserve"> </v>
      </c>
      <c r="O9" t="str" cm="1">
        <f t="array" ref="O9">_xlfn.TEXTJOIN(",",TRUE,(_xlfn._xlws.FILTER($A$2:$A$501,($D$2:$D$501&gt;=P$7)*($D$2:$D$501&lt;O$7)*($E$2:$E$501&gt;=$H10)*($E$2:$E$501&lt;$H9)," ")))</f>
        <v xml:space="preserve"> </v>
      </c>
      <c r="P9" t="str" cm="1">
        <f t="array" ref="P9">_xlfn.TEXTJOIN(",",TRUE,(_xlfn._xlws.FILTER($A$2:$A$501,($D$2:$D$501&gt;=Q$7)*($D$2:$D$501&lt;P$7)*($E$2:$E$501&gt;=$H10)*($E$2:$E$501&lt;$H9)," ")))</f>
        <v xml:space="preserve"> </v>
      </c>
      <c r="Q9" t="str" cm="1">
        <f t="array" ref="Q9">_xlfn.TEXTJOIN(",",TRUE,(_xlfn._xlws.FILTER($A$2:$A$501,($D$2:$D$501&gt;=R$7)*($D$2:$D$501&lt;Q$7)*($E$2:$E$501&gt;=$H10)*($E$2:$E$501&lt;$H9)," ")))</f>
        <v xml:space="preserve"> </v>
      </c>
      <c r="R9" t="str" cm="1">
        <f t="array" ref="R9">_xlfn.TEXTJOIN(",",TRUE,(_xlfn._xlws.FILTER($A$2:$A$501,($D$2:$D$501&gt;=S$7)*($D$2:$D$501&lt;R$7)*($E$2:$E$501&gt;=$H10)*($E$2:$E$501&lt;$H9)," ")))</f>
        <v xml:space="preserve"> </v>
      </c>
      <c r="S9" t="str" cm="1">
        <f t="array" ref="S9">_xlfn.TEXTJOIN(",",TRUE,(_xlfn._xlws.FILTER($A$2:$A$501,($D$2:$D$501&gt;=T$7)*($D$2:$D$501&lt;S$7)*($E$2:$E$501&gt;=$H10)*($E$2:$E$501&lt;$H9)," ")))</f>
        <v xml:space="preserve"> </v>
      </c>
      <c r="T9" t="str" cm="1">
        <f t="array" ref="T9">_xlfn.TEXTJOIN(",",TRUE,(_xlfn._xlws.FILTER($A$2:$A$501,($D$2:$D$501&gt;=U$7)*($D$2:$D$501&lt;T$7)*($E$2:$E$501&gt;=$H10)*($E$2:$E$501&lt;$H9)," ")))</f>
        <v xml:space="preserve"> </v>
      </c>
      <c r="U9" t="str" cm="1">
        <f t="array" ref="U9">_xlfn.TEXTJOIN(",",TRUE,(_xlfn._xlws.FILTER($A$2:$A$501,($D$2:$D$501&gt;=V$7)*($D$2:$D$501&lt;U$7)*($E$2:$E$501&gt;=$H10)*($E$2:$E$501&lt;$H9)," ")))</f>
        <v xml:space="preserve"> </v>
      </c>
      <c r="V9" t="str" cm="1">
        <f t="array" ref="V9">_xlfn.TEXTJOIN(",",TRUE,(_xlfn._xlws.FILTER($A$2:$A$501,($D$2:$D$501&gt;=W$7)*($D$2:$D$501&lt;V$7)*($E$2:$E$501&gt;=$H10)*($E$2:$E$501&lt;$H9)," ")))</f>
        <v xml:space="preserve"> </v>
      </c>
      <c r="W9" t="str" cm="1">
        <f t="array" ref="W9">_xlfn.TEXTJOIN(",",TRUE,(_xlfn._xlws.FILTER($A$2:$A$501,($D$2:$D$501&gt;=X$7)*($D$2:$D$501&lt;W$7)*($E$2:$E$501&gt;=$H10)*($E$2:$E$501&lt;$H9)," ")))</f>
        <v xml:space="preserve"> </v>
      </c>
      <c r="X9" t="str" cm="1">
        <f t="array" ref="X9">_xlfn.TEXTJOIN(",",TRUE,(_xlfn._xlws.FILTER($A$2:$A$501,($D$2:$D$501&gt;=Y$7)*($D$2:$D$501&lt;X$7)*($E$2:$E$501&gt;=$H10)*($E$2:$E$501&lt;$H9)," ")))</f>
        <v xml:space="preserve"> </v>
      </c>
      <c r="Y9" t="str" cm="1">
        <f t="array" ref="Y9">_xlfn.TEXTJOIN(",",TRUE,(_xlfn._xlws.FILTER($A$2:$A$501,($D$2:$D$501&gt;=Z$7)*($D$2:$D$501&lt;Y$7)*($E$2:$E$501&gt;=$H10)*($E$2:$E$501&lt;$H9)," ")))</f>
        <v xml:space="preserve"> </v>
      </c>
      <c r="Z9" t="str" cm="1">
        <f t="array" ref="Z9">_xlfn.TEXTJOIN(",",TRUE,(_xlfn._xlws.FILTER($A$2:$A$501,($D$2:$D$501&gt;=AA$7)*($D$2:$D$501&lt;Z$7)*($E$2:$E$501&gt;=$H10)*($E$2:$E$501&lt;$H9)," ")))</f>
        <v xml:space="preserve"> </v>
      </c>
      <c r="AA9" t="str" cm="1">
        <f t="array" ref="AA9">_xlfn.TEXTJOIN(",",TRUE,(_xlfn._xlws.FILTER($A$2:$A$501,($D$2:$D$501&gt;=AB$7)*($D$2:$D$501&lt;AA$7)*($E$2:$E$501&gt;=$H10)*($E$2:$E$501&lt;$H9)," ")))</f>
        <v xml:space="preserve"> </v>
      </c>
      <c r="AB9" t="str" cm="1">
        <f t="array" ref="AB9">_xlfn.TEXTJOIN(",",TRUE,(_xlfn._xlws.FILTER($A$2:$A$501,($D$2:$D$501&gt;=AC$7)*($D$2:$D$501&lt;AB$7)*($E$2:$E$501&gt;=$H10)*($E$2:$E$501&lt;$H9)," ")))</f>
        <v xml:space="preserve"> </v>
      </c>
      <c r="AC9" t="str" cm="1">
        <f t="array" ref="AC9">_xlfn.TEXTJOIN(",",TRUE,(_xlfn._xlws.FILTER($A$2:$A$501,($D$2:$D$501&gt;=AD$7)*($D$2:$D$501&lt;AC$7)*($E$2:$E$501&gt;=$H10)*($E$2:$E$501&lt;$H9)," ")))</f>
        <v xml:space="preserve"> </v>
      </c>
      <c r="AD9" t="str" cm="1">
        <f t="array" ref="AD9">_xlfn.TEXTJOIN(",",TRUE,(_xlfn._xlws.FILTER($A$2:$A$501,($D$2:$D$501&gt;=AE$7)*($D$2:$D$501&lt;AD$7)*($E$2:$E$501&gt;=$H10)*($E$2:$E$501&lt;$H9)," ")))</f>
        <v xml:space="preserve"> </v>
      </c>
      <c r="AE9" t="str" cm="1">
        <f t="array" ref="AE9">_xlfn.TEXTJOIN(",",TRUE,(_xlfn._xlws.FILTER($A$2:$A$501,($D$2:$D$501&gt;=AF$7)*($D$2:$D$501&lt;AE$7)*($E$2:$E$501&gt;=$H10)*($E$2:$E$501&lt;$H9)," ")))</f>
        <v xml:space="preserve"> </v>
      </c>
      <c r="AF9" t="str" cm="1">
        <f t="array" ref="AF9">_xlfn.TEXTJOIN(",",TRUE,(_xlfn._xlws.FILTER($A$2:$A$501,($D$2:$D$501&gt;=AG$7)*($D$2:$D$501&lt;AF$7)*($E$2:$E$501&gt;=$H10)*($E$2:$E$501&lt;$H9)," ")))</f>
        <v xml:space="preserve"> </v>
      </c>
      <c r="AG9" t="str" cm="1">
        <f t="array" ref="AG9">_xlfn.TEXTJOIN(",",TRUE,(_xlfn._xlws.FILTER($A$2:$A$501,($D$2:$D$501&gt;=AH$7)*($D$2:$D$501&lt;AG$7)*($E$2:$E$501&gt;=$H10)*($E$2:$E$501&lt;$H9)," ")))</f>
        <v xml:space="preserve"> </v>
      </c>
      <c r="AH9" t="str" cm="1">
        <f t="array" ref="AH9">_xlfn.TEXTJOIN(",",TRUE,(_xlfn._xlws.FILTER($A$2:$A$501,($D$2:$D$501&gt;=AI$7)*($D$2:$D$501&lt;AH$7)*($E$2:$E$501&gt;=$H10)*($E$2:$E$501&lt;$H9)," ")))</f>
        <v xml:space="preserve"> </v>
      </c>
      <c r="AI9" t="str" cm="1">
        <f t="array" ref="AI9">_xlfn.TEXTJOIN(",",TRUE,(_xlfn._xlws.FILTER($A$2:$A$501,($D$2:$D$501&gt;=AJ$7)*($D$2:$D$501&lt;AI$7)*($E$2:$E$501&gt;=$H10)*($E$2:$E$501&lt;$H9)," ")))</f>
        <v xml:space="preserve"> </v>
      </c>
      <c r="AJ9" t="str" cm="1">
        <f t="array" ref="AJ9">_xlfn.TEXTJOIN(",",TRUE,(_xlfn._xlws.FILTER($A$2:$A$501,($D$2:$D$501&gt;=AK$7)*($D$2:$D$501&lt;AJ$7)*($E$2:$E$501&gt;=$H10)*($E$2:$E$501&lt;$H9)," ")))</f>
        <v xml:space="preserve"> </v>
      </c>
      <c r="AK9" t="str" cm="1">
        <f t="array" ref="AK9">_xlfn.TEXTJOIN(",",TRUE,(_xlfn._xlws.FILTER($A$2:$A$501,($D$2:$D$501&gt;=AL$7)*($D$2:$D$501&lt;AK$7)*($E$2:$E$501&gt;=$H10)*($E$2:$E$501&lt;$H9)," ")))</f>
        <v xml:space="preserve"> </v>
      </c>
      <c r="AL9" t="str" cm="1">
        <f t="array" ref="AL9">_xlfn.TEXTJOIN(",",TRUE,(_xlfn._xlws.FILTER($A$2:$A$501,($D$2:$D$501&gt;=AM$7)*($D$2:$D$501&lt;AL$7)*($E$2:$E$501&gt;=$H10)*($E$2:$E$501&lt;$H9)," ")))</f>
        <v xml:space="preserve"> </v>
      </c>
      <c r="AM9" t="str" cm="1">
        <f t="array" ref="AM9">_xlfn.TEXTJOIN(",",TRUE,(_xlfn._xlws.FILTER($A$2:$A$501,($D$2:$D$501&gt;=AN$7)*($D$2:$D$501&lt;AM$7)*($E$2:$E$501&gt;=$H10)*($E$2:$E$501&lt;$H9)," ")))</f>
        <v xml:space="preserve"> </v>
      </c>
      <c r="AN9" t="str" cm="1">
        <f t="array" ref="AN9">_xlfn.TEXTJOIN(",",TRUE,(_xlfn._xlws.FILTER($A$2:$A$501,($D$2:$D$501&gt;=AO$7)*($D$2:$D$501&lt;AN$7)*($E$2:$E$501&gt;=$H10)*($E$2:$E$501&lt;$H9)," ")))</f>
        <v xml:space="preserve"> </v>
      </c>
      <c r="AO9" t="str" cm="1">
        <f t="array" ref="AO9">_xlfn.TEXTJOIN(",",TRUE,(_xlfn._xlws.FILTER($A$2:$A$501,($D$2:$D$501&gt;=AP$7)*($D$2:$D$501&lt;AO$7)*($E$2:$E$501&gt;=$H10)*($E$2:$E$501&lt;$H9)," ")))</f>
        <v xml:space="preserve"> </v>
      </c>
      <c r="AP9" t="str" cm="1">
        <f t="array" ref="AP9">_xlfn.TEXTJOIN(",",TRUE,(_xlfn._xlws.FILTER($A$2:$A$501,($D$2:$D$501&gt;=AQ$7)*($D$2:$D$501&lt;AP$7)*($E$2:$E$501&gt;=$H10)*($E$2:$E$501&lt;$H9)," ")))</f>
        <v xml:space="preserve"> </v>
      </c>
      <c r="AQ9" t="str" cm="1">
        <f t="array" ref="AQ9">_xlfn.TEXTJOIN(",",TRUE,(_xlfn._xlws.FILTER($A$2:$A$501,($D$2:$D$501&gt;=AR$7)*($D$2:$D$501&lt;AQ$7)*($E$2:$E$501&gt;=$H10)*($E$2:$E$501&lt;$H9)," ")))</f>
        <v xml:space="preserve"> </v>
      </c>
      <c r="AR9" t="str" cm="1">
        <f t="array" ref="AR9">_xlfn.TEXTJOIN(",",TRUE,(_xlfn._xlws.FILTER($A$2:$A$501,($D$2:$D$501&gt;=AS$7)*($D$2:$D$501&lt;AR$7)*($E$2:$E$501&gt;=$H10)*($E$2:$E$501&lt;$H9)," ")))</f>
        <v xml:space="preserve"> </v>
      </c>
      <c r="AS9" t="str" cm="1">
        <f t="array" ref="AS9">_xlfn.TEXTJOIN(",",TRUE,(_xlfn._xlws.FILTER($A$2:$A$501,($D$2:$D$501&gt;=AT$7)*($D$2:$D$501&lt;AS$7)*($E$2:$E$501&gt;=$H10)*($E$2:$E$501&lt;$H9)," ")))</f>
        <v xml:space="preserve"> </v>
      </c>
      <c r="AT9" t="str" cm="1">
        <f t="array" ref="AT9">_xlfn.TEXTJOIN(",",TRUE,(_xlfn._xlws.FILTER($A$2:$A$501,($D$2:$D$501&gt;=AU$7)*($D$2:$D$501&lt;AT$7)*($E$2:$E$501&gt;=$H10)*($E$2:$E$501&lt;$H9)," ")))</f>
        <v xml:space="preserve"> </v>
      </c>
      <c r="AU9" t="str" cm="1">
        <f t="array" ref="AU9">_xlfn.TEXTJOIN(",",TRUE,(_xlfn._xlws.FILTER($A$2:$A$501,($D$2:$D$501&gt;=AV$7)*($D$2:$D$501&lt;AU$7)*($E$2:$E$501&gt;=$H10)*($E$2:$E$501&lt;$H9)," ")))</f>
        <v xml:space="preserve"> </v>
      </c>
      <c r="AV9" t="str" cm="1">
        <f t="array" ref="AV9">_xlfn.TEXTJOIN(",",TRUE,(_xlfn._xlws.FILTER($A$2:$A$501,($D$2:$D$501&gt;=AW$7)*($D$2:$D$501&lt;AV$7)*($E$2:$E$501&gt;=$H10)*($E$2:$E$501&lt;$H9)," ")))</f>
        <v xml:space="preserve"> </v>
      </c>
      <c r="AW9" t="str" cm="1">
        <f t="array" ref="AW9">_xlfn.TEXTJOIN(",",TRUE,(_xlfn._xlws.FILTER($A$2:$A$501,($D$2:$D$501&gt;=AX$7)*($D$2:$D$501&lt;AW$7)*($E$2:$E$501&gt;=$H10)*($E$2:$E$501&lt;$H9)," ")))</f>
        <v xml:space="preserve"> </v>
      </c>
      <c r="AX9" t="str" cm="1">
        <f t="array" ref="AX9">_xlfn.TEXTJOIN(",",TRUE,(_xlfn._xlws.FILTER($A$2:$A$501,($D$2:$D$501&gt;=AY$7)*($D$2:$D$501&lt;AX$7)*($E$2:$E$501&gt;=$H10)*($E$2:$E$501&lt;$H9)," ")))</f>
        <v xml:space="preserve"> </v>
      </c>
      <c r="AY9" t="str" cm="1">
        <f t="array" ref="AY9">_xlfn.TEXTJOIN(",",TRUE,(_xlfn._xlws.FILTER($A$2:$A$501,($D$2:$D$501&gt;=AZ$7)*($D$2:$D$501&lt;AY$7)*($E$2:$E$501&gt;=$H10)*($E$2:$E$501&lt;$H9)," ")))</f>
        <v xml:space="preserve"> </v>
      </c>
      <c r="AZ9" t="str" cm="1">
        <f t="array" ref="AZ9">_xlfn.TEXTJOIN(",",TRUE,(_xlfn._xlws.FILTER($A$2:$A$501,($D$2:$D$501&gt;=BA$7)*($D$2:$D$501&lt;AZ$7)*($E$2:$E$501&gt;=$H10)*($E$2:$E$501&lt;$H9)," ")))</f>
        <v xml:space="preserve"> </v>
      </c>
      <c r="BA9" t="str" cm="1">
        <f t="array" ref="BA9">_xlfn.TEXTJOIN(",",TRUE,(_xlfn._xlws.FILTER($A$2:$A$501,($D$2:$D$501&gt;=BB$7)*($D$2:$D$501&lt;BA$7)*($E$2:$E$501&gt;=$H10)*($E$2:$E$501&lt;$H9)," ")))</f>
        <v xml:space="preserve"> </v>
      </c>
      <c r="BB9" t="str" cm="1">
        <f t="array" ref="BB9">_xlfn.TEXTJOIN(",",TRUE,(_xlfn._xlws.FILTER($A$2:$A$501,($D$2:$D$501&gt;=BC$7)*($D$2:$D$501&lt;BB$7)*($E$2:$E$501&gt;=$H10)*($E$2:$E$501&lt;$H9)," ")))</f>
        <v xml:space="preserve"> </v>
      </c>
    </row>
    <row r="10" spans="1:54" x14ac:dyDescent="0.2">
      <c r="A10" s="3" t="s">
        <v>156</v>
      </c>
      <c r="B10" s="3" t="s">
        <v>153</v>
      </c>
      <c r="C10" s="13">
        <v>2491729.5699999998</v>
      </c>
      <c r="D10" s="15">
        <v>32643596.890000001</v>
      </c>
      <c r="E10" s="22">
        <f>TuitionRates3[[#This Row],[Tuition]]/D10</f>
        <v>7.6331342357781454E-2</v>
      </c>
      <c r="F10"/>
      <c r="H10" s="18">
        <v>0.14799999999999999</v>
      </c>
      <c r="I10" t="str" cm="1">
        <f t="array" ref="I10">_xlfn.TEXTJOIN(",",TRUE,(_xlfn._xlws.FILTER($A$2:$A$501,($D$2:$D$501&gt;=J$7)*($D$2:$D$501&lt;I$7)*($E$2:$E$501&gt;=$H11)*($E$2:$E$501&lt;$H10)," ")))</f>
        <v xml:space="preserve"> </v>
      </c>
      <c r="J10" t="str" cm="1">
        <f t="array" ref="J10">_xlfn.TEXTJOIN(",",TRUE,(_xlfn._xlws.FILTER($A$2:$A$501,($D$2:$D$501&gt;=K$7)*($D$2:$D$501&lt;J$7)*($E$2:$E$501&gt;=$H11)*($E$2:$E$501&lt;$H10)," ")))</f>
        <v xml:space="preserve"> </v>
      </c>
      <c r="K10" t="str" cm="1">
        <f t="array" ref="K10">_xlfn.TEXTJOIN(",",TRUE,(_xlfn._xlws.FILTER($A$2:$A$501,($D$2:$D$501&gt;=L$7)*($D$2:$D$501&lt;K$7)*($E$2:$E$501&gt;=$H11)*($E$2:$E$501&lt;$H10)," ")))</f>
        <v xml:space="preserve"> </v>
      </c>
      <c r="L10" t="str" cm="1">
        <f t="array" ref="L10">_xlfn.TEXTJOIN(",",TRUE,(_xlfn._xlws.FILTER($A$2:$A$501,($D$2:$D$501&gt;=M$7)*($D$2:$D$501&lt;L$7)*($E$2:$E$501&gt;=$H11)*($E$2:$E$501&lt;$H10)," ")))</f>
        <v xml:space="preserve"> </v>
      </c>
      <c r="M10" t="str" cm="1">
        <f t="array" ref="M10">_xlfn.TEXTJOIN(",",TRUE,(_xlfn._xlws.FILTER($A$2:$A$501,($D$2:$D$501&gt;=N$7)*($D$2:$D$501&lt;M$7)*($E$2:$E$501&gt;=$H11)*($E$2:$E$501&lt;$H10)," ")))</f>
        <v xml:space="preserve"> </v>
      </c>
      <c r="N10" t="str" cm="1">
        <f t="array" ref="N10">_xlfn.TEXTJOIN(",",TRUE,(_xlfn._xlws.FILTER($A$2:$A$501,($D$2:$D$501&gt;=O$7)*($D$2:$D$501&lt;N$7)*($E$2:$E$501&gt;=$H11)*($E$2:$E$501&lt;$H10)," ")))</f>
        <v xml:space="preserve"> </v>
      </c>
      <c r="O10" t="str" cm="1">
        <f t="array" ref="O10">_xlfn.TEXTJOIN(",",TRUE,(_xlfn._xlws.FILTER($A$2:$A$501,($D$2:$D$501&gt;=P$7)*($D$2:$D$501&lt;O$7)*($E$2:$E$501&gt;=$H11)*($E$2:$E$501&lt;$H10)," ")))</f>
        <v xml:space="preserve"> </v>
      </c>
      <c r="P10" t="str" cm="1">
        <f t="array" ref="P10">_xlfn.TEXTJOIN(",",TRUE,(_xlfn._xlws.FILTER($A$2:$A$501,($D$2:$D$501&gt;=Q$7)*($D$2:$D$501&lt;P$7)*($E$2:$E$501&gt;=$H11)*($E$2:$E$501&lt;$H10)," ")))</f>
        <v xml:space="preserve"> </v>
      </c>
      <c r="Q10" t="str" cm="1">
        <f t="array" ref="Q10">_xlfn.TEXTJOIN(",",TRUE,(_xlfn._xlws.FILTER($A$2:$A$501,($D$2:$D$501&gt;=R$7)*($D$2:$D$501&lt;Q$7)*($E$2:$E$501&gt;=$H11)*($E$2:$E$501&lt;$H10)," ")))</f>
        <v xml:space="preserve"> </v>
      </c>
      <c r="R10" t="str" cm="1">
        <f t="array" ref="R10">_xlfn.TEXTJOIN(",",TRUE,(_xlfn._xlws.FILTER($A$2:$A$501,($D$2:$D$501&gt;=S$7)*($D$2:$D$501&lt;R$7)*($E$2:$E$501&gt;=$H11)*($E$2:$E$501&lt;$H10)," ")))</f>
        <v xml:space="preserve"> </v>
      </c>
      <c r="S10" t="str" cm="1">
        <f t="array" ref="S10">_xlfn.TEXTJOIN(",",TRUE,(_xlfn._xlws.FILTER($A$2:$A$501,($D$2:$D$501&gt;=T$7)*($D$2:$D$501&lt;S$7)*($E$2:$E$501&gt;=$H11)*($E$2:$E$501&lt;$H10)," ")))</f>
        <v xml:space="preserve"> </v>
      </c>
      <c r="T10" t="str" cm="1">
        <f t="array" ref="T10">_xlfn.TEXTJOIN(",",TRUE,(_xlfn._xlws.FILTER($A$2:$A$501,($D$2:$D$501&gt;=U$7)*($D$2:$D$501&lt;T$7)*($E$2:$E$501&gt;=$H11)*($E$2:$E$501&lt;$H10)," ")))</f>
        <v xml:space="preserve"> </v>
      </c>
      <c r="U10" t="str" cm="1">
        <f t="array" ref="U10">_xlfn.TEXTJOIN(",",TRUE,(_xlfn._xlws.FILTER($A$2:$A$501,($D$2:$D$501&gt;=V$7)*($D$2:$D$501&lt;U$7)*($E$2:$E$501&gt;=$H11)*($E$2:$E$501&lt;$H10)," ")))</f>
        <v xml:space="preserve"> </v>
      </c>
      <c r="V10" t="str" cm="1">
        <f t="array" ref="V10">_xlfn.TEXTJOIN(",",TRUE,(_xlfn._xlws.FILTER($A$2:$A$501,($D$2:$D$501&gt;=W$7)*($D$2:$D$501&lt;V$7)*($E$2:$E$501&gt;=$H11)*($E$2:$E$501&lt;$H10)," ")))</f>
        <v xml:space="preserve"> </v>
      </c>
      <c r="W10" t="str" cm="1">
        <f t="array" ref="W10">_xlfn.TEXTJOIN(",",TRUE,(_xlfn._xlws.FILTER($A$2:$A$501,($D$2:$D$501&gt;=X$7)*($D$2:$D$501&lt;W$7)*($E$2:$E$501&gt;=$H11)*($E$2:$E$501&lt;$H10)," ")))</f>
        <v xml:space="preserve"> </v>
      </c>
      <c r="X10" t="str" cm="1">
        <f t="array" ref="X10">_xlfn.TEXTJOIN(",",TRUE,(_xlfn._xlws.FILTER($A$2:$A$501,($D$2:$D$501&gt;=Y$7)*($D$2:$D$501&lt;X$7)*($E$2:$E$501&gt;=$H11)*($E$2:$E$501&lt;$H10)," ")))</f>
        <v xml:space="preserve"> </v>
      </c>
      <c r="Y10" t="str" cm="1">
        <f t="array" ref="Y10">_xlfn.TEXTJOIN(",",TRUE,(_xlfn._xlws.FILTER($A$2:$A$501,($D$2:$D$501&gt;=Z$7)*($D$2:$D$501&lt;Y$7)*($E$2:$E$501&gt;=$H11)*($E$2:$E$501&lt;$H10)," ")))</f>
        <v xml:space="preserve"> </v>
      </c>
      <c r="Z10" t="str" cm="1">
        <f t="array" ref="Z10">_xlfn.TEXTJOIN(",",TRUE,(_xlfn._xlws.FILTER($A$2:$A$501,($D$2:$D$501&gt;=AA$7)*($D$2:$D$501&lt;Z$7)*($E$2:$E$501&gt;=$H11)*($E$2:$E$501&lt;$H10)," ")))</f>
        <v xml:space="preserve"> </v>
      </c>
      <c r="AA10" t="str" cm="1">
        <f t="array" ref="AA10">_xlfn.TEXTJOIN(",",TRUE,(_xlfn._xlws.FILTER($A$2:$A$501,($D$2:$D$501&gt;=AB$7)*($D$2:$D$501&lt;AA$7)*($E$2:$E$501&gt;=$H11)*($E$2:$E$501&lt;$H10)," ")))</f>
        <v xml:space="preserve"> </v>
      </c>
      <c r="AB10" t="str" cm="1">
        <f t="array" ref="AB10">_xlfn.TEXTJOIN(",",TRUE,(_xlfn._xlws.FILTER($A$2:$A$501,($D$2:$D$501&gt;=AC$7)*($D$2:$D$501&lt;AB$7)*($E$2:$E$501&gt;=$H11)*($E$2:$E$501&lt;$H10)," ")))</f>
        <v xml:space="preserve"> </v>
      </c>
      <c r="AC10" t="str" cm="1">
        <f t="array" ref="AC10">_xlfn.TEXTJOIN(",",TRUE,(_xlfn._xlws.FILTER($A$2:$A$501,($D$2:$D$501&gt;=AD$7)*($D$2:$D$501&lt;AC$7)*($E$2:$E$501&gt;=$H11)*($E$2:$E$501&lt;$H10)," ")))</f>
        <v>Aliquippa SD</v>
      </c>
      <c r="AD10" t="str" cm="1">
        <f t="array" ref="AD10">_xlfn.TEXTJOIN(",",TRUE,(_xlfn._xlws.FILTER($A$2:$A$501,($D$2:$D$501&gt;=AE$7)*($D$2:$D$501&lt;AD$7)*($E$2:$E$501&gt;=$H11)*($E$2:$E$501&lt;$H10)," ")))</f>
        <v xml:space="preserve"> </v>
      </c>
      <c r="AE10" t="str" cm="1">
        <f t="array" ref="AE10">_xlfn.TEXTJOIN(",",TRUE,(_xlfn._xlws.FILTER($A$2:$A$501,($D$2:$D$501&gt;=AF$7)*($D$2:$D$501&lt;AE$7)*($E$2:$E$501&gt;=$H11)*($E$2:$E$501&lt;$H10)," ")))</f>
        <v xml:space="preserve"> </v>
      </c>
      <c r="AF10" t="str" cm="1">
        <f t="array" ref="AF10">_xlfn.TEXTJOIN(",",TRUE,(_xlfn._xlws.FILTER($A$2:$A$501,($D$2:$D$501&gt;=AG$7)*($D$2:$D$501&lt;AF$7)*($E$2:$E$501&gt;=$H11)*($E$2:$E$501&lt;$H10)," ")))</f>
        <v xml:space="preserve"> </v>
      </c>
      <c r="AG10" t="str" cm="1">
        <f t="array" ref="AG10">_xlfn.TEXTJOIN(",",TRUE,(_xlfn._xlws.FILTER($A$2:$A$501,($D$2:$D$501&gt;=AH$7)*($D$2:$D$501&lt;AG$7)*($E$2:$E$501&gt;=$H11)*($E$2:$E$501&lt;$H10)," ")))</f>
        <v xml:space="preserve"> </v>
      </c>
      <c r="AH10" t="str" cm="1">
        <f t="array" ref="AH10">_xlfn.TEXTJOIN(",",TRUE,(_xlfn._xlws.FILTER($A$2:$A$501,($D$2:$D$501&gt;=AI$7)*($D$2:$D$501&lt;AH$7)*($E$2:$E$501&gt;=$H11)*($E$2:$E$501&lt;$H10)," ")))</f>
        <v xml:space="preserve"> </v>
      </c>
      <c r="AI10" t="str" cm="1">
        <f t="array" ref="AI10">_xlfn.TEXTJOIN(",",TRUE,(_xlfn._xlws.FILTER($A$2:$A$501,($D$2:$D$501&gt;=AJ$7)*($D$2:$D$501&lt;AI$7)*($E$2:$E$501&gt;=$H11)*($E$2:$E$501&lt;$H10)," ")))</f>
        <v xml:space="preserve"> </v>
      </c>
      <c r="AJ10" t="str" cm="1">
        <f t="array" ref="AJ10">_xlfn.TEXTJOIN(",",TRUE,(_xlfn._xlws.FILTER($A$2:$A$501,($D$2:$D$501&gt;=AK$7)*($D$2:$D$501&lt;AJ$7)*($E$2:$E$501&gt;=$H11)*($E$2:$E$501&lt;$H10)," ")))</f>
        <v xml:space="preserve"> </v>
      </c>
      <c r="AK10" t="str" cm="1">
        <f t="array" ref="AK10">_xlfn.TEXTJOIN(",",TRUE,(_xlfn._xlws.FILTER($A$2:$A$501,($D$2:$D$501&gt;=AL$7)*($D$2:$D$501&lt;AK$7)*($E$2:$E$501&gt;=$H11)*($E$2:$E$501&lt;$H10)," ")))</f>
        <v xml:space="preserve"> </v>
      </c>
      <c r="AL10" t="str" cm="1">
        <f t="array" ref="AL10">_xlfn.TEXTJOIN(",",TRUE,(_xlfn._xlws.FILTER($A$2:$A$501,($D$2:$D$501&gt;=AM$7)*($D$2:$D$501&lt;AL$7)*($E$2:$E$501&gt;=$H11)*($E$2:$E$501&lt;$H10)," ")))</f>
        <v xml:space="preserve"> </v>
      </c>
      <c r="AM10" t="str" cm="1">
        <f t="array" ref="AM10">_xlfn.TEXTJOIN(",",TRUE,(_xlfn._xlws.FILTER($A$2:$A$501,($D$2:$D$501&gt;=AN$7)*($D$2:$D$501&lt;AM$7)*($E$2:$E$501&gt;=$H11)*($E$2:$E$501&lt;$H10)," ")))</f>
        <v xml:space="preserve"> </v>
      </c>
      <c r="AN10" t="str" cm="1">
        <f t="array" ref="AN10">_xlfn.TEXTJOIN(",",TRUE,(_xlfn._xlws.FILTER($A$2:$A$501,($D$2:$D$501&gt;=AO$7)*($D$2:$D$501&lt;AN$7)*($E$2:$E$501&gt;=$H11)*($E$2:$E$501&lt;$H10)," ")))</f>
        <v xml:space="preserve"> </v>
      </c>
      <c r="AO10" t="str" cm="1">
        <f t="array" ref="AO10">_xlfn.TEXTJOIN(",",TRUE,(_xlfn._xlws.FILTER($A$2:$A$501,($D$2:$D$501&gt;=AP$7)*($D$2:$D$501&lt;AO$7)*($E$2:$E$501&gt;=$H11)*($E$2:$E$501&lt;$H10)," ")))</f>
        <v xml:space="preserve"> </v>
      </c>
      <c r="AP10" t="str" cm="1">
        <f t="array" ref="AP10">_xlfn.TEXTJOIN(",",TRUE,(_xlfn._xlws.FILTER($A$2:$A$501,($D$2:$D$501&gt;=AQ$7)*($D$2:$D$501&lt;AP$7)*($E$2:$E$501&gt;=$H11)*($E$2:$E$501&lt;$H10)," ")))</f>
        <v xml:space="preserve"> </v>
      </c>
      <c r="AQ10" t="str" cm="1">
        <f t="array" ref="AQ10">_xlfn.TEXTJOIN(",",TRUE,(_xlfn._xlws.FILTER($A$2:$A$501,($D$2:$D$501&gt;=AR$7)*($D$2:$D$501&lt;AQ$7)*($E$2:$E$501&gt;=$H11)*($E$2:$E$501&lt;$H10)," ")))</f>
        <v xml:space="preserve"> </v>
      </c>
      <c r="AR10" t="str" cm="1">
        <f t="array" ref="AR10">_xlfn.TEXTJOIN(",",TRUE,(_xlfn._xlws.FILTER($A$2:$A$501,($D$2:$D$501&gt;=AS$7)*($D$2:$D$501&lt;AR$7)*($E$2:$E$501&gt;=$H11)*($E$2:$E$501&lt;$H10)," ")))</f>
        <v xml:space="preserve"> </v>
      </c>
      <c r="AS10" t="str" cm="1">
        <f t="array" ref="AS10">_xlfn.TEXTJOIN(",",TRUE,(_xlfn._xlws.FILTER($A$2:$A$501,($D$2:$D$501&gt;=AT$7)*($D$2:$D$501&lt;AS$7)*($E$2:$E$501&gt;=$H11)*($E$2:$E$501&lt;$H10)," ")))</f>
        <v xml:space="preserve"> </v>
      </c>
      <c r="AT10" t="str" cm="1">
        <f t="array" ref="AT10">_xlfn.TEXTJOIN(",",TRUE,(_xlfn._xlws.FILTER($A$2:$A$501,($D$2:$D$501&gt;=AU$7)*($D$2:$D$501&lt;AT$7)*($E$2:$E$501&gt;=$H11)*($E$2:$E$501&lt;$H10)," ")))</f>
        <v xml:space="preserve"> </v>
      </c>
      <c r="AU10" t="str" cm="1">
        <f t="array" ref="AU10">_xlfn.TEXTJOIN(",",TRUE,(_xlfn._xlws.FILTER($A$2:$A$501,($D$2:$D$501&gt;=AV$7)*($D$2:$D$501&lt;AU$7)*($E$2:$E$501&gt;=$H11)*($E$2:$E$501&lt;$H10)," ")))</f>
        <v xml:space="preserve"> </v>
      </c>
      <c r="AV10" t="str" cm="1">
        <f t="array" ref="AV10">_xlfn.TEXTJOIN(",",TRUE,(_xlfn._xlws.FILTER($A$2:$A$501,($D$2:$D$501&gt;=AW$7)*($D$2:$D$501&lt;AV$7)*($E$2:$E$501&gt;=$H11)*($E$2:$E$501&lt;$H10)," ")))</f>
        <v xml:space="preserve"> </v>
      </c>
      <c r="AW10" t="str" cm="1">
        <f t="array" ref="AW10">_xlfn.TEXTJOIN(",",TRUE,(_xlfn._xlws.FILTER($A$2:$A$501,($D$2:$D$501&gt;=AX$7)*($D$2:$D$501&lt;AW$7)*($E$2:$E$501&gt;=$H11)*($E$2:$E$501&lt;$H10)," ")))</f>
        <v xml:space="preserve"> </v>
      </c>
      <c r="AX10" t="str" cm="1">
        <f t="array" ref="AX10">_xlfn.TEXTJOIN(",",TRUE,(_xlfn._xlws.FILTER($A$2:$A$501,($D$2:$D$501&gt;=AY$7)*($D$2:$D$501&lt;AX$7)*($E$2:$E$501&gt;=$H11)*($E$2:$E$501&lt;$H10)," ")))</f>
        <v xml:space="preserve"> </v>
      </c>
      <c r="AY10" t="str" cm="1">
        <f t="array" ref="AY10">_xlfn.TEXTJOIN(",",TRUE,(_xlfn._xlws.FILTER($A$2:$A$501,($D$2:$D$501&gt;=AZ$7)*($D$2:$D$501&lt;AY$7)*($E$2:$E$501&gt;=$H11)*($E$2:$E$501&lt;$H10)," ")))</f>
        <v xml:space="preserve"> </v>
      </c>
      <c r="AZ10" t="str" cm="1">
        <f t="array" ref="AZ10">_xlfn.TEXTJOIN(",",TRUE,(_xlfn._xlws.FILTER($A$2:$A$501,($D$2:$D$501&gt;=BA$7)*($D$2:$D$501&lt;AZ$7)*($E$2:$E$501&gt;=$H11)*($E$2:$E$501&lt;$H10)," ")))</f>
        <v xml:space="preserve"> </v>
      </c>
      <c r="BA10" t="str" cm="1">
        <f t="array" ref="BA10">_xlfn.TEXTJOIN(",",TRUE,(_xlfn._xlws.FILTER($A$2:$A$501,($D$2:$D$501&gt;=BB$7)*($D$2:$D$501&lt;BA$7)*($E$2:$E$501&gt;=$H11)*($E$2:$E$501&lt;$H10)," ")))</f>
        <v xml:space="preserve"> </v>
      </c>
      <c r="BB10" t="str" cm="1">
        <f t="array" ref="BB10">_xlfn.TEXTJOIN(",",TRUE,(_xlfn._xlws.FILTER($A$2:$A$501,($D$2:$D$501&gt;=BC$7)*($D$2:$D$501&lt;BB$7)*($E$2:$E$501&gt;=$H11)*($E$2:$E$501&lt;$H10)," ")))</f>
        <v xml:space="preserve"> </v>
      </c>
    </row>
    <row r="11" spans="1:54" x14ac:dyDescent="0.2">
      <c r="A11" s="3" t="s">
        <v>306</v>
      </c>
      <c r="B11" s="3" t="s">
        <v>305</v>
      </c>
      <c r="C11" s="13">
        <v>2375242.46</v>
      </c>
      <c r="D11" s="15">
        <v>31651942.399999999</v>
      </c>
      <c r="E11" s="22">
        <f>TuitionRates3[[#This Row],[Tuition]]/D11</f>
        <v>7.504254967935238E-2</v>
      </c>
      <c r="F11"/>
      <c r="H11" s="18">
        <v>0.14699999999999999</v>
      </c>
      <c r="I11" t="str" cm="1">
        <f t="array" ref="I11">_xlfn.TEXTJOIN(",",TRUE,(_xlfn._xlws.FILTER($A$2:$A$501,($D$2:$D$501&gt;=J$7)*($D$2:$D$501&lt;I$7)*($E$2:$E$501&gt;=$H12)*($E$2:$E$501&lt;$H11)," ")))</f>
        <v xml:space="preserve"> </v>
      </c>
      <c r="J11" t="str" cm="1">
        <f t="array" ref="J11">_xlfn.TEXTJOIN(",",TRUE,(_xlfn._xlws.FILTER($A$2:$A$501,($D$2:$D$501&gt;=K$7)*($D$2:$D$501&lt;J$7)*($E$2:$E$501&gt;=$H12)*($E$2:$E$501&lt;$H11)," ")))</f>
        <v xml:space="preserve"> </v>
      </c>
      <c r="K11" t="str" cm="1">
        <f t="array" ref="K11">_xlfn.TEXTJOIN(",",TRUE,(_xlfn._xlws.FILTER($A$2:$A$501,($D$2:$D$501&gt;=L$7)*($D$2:$D$501&lt;K$7)*($E$2:$E$501&gt;=$H12)*($E$2:$E$501&lt;$H11)," ")))</f>
        <v xml:space="preserve"> </v>
      </c>
      <c r="L11" t="str" cm="1">
        <f t="array" ref="L11">_xlfn.TEXTJOIN(",",TRUE,(_xlfn._xlws.FILTER($A$2:$A$501,($D$2:$D$501&gt;=M$7)*($D$2:$D$501&lt;L$7)*($E$2:$E$501&gt;=$H12)*($E$2:$E$501&lt;$H11)," ")))</f>
        <v xml:space="preserve"> </v>
      </c>
      <c r="M11" t="str" cm="1">
        <f t="array" ref="M11">_xlfn.TEXTJOIN(",",TRUE,(_xlfn._xlws.FILTER($A$2:$A$501,($D$2:$D$501&gt;=N$7)*($D$2:$D$501&lt;M$7)*($E$2:$E$501&gt;=$H12)*($E$2:$E$501&lt;$H11)," ")))</f>
        <v xml:space="preserve"> </v>
      </c>
      <c r="N11" t="str" cm="1">
        <f t="array" ref="N11">_xlfn.TEXTJOIN(",",TRUE,(_xlfn._xlws.FILTER($A$2:$A$501,($D$2:$D$501&gt;=O$7)*($D$2:$D$501&lt;N$7)*($E$2:$E$501&gt;=$H12)*($E$2:$E$501&lt;$H11)," ")))</f>
        <v xml:space="preserve"> </v>
      </c>
      <c r="O11" t="str" cm="1">
        <f t="array" ref="O11">_xlfn.TEXTJOIN(",",TRUE,(_xlfn._xlws.FILTER($A$2:$A$501,($D$2:$D$501&gt;=P$7)*($D$2:$D$501&lt;O$7)*($E$2:$E$501&gt;=$H12)*($E$2:$E$501&lt;$H11)," ")))</f>
        <v xml:space="preserve"> </v>
      </c>
      <c r="P11" t="str" cm="1">
        <f t="array" ref="P11">_xlfn.TEXTJOIN(",",TRUE,(_xlfn._xlws.FILTER($A$2:$A$501,($D$2:$D$501&gt;=Q$7)*($D$2:$D$501&lt;P$7)*($E$2:$E$501&gt;=$H12)*($E$2:$E$501&lt;$H11)," ")))</f>
        <v xml:space="preserve"> </v>
      </c>
      <c r="Q11" t="str" cm="1">
        <f t="array" ref="Q11">_xlfn.TEXTJOIN(",",TRUE,(_xlfn._xlws.FILTER($A$2:$A$501,($D$2:$D$501&gt;=R$7)*($D$2:$D$501&lt;Q$7)*($E$2:$E$501&gt;=$H12)*($E$2:$E$501&lt;$H11)," ")))</f>
        <v xml:space="preserve"> </v>
      </c>
      <c r="R11" t="str" cm="1">
        <f t="array" ref="R11">_xlfn.TEXTJOIN(",",TRUE,(_xlfn._xlws.FILTER($A$2:$A$501,($D$2:$D$501&gt;=S$7)*($D$2:$D$501&lt;R$7)*($E$2:$E$501&gt;=$H12)*($E$2:$E$501&lt;$H11)," ")))</f>
        <v xml:space="preserve"> </v>
      </c>
      <c r="S11" t="str" cm="1">
        <f t="array" ref="S11">_xlfn.TEXTJOIN(",",TRUE,(_xlfn._xlws.FILTER($A$2:$A$501,($D$2:$D$501&gt;=T$7)*($D$2:$D$501&lt;S$7)*($E$2:$E$501&gt;=$H12)*($E$2:$E$501&lt;$H11)," ")))</f>
        <v xml:space="preserve"> </v>
      </c>
      <c r="T11" t="str" cm="1">
        <f t="array" ref="T11">_xlfn.TEXTJOIN(",",TRUE,(_xlfn._xlws.FILTER($A$2:$A$501,($D$2:$D$501&gt;=U$7)*($D$2:$D$501&lt;T$7)*($E$2:$E$501&gt;=$H12)*($E$2:$E$501&lt;$H11)," ")))</f>
        <v xml:space="preserve"> </v>
      </c>
      <c r="U11" t="str" cm="1">
        <f t="array" ref="U11">_xlfn.TEXTJOIN(",",TRUE,(_xlfn._xlws.FILTER($A$2:$A$501,($D$2:$D$501&gt;=V$7)*($D$2:$D$501&lt;U$7)*($E$2:$E$501&gt;=$H12)*($E$2:$E$501&lt;$H11)," ")))</f>
        <v xml:space="preserve"> </v>
      </c>
      <c r="V11" t="str" cm="1">
        <f t="array" ref="V11">_xlfn.TEXTJOIN(",",TRUE,(_xlfn._xlws.FILTER($A$2:$A$501,($D$2:$D$501&gt;=W$7)*($D$2:$D$501&lt;V$7)*($E$2:$E$501&gt;=$H12)*($E$2:$E$501&lt;$H11)," ")))</f>
        <v xml:space="preserve"> </v>
      </c>
      <c r="W11" t="str" cm="1">
        <f t="array" ref="W11">_xlfn.TEXTJOIN(",",TRUE,(_xlfn._xlws.FILTER($A$2:$A$501,($D$2:$D$501&gt;=X$7)*($D$2:$D$501&lt;W$7)*($E$2:$E$501&gt;=$H12)*($E$2:$E$501&lt;$H11)," ")))</f>
        <v xml:space="preserve"> </v>
      </c>
      <c r="X11" t="str" cm="1">
        <f t="array" ref="X11">_xlfn.TEXTJOIN(",",TRUE,(_xlfn._xlws.FILTER($A$2:$A$501,($D$2:$D$501&gt;=Y$7)*($D$2:$D$501&lt;X$7)*($E$2:$E$501&gt;=$H12)*($E$2:$E$501&lt;$H11)," ")))</f>
        <v xml:space="preserve"> </v>
      </c>
      <c r="Y11" t="str" cm="1">
        <f t="array" ref="Y11">_xlfn.TEXTJOIN(",",TRUE,(_xlfn._xlws.FILTER($A$2:$A$501,($D$2:$D$501&gt;=Z$7)*($D$2:$D$501&lt;Y$7)*($E$2:$E$501&gt;=$H12)*($E$2:$E$501&lt;$H11)," ")))</f>
        <v xml:space="preserve"> </v>
      </c>
      <c r="Z11" t="str" cm="1">
        <f t="array" ref="Z11">_xlfn.TEXTJOIN(",",TRUE,(_xlfn._xlws.FILTER($A$2:$A$501,($D$2:$D$501&gt;=AA$7)*($D$2:$D$501&lt;Z$7)*($E$2:$E$501&gt;=$H12)*($E$2:$E$501&lt;$H11)," ")))</f>
        <v xml:space="preserve"> </v>
      </c>
      <c r="AA11" t="str" cm="1">
        <f t="array" ref="AA11">_xlfn.TEXTJOIN(",",TRUE,(_xlfn._xlws.FILTER($A$2:$A$501,($D$2:$D$501&gt;=AB$7)*($D$2:$D$501&lt;AA$7)*($E$2:$E$501&gt;=$H12)*($E$2:$E$501&lt;$H11)," ")))</f>
        <v xml:space="preserve"> </v>
      </c>
      <c r="AB11" t="str" cm="1">
        <f t="array" ref="AB11">_xlfn.TEXTJOIN(",",TRUE,(_xlfn._xlws.FILTER($A$2:$A$501,($D$2:$D$501&gt;=AC$7)*($D$2:$D$501&lt;AB$7)*($E$2:$E$501&gt;=$H12)*($E$2:$E$501&lt;$H11)," ")))</f>
        <v xml:space="preserve"> </v>
      </c>
      <c r="AC11" t="str" cm="1">
        <f t="array" ref="AC11">_xlfn.TEXTJOIN(",",TRUE,(_xlfn._xlws.FILTER($A$2:$A$501,($D$2:$D$501&gt;=AD$7)*($D$2:$D$501&lt;AC$7)*($E$2:$E$501&gt;=$H12)*($E$2:$E$501&lt;$H11)," ")))</f>
        <v xml:space="preserve"> </v>
      </c>
      <c r="AD11" t="str" cm="1">
        <f t="array" ref="AD11">_xlfn.TEXTJOIN(",",TRUE,(_xlfn._xlws.FILTER($A$2:$A$501,($D$2:$D$501&gt;=AE$7)*($D$2:$D$501&lt;AD$7)*($E$2:$E$501&gt;=$H12)*($E$2:$E$501&lt;$H11)," ")))</f>
        <v xml:space="preserve"> </v>
      </c>
      <c r="AE11" t="str" cm="1">
        <f t="array" ref="AE11">_xlfn.TEXTJOIN(",",TRUE,(_xlfn._xlws.FILTER($A$2:$A$501,($D$2:$D$501&gt;=AF$7)*($D$2:$D$501&lt;AE$7)*($E$2:$E$501&gt;=$H12)*($E$2:$E$501&lt;$H11)," ")))</f>
        <v xml:space="preserve"> </v>
      </c>
      <c r="AF11" t="str" cm="1">
        <f t="array" ref="AF11">_xlfn.TEXTJOIN(",",TRUE,(_xlfn._xlws.FILTER($A$2:$A$501,($D$2:$D$501&gt;=AG$7)*($D$2:$D$501&lt;AF$7)*($E$2:$E$501&gt;=$H12)*($E$2:$E$501&lt;$H11)," ")))</f>
        <v xml:space="preserve"> </v>
      </c>
      <c r="AG11" t="str" cm="1">
        <f t="array" ref="AG11">_xlfn.TEXTJOIN(",",TRUE,(_xlfn._xlws.FILTER($A$2:$A$501,($D$2:$D$501&gt;=AH$7)*($D$2:$D$501&lt;AG$7)*($E$2:$E$501&gt;=$H12)*($E$2:$E$501&lt;$H11)," ")))</f>
        <v xml:space="preserve"> </v>
      </c>
      <c r="AH11" t="str" cm="1">
        <f t="array" ref="AH11">_xlfn.TEXTJOIN(",",TRUE,(_xlfn._xlws.FILTER($A$2:$A$501,($D$2:$D$501&gt;=AI$7)*($D$2:$D$501&lt;AH$7)*($E$2:$E$501&gt;=$H12)*($E$2:$E$501&lt;$H11)," ")))</f>
        <v xml:space="preserve"> </v>
      </c>
      <c r="AI11" t="str" cm="1">
        <f t="array" ref="AI11">_xlfn.TEXTJOIN(",",TRUE,(_xlfn._xlws.FILTER($A$2:$A$501,($D$2:$D$501&gt;=AJ$7)*($D$2:$D$501&lt;AI$7)*($E$2:$E$501&gt;=$H12)*($E$2:$E$501&lt;$H11)," ")))</f>
        <v xml:space="preserve"> </v>
      </c>
      <c r="AJ11" t="str" cm="1">
        <f t="array" ref="AJ11">_xlfn.TEXTJOIN(",",TRUE,(_xlfn._xlws.FILTER($A$2:$A$501,($D$2:$D$501&gt;=AK$7)*($D$2:$D$501&lt;AJ$7)*($E$2:$E$501&gt;=$H12)*($E$2:$E$501&lt;$H11)," ")))</f>
        <v xml:space="preserve"> </v>
      </c>
      <c r="AK11" t="str" cm="1">
        <f t="array" ref="AK11">_xlfn.TEXTJOIN(",",TRUE,(_xlfn._xlws.FILTER($A$2:$A$501,($D$2:$D$501&gt;=AL$7)*($D$2:$D$501&lt;AK$7)*($E$2:$E$501&gt;=$H12)*($E$2:$E$501&lt;$H11)," ")))</f>
        <v xml:space="preserve"> </v>
      </c>
      <c r="AL11" t="str" cm="1">
        <f t="array" ref="AL11">_xlfn.TEXTJOIN(",",TRUE,(_xlfn._xlws.FILTER($A$2:$A$501,($D$2:$D$501&gt;=AM$7)*($D$2:$D$501&lt;AL$7)*($E$2:$E$501&gt;=$H12)*($E$2:$E$501&lt;$H11)," ")))</f>
        <v xml:space="preserve"> </v>
      </c>
      <c r="AM11" t="str" cm="1">
        <f t="array" ref="AM11">_xlfn.TEXTJOIN(",",TRUE,(_xlfn._xlws.FILTER($A$2:$A$501,($D$2:$D$501&gt;=AN$7)*($D$2:$D$501&lt;AM$7)*($E$2:$E$501&gt;=$H12)*($E$2:$E$501&lt;$H11)," ")))</f>
        <v xml:space="preserve"> </v>
      </c>
      <c r="AN11" t="str" cm="1">
        <f t="array" ref="AN11">_xlfn.TEXTJOIN(",",TRUE,(_xlfn._xlws.FILTER($A$2:$A$501,($D$2:$D$501&gt;=AO$7)*($D$2:$D$501&lt;AN$7)*($E$2:$E$501&gt;=$H12)*($E$2:$E$501&lt;$H11)," ")))</f>
        <v xml:space="preserve"> </v>
      </c>
      <c r="AO11" t="str" cm="1">
        <f t="array" ref="AO11">_xlfn.TEXTJOIN(",",TRUE,(_xlfn._xlws.FILTER($A$2:$A$501,($D$2:$D$501&gt;=AP$7)*($D$2:$D$501&lt;AO$7)*($E$2:$E$501&gt;=$H12)*($E$2:$E$501&lt;$H11)," ")))</f>
        <v xml:space="preserve"> </v>
      </c>
      <c r="AP11" t="str" cm="1">
        <f t="array" ref="AP11">_xlfn.TEXTJOIN(",",TRUE,(_xlfn._xlws.FILTER($A$2:$A$501,($D$2:$D$501&gt;=AQ$7)*($D$2:$D$501&lt;AP$7)*($E$2:$E$501&gt;=$H12)*($E$2:$E$501&lt;$H11)," ")))</f>
        <v xml:space="preserve"> </v>
      </c>
      <c r="AQ11" t="str" cm="1">
        <f t="array" ref="AQ11">_xlfn.TEXTJOIN(",",TRUE,(_xlfn._xlws.FILTER($A$2:$A$501,($D$2:$D$501&gt;=AR$7)*($D$2:$D$501&lt;AQ$7)*($E$2:$E$501&gt;=$H12)*($E$2:$E$501&lt;$H11)," ")))</f>
        <v xml:space="preserve"> </v>
      </c>
      <c r="AR11" t="str" cm="1">
        <f t="array" ref="AR11">_xlfn.TEXTJOIN(",",TRUE,(_xlfn._xlws.FILTER($A$2:$A$501,($D$2:$D$501&gt;=AS$7)*($D$2:$D$501&lt;AR$7)*($E$2:$E$501&gt;=$H12)*($E$2:$E$501&lt;$H11)," ")))</f>
        <v xml:space="preserve"> </v>
      </c>
      <c r="AS11" t="str" cm="1">
        <f t="array" ref="AS11">_xlfn.TEXTJOIN(",",TRUE,(_xlfn._xlws.FILTER($A$2:$A$501,($D$2:$D$501&gt;=AT$7)*($D$2:$D$501&lt;AS$7)*($E$2:$E$501&gt;=$H12)*($E$2:$E$501&lt;$H11)," ")))</f>
        <v xml:space="preserve"> </v>
      </c>
      <c r="AT11" t="str" cm="1">
        <f t="array" ref="AT11">_xlfn.TEXTJOIN(",",TRUE,(_xlfn._xlws.FILTER($A$2:$A$501,($D$2:$D$501&gt;=AU$7)*($D$2:$D$501&lt;AT$7)*($E$2:$E$501&gt;=$H12)*($E$2:$E$501&lt;$H11)," ")))</f>
        <v xml:space="preserve"> </v>
      </c>
      <c r="AU11" t="str" cm="1">
        <f t="array" ref="AU11">_xlfn.TEXTJOIN(",",TRUE,(_xlfn._xlws.FILTER($A$2:$A$501,($D$2:$D$501&gt;=AV$7)*($D$2:$D$501&lt;AU$7)*($E$2:$E$501&gt;=$H12)*($E$2:$E$501&lt;$H11)," ")))</f>
        <v xml:space="preserve"> </v>
      </c>
      <c r="AV11" t="str" cm="1">
        <f t="array" ref="AV11">_xlfn.TEXTJOIN(",",TRUE,(_xlfn._xlws.FILTER($A$2:$A$501,($D$2:$D$501&gt;=AW$7)*($D$2:$D$501&lt;AV$7)*($E$2:$E$501&gt;=$H12)*($E$2:$E$501&lt;$H11)," ")))</f>
        <v xml:space="preserve"> </v>
      </c>
      <c r="AW11" t="str" cm="1">
        <f t="array" ref="AW11">_xlfn.TEXTJOIN(",",TRUE,(_xlfn._xlws.FILTER($A$2:$A$501,($D$2:$D$501&gt;=AX$7)*($D$2:$D$501&lt;AW$7)*($E$2:$E$501&gt;=$H12)*($E$2:$E$501&lt;$H11)," ")))</f>
        <v xml:space="preserve"> </v>
      </c>
      <c r="AX11" t="str" cm="1">
        <f t="array" ref="AX11">_xlfn.TEXTJOIN(",",TRUE,(_xlfn._xlws.FILTER($A$2:$A$501,($D$2:$D$501&gt;=AY$7)*($D$2:$D$501&lt;AX$7)*($E$2:$E$501&gt;=$H12)*($E$2:$E$501&lt;$H11)," ")))</f>
        <v xml:space="preserve"> </v>
      </c>
      <c r="AY11" t="str" cm="1">
        <f t="array" ref="AY11">_xlfn.TEXTJOIN(",",TRUE,(_xlfn._xlws.FILTER($A$2:$A$501,($D$2:$D$501&gt;=AZ$7)*($D$2:$D$501&lt;AY$7)*($E$2:$E$501&gt;=$H12)*($E$2:$E$501&lt;$H11)," ")))</f>
        <v xml:space="preserve"> </v>
      </c>
      <c r="AZ11" t="str" cm="1">
        <f t="array" ref="AZ11">_xlfn.TEXTJOIN(",",TRUE,(_xlfn._xlws.FILTER($A$2:$A$501,($D$2:$D$501&gt;=BA$7)*($D$2:$D$501&lt;AZ$7)*($E$2:$E$501&gt;=$H12)*($E$2:$E$501&lt;$H11)," ")))</f>
        <v xml:space="preserve"> </v>
      </c>
      <c r="BA11" t="str" cm="1">
        <f t="array" ref="BA11">_xlfn.TEXTJOIN(",",TRUE,(_xlfn._xlws.FILTER($A$2:$A$501,($D$2:$D$501&gt;=BB$7)*($D$2:$D$501&lt;BA$7)*($E$2:$E$501&gt;=$H12)*($E$2:$E$501&lt;$H11)," ")))</f>
        <v xml:space="preserve"> </v>
      </c>
      <c r="BB11" t="str" cm="1">
        <f t="array" ref="BB11">_xlfn.TEXTJOIN(",",TRUE,(_xlfn._xlws.FILTER($A$2:$A$501,($D$2:$D$501&gt;=BC$7)*($D$2:$D$501&lt;BB$7)*($E$2:$E$501&gt;=$H12)*($E$2:$E$501&lt;$H11)," ")))</f>
        <v xml:space="preserve"> </v>
      </c>
    </row>
    <row r="12" spans="1:54" x14ac:dyDescent="0.2">
      <c r="A12" s="3" t="s">
        <v>387</v>
      </c>
      <c r="B12" s="3" t="s">
        <v>386</v>
      </c>
      <c r="C12" s="13">
        <v>1718719.95</v>
      </c>
      <c r="D12" s="15">
        <v>23172412.300000001</v>
      </c>
      <c r="E12" s="22">
        <f>TuitionRates3[[#This Row],[Tuition]]/D12</f>
        <v>7.417095500238445E-2</v>
      </c>
      <c r="F12"/>
      <c r="H12" s="18">
        <v>0.14599999999999999</v>
      </c>
      <c r="I12" t="str" cm="1">
        <f t="array" ref="I12">_xlfn.TEXTJOIN(",",TRUE,(_xlfn._xlws.FILTER($A$2:$A$501,($D$2:$D$501&gt;=J$7)*($D$2:$D$501&lt;I$7)*($E$2:$E$501&gt;=$H13)*($E$2:$E$501&lt;$H12)," ")))</f>
        <v xml:space="preserve"> </v>
      </c>
      <c r="J12" t="str" cm="1">
        <f t="array" ref="J12">_xlfn.TEXTJOIN(",",TRUE,(_xlfn._xlws.FILTER($A$2:$A$501,($D$2:$D$501&gt;=K$7)*($D$2:$D$501&lt;J$7)*($E$2:$E$501&gt;=$H13)*($E$2:$E$501&lt;$H12)," ")))</f>
        <v xml:space="preserve"> </v>
      </c>
      <c r="K12" t="str" cm="1">
        <f t="array" ref="K12">_xlfn.TEXTJOIN(",",TRUE,(_xlfn._xlws.FILTER($A$2:$A$501,($D$2:$D$501&gt;=L$7)*($D$2:$D$501&lt;K$7)*($E$2:$E$501&gt;=$H13)*($E$2:$E$501&lt;$H12)," ")))</f>
        <v xml:space="preserve"> </v>
      </c>
      <c r="L12" t="str" cm="1">
        <f t="array" ref="L12">_xlfn.TEXTJOIN(",",TRUE,(_xlfn._xlws.FILTER($A$2:$A$501,($D$2:$D$501&gt;=M$7)*($D$2:$D$501&lt;L$7)*($E$2:$E$501&gt;=$H13)*($E$2:$E$501&lt;$H12)," ")))</f>
        <v xml:space="preserve"> </v>
      </c>
      <c r="M12" t="str" cm="1">
        <f t="array" ref="M12">_xlfn.TEXTJOIN(",",TRUE,(_xlfn._xlws.FILTER($A$2:$A$501,($D$2:$D$501&gt;=N$7)*($D$2:$D$501&lt;M$7)*($E$2:$E$501&gt;=$H13)*($E$2:$E$501&lt;$H12)," ")))</f>
        <v xml:space="preserve"> </v>
      </c>
      <c r="N12" t="str" cm="1">
        <f t="array" ref="N12">_xlfn.TEXTJOIN(",",TRUE,(_xlfn._xlws.FILTER($A$2:$A$501,($D$2:$D$501&gt;=O$7)*($D$2:$D$501&lt;N$7)*($E$2:$E$501&gt;=$H13)*($E$2:$E$501&lt;$H12)," ")))</f>
        <v xml:space="preserve"> </v>
      </c>
      <c r="O12" t="str" cm="1">
        <f t="array" ref="O12">_xlfn.TEXTJOIN(",",TRUE,(_xlfn._xlws.FILTER($A$2:$A$501,($D$2:$D$501&gt;=P$7)*($D$2:$D$501&lt;O$7)*($E$2:$E$501&gt;=$H13)*($E$2:$E$501&lt;$H12)," ")))</f>
        <v xml:space="preserve"> </v>
      </c>
      <c r="P12" t="str" cm="1">
        <f t="array" ref="P12">_xlfn.TEXTJOIN(",",TRUE,(_xlfn._xlws.FILTER($A$2:$A$501,($D$2:$D$501&gt;=Q$7)*($D$2:$D$501&lt;P$7)*($E$2:$E$501&gt;=$H13)*($E$2:$E$501&lt;$H12)," ")))</f>
        <v xml:space="preserve"> </v>
      </c>
      <c r="Q12" t="str" cm="1">
        <f t="array" ref="Q12">_xlfn.TEXTJOIN(",",TRUE,(_xlfn._xlws.FILTER($A$2:$A$501,($D$2:$D$501&gt;=R$7)*($D$2:$D$501&lt;Q$7)*($E$2:$E$501&gt;=$H13)*($E$2:$E$501&lt;$H12)," ")))</f>
        <v xml:space="preserve"> </v>
      </c>
      <c r="R12" t="str" cm="1">
        <f t="array" ref="R12">_xlfn.TEXTJOIN(",",TRUE,(_xlfn._xlws.FILTER($A$2:$A$501,($D$2:$D$501&gt;=S$7)*($D$2:$D$501&lt;R$7)*($E$2:$E$501&gt;=$H13)*($E$2:$E$501&lt;$H12)," ")))</f>
        <v xml:space="preserve"> </v>
      </c>
      <c r="S12" t="str" cm="1">
        <f t="array" ref="S12">_xlfn.TEXTJOIN(",",TRUE,(_xlfn._xlws.FILTER($A$2:$A$501,($D$2:$D$501&gt;=T$7)*($D$2:$D$501&lt;S$7)*($E$2:$E$501&gt;=$H13)*($E$2:$E$501&lt;$H12)," ")))</f>
        <v xml:space="preserve"> </v>
      </c>
      <c r="T12" t="str" cm="1">
        <f t="array" ref="T12">_xlfn.TEXTJOIN(",",TRUE,(_xlfn._xlws.FILTER($A$2:$A$501,($D$2:$D$501&gt;=U$7)*($D$2:$D$501&lt;T$7)*($E$2:$E$501&gt;=$H13)*($E$2:$E$501&lt;$H12)," ")))</f>
        <v xml:space="preserve"> </v>
      </c>
      <c r="U12" t="str" cm="1">
        <f t="array" ref="U12">_xlfn.TEXTJOIN(",",TRUE,(_xlfn._xlws.FILTER($A$2:$A$501,($D$2:$D$501&gt;=V$7)*($D$2:$D$501&lt;U$7)*($E$2:$E$501&gt;=$H13)*($E$2:$E$501&lt;$H12)," ")))</f>
        <v xml:space="preserve"> </v>
      </c>
      <c r="V12" t="str" cm="1">
        <f t="array" ref="V12">_xlfn.TEXTJOIN(",",TRUE,(_xlfn._xlws.FILTER($A$2:$A$501,($D$2:$D$501&gt;=W$7)*($D$2:$D$501&lt;V$7)*($E$2:$E$501&gt;=$H13)*($E$2:$E$501&lt;$H12)," ")))</f>
        <v xml:space="preserve"> </v>
      </c>
      <c r="W12" t="str" cm="1">
        <f t="array" ref="W12">_xlfn.TEXTJOIN(",",TRUE,(_xlfn._xlws.FILTER($A$2:$A$501,($D$2:$D$501&gt;=X$7)*($D$2:$D$501&lt;W$7)*($E$2:$E$501&gt;=$H13)*($E$2:$E$501&lt;$H12)," ")))</f>
        <v xml:space="preserve"> </v>
      </c>
      <c r="X12" t="str" cm="1">
        <f t="array" ref="X12">_xlfn.TEXTJOIN(",",TRUE,(_xlfn._xlws.FILTER($A$2:$A$501,($D$2:$D$501&gt;=Y$7)*($D$2:$D$501&lt;X$7)*($E$2:$E$501&gt;=$H13)*($E$2:$E$501&lt;$H12)," ")))</f>
        <v xml:space="preserve"> </v>
      </c>
      <c r="Y12" t="str" cm="1">
        <f t="array" ref="Y12">_xlfn.TEXTJOIN(",",TRUE,(_xlfn._xlws.FILTER($A$2:$A$501,($D$2:$D$501&gt;=Z$7)*($D$2:$D$501&lt;Y$7)*($E$2:$E$501&gt;=$H13)*($E$2:$E$501&lt;$H12)," ")))</f>
        <v xml:space="preserve"> </v>
      </c>
      <c r="Z12" t="str" cm="1">
        <f t="array" ref="Z12">_xlfn.TEXTJOIN(",",TRUE,(_xlfn._xlws.FILTER($A$2:$A$501,($D$2:$D$501&gt;=AA$7)*($D$2:$D$501&lt;Z$7)*($E$2:$E$501&gt;=$H13)*($E$2:$E$501&lt;$H12)," ")))</f>
        <v xml:space="preserve"> </v>
      </c>
      <c r="AA12" t="str" cm="1">
        <f t="array" ref="AA12">_xlfn.TEXTJOIN(",",TRUE,(_xlfn._xlws.FILTER($A$2:$A$501,($D$2:$D$501&gt;=AB$7)*($D$2:$D$501&lt;AA$7)*($E$2:$E$501&gt;=$H13)*($E$2:$E$501&lt;$H12)," ")))</f>
        <v xml:space="preserve"> </v>
      </c>
      <c r="AB12" t="str" cm="1">
        <f t="array" ref="AB12">_xlfn.TEXTJOIN(",",TRUE,(_xlfn._xlws.FILTER($A$2:$A$501,($D$2:$D$501&gt;=AC$7)*($D$2:$D$501&lt;AB$7)*($E$2:$E$501&gt;=$H13)*($E$2:$E$501&lt;$H12)," ")))</f>
        <v xml:space="preserve"> </v>
      </c>
      <c r="AC12" t="str" cm="1">
        <f t="array" ref="AC12">_xlfn.TEXTJOIN(",",TRUE,(_xlfn._xlws.FILTER($A$2:$A$501,($D$2:$D$501&gt;=AD$7)*($D$2:$D$501&lt;AC$7)*($E$2:$E$501&gt;=$H13)*($E$2:$E$501&lt;$H12)," ")))</f>
        <v xml:space="preserve"> </v>
      </c>
      <c r="AD12" t="str" cm="1">
        <f t="array" ref="AD12">_xlfn.TEXTJOIN(",",TRUE,(_xlfn._xlws.FILTER($A$2:$A$501,($D$2:$D$501&gt;=AE$7)*($D$2:$D$501&lt;AD$7)*($E$2:$E$501&gt;=$H13)*($E$2:$E$501&lt;$H12)," ")))</f>
        <v xml:space="preserve"> </v>
      </c>
      <c r="AE12" t="str" cm="1">
        <f t="array" ref="AE12">_xlfn.TEXTJOIN(",",TRUE,(_xlfn._xlws.FILTER($A$2:$A$501,($D$2:$D$501&gt;=AF$7)*($D$2:$D$501&lt;AE$7)*($E$2:$E$501&gt;=$H13)*($E$2:$E$501&lt;$H12)," ")))</f>
        <v xml:space="preserve"> </v>
      </c>
      <c r="AF12" t="str" cm="1">
        <f t="array" ref="AF12">_xlfn.TEXTJOIN(",",TRUE,(_xlfn._xlws.FILTER($A$2:$A$501,($D$2:$D$501&gt;=AG$7)*($D$2:$D$501&lt;AF$7)*($E$2:$E$501&gt;=$H13)*($E$2:$E$501&lt;$H12)," ")))</f>
        <v xml:space="preserve"> </v>
      </c>
      <c r="AG12" t="str" cm="1">
        <f t="array" ref="AG12">_xlfn.TEXTJOIN(",",TRUE,(_xlfn._xlws.FILTER($A$2:$A$501,($D$2:$D$501&gt;=AH$7)*($D$2:$D$501&lt;AG$7)*($E$2:$E$501&gt;=$H13)*($E$2:$E$501&lt;$H12)," ")))</f>
        <v xml:space="preserve"> </v>
      </c>
      <c r="AH12" t="str" cm="1">
        <f t="array" ref="AH12">_xlfn.TEXTJOIN(",",TRUE,(_xlfn._xlws.FILTER($A$2:$A$501,($D$2:$D$501&gt;=AI$7)*($D$2:$D$501&lt;AH$7)*($E$2:$E$501&gt;=$H13)*($E$2:$E$501&lt;$H12)," ")))</f>
        <v xml:space="preserve"> </v>
      </c>
      <c r="AI12" t="str" cm="1">
        <f t="array" ref="AI12">_xlfn.TEXTJOIN(",",TRUE,(_xlfn._xlws.FILTER($A$2:$A$501,($D$2:$D$501&gt;=AJ$7)*($D$2:$D$501&lt;AI$7)*($E$2:$E$501&gt;=$H13)*($E$2:$E$501&lt;$H12)," ")))</f>
        <v xml:space="preserve"> </v>
      </c>
      <c r="AJ12" t="str" cm="1">
        <f t="array" ref="AJ12">_xlfn.TEXTJOIN(",",TRUE,(_xlfn._xlws.FILTER($A$2:$A$501,($D$2:$D$501&gt;=AK$7)*($D$2:$D$501&lt;AJ$7)*($E$2:$E$501&gt;=$H13)*($E$2:$E$501&lt;$H12)," ")))</f>
        <v xml:space="preserve"> </v>
      </c>
      <c r="AK12" t="str" cm="1">
        <f t="array" ref="AK12">_xlfn.TEXTJOIN(",",TRUE,(_xlfn._xlws.FILTER($A$2:$A$501,($D$2:$D$501&gt;=AL$7)*($D$2:$D$501&lt;AK$7)*($E$2:$E$501&gt;=$H13)*($E$2:$E$501&lt;$H12)," ")))</f>
        <v xml:space="preserve"> </v>
      </c>
      <c r="AL12" t="str" cm="1">
        <f t="array" ref="AL12">_xlfn.TEXTJOIN(",",TRUE,(_xlfn._xlws.FILTER($A$2:$A$501,($D$2:$D$501&gt;=AM$7)*($D$2:$D$501&lt;AL$7)*($E$2:$E$501&gt;=$H13)*($E$2:$E$501&lt;$H12)," ")))</f>
        <v xml:space="preserve"> </v>
      </c>
      <c r="AM12" t="str" cm="1">
        <f t="array" ref="AM12">_xlfn.TEXTJOIN(",",TRUE,(_xlfn._xlws.FILTER($A$2:$A$501,($D$2:$D$501&gt;=AN$7)*($D$2:$D$501&lt;AM$7)*($E$2:$E$501&gt;=$H13)*($E$2:$E$501&lt;$H12)," ")))</f>
        <v xml:space="preserve"> </v>
      </c>
      <c r="AN12" t="str" cm="1">
        <f t="array" ref="AN12">_xlfn.TEXTJOIN(",",TRUE,(_xlfn._xlws.FILTER($A$2:$A$501,($D$2:$D$501&gt;=AO$7)*($D$2:$D$501&lt;AN$7)*($E$2:$E$501&gt;=$H13)*($E$2:$E$501&lt;$H12)," ")))</f>
        <v xml:space="preserve"> </v>
      </c>
      <c r="AO12" t="str" cm="1">
        <f t="array" ref="AO12">_xlfn.TEXTJOIN(",",TRUE,(_xlfn._xlws.FILTER($A$2:$A$501,($D$2:$D$501&gt;=AP$7)*($D$2:$D$501&lt;AO$7)*($E$2:$E$501&gt;=$H13)*($E$2:$E$501&lt;$H12)," ")))</f>
        <v xml:space="preserve"> </v>
      </c>
      <c r="AP12" t="str" cm="1">
        <f t="array" ref="AP12">_xlfn.TEXTJOIN(",",TRUE,(_xlfn._xlws.FILTER($A$2:$A$501,($D$2:$D$501&gt;=AQ$7)*($D$2:$D$501&lt;AP$7)*($E$2:$E$501&gt;=$H13)*($E$2:$E$501&lt;$H12)," ")))</f>
        <v xml:space="preserve"> </v>
      </c>
      <c r="AQ12" t="str" cm="1">
        <f t="array" ref="AQ12">_xlfn.TEXTJOIN(",",TRUE,(_xlfn._xlws.FILTER($A$2:$A$501,($D$2:$D$501&gt;=AR$7)*($D$2:$D$501&lt;AQ$7)*($E$2:$E$501&gt;=$H13)*($E$2:$E$501&lt;$H12)," ")))</f>
        <v xml:space="preserve"> </v>
      </c>
      <c r="AR12" t="str" cm="1">
        <f t="array" ref="AR12">_xlfn.TEXTJOIN(",",TRUE,(_xlfn._xlws.FILTER($A$2:$A$501,($D$2:$D$501&gt;=AS$7)*($D$2:$D$501&lt;AR$7)*($E$2:$E$501&gt;=$H13)*($E$2:$E$501&lt;$H12)," ")))</f>
        <v xml:space="preserve"> </v>
      </c>
      <c r="AS12" t="str" cm="1">
        <f t="array" ref="AS12">_xlfn.TEXTJOIN(",",TRUE,(_xlfn._xlws.FILTER($A$2:$A$501,($D$2:$D$501&gt;=AT$7)*($D$2:$D$501&lt;AS$7)*($E$2:$E$501&gt;=$H13)*($E$2:$E$501&lt;$H12)," ")))</f>
        <v xml:space="preserve"> </v>
      </c>
      <c r="AT12" t="str" cm="1">
        <f t="array" ref="AT12">_xlfn.TEXTJOIN(",",TRUE,(_xlfn._xlws.FILTER($A$2:$A$501,($D$2:$D$501&gt;=AU$7)*($D$2:$D$501&lt;AT$7)*($E$2:$E$501&gt;=$H13)*($E$2:$E$501&lt;$H12)," ")))</f>
        <v xml:space="preserve"> </v>
      </c>
      <c r="AU12" t="str" cm="1">
        <f t="array" ref="AU12">_xlfn.TEXTJOIN(",",TRUE,(_xlfn._xlws.FILTER($A$2:$A$501,($D$2:$D$501&gt;=AV$7)*($D$2:$D$501&lt;AU$7)*($E$2:$E$501&gt;=$H13)*($E$2:$E$501&lt;$H12)," ")))</f>
        <v xml:space="preserve"> </v>
      </c>
      <c r="AV12" t="str" cm="1">
        <f t="array" ref="AV12">_xlfn.TEXTJOIN(",",TRUE,(_xlfn._xlws.FILTER($A$2:$A$501,($D$2:$D$501&gt;=AW$7)*($D$2:$D$501&lt;AV$7)*($E$2:$E$501&gt;=$H13)*($E$2:$E$501&lt;$H12)," ")))</f>
        <v xml:space="preserve"> </v>
      </c>
      <c r="AW12" t="str" cm="1">
        <f t="array" ref="AW12">_xlfn.TEXTJOIN(",",TRUE,(_xlfn._xlws.FILTER($A$2:$A$501,($D$2:$D$501&gt;=AX$7)*($D$2:$D$501&lt;AW$7)*($E$2:$E$501&gt;=$H13)*($E$2:$E$501&lt;$H12)," ")))</f>
        <v xml:space="preserve"> </v>
      </c>
      <c r="AX12" t="str" cm="1">
        <f t="array" ref="AX12">_xlfn.TEXTJOIN(",",TRUE,(_xlfn._xlws.FILTER($A$2:$A$501,($D$2:$D$501&gt;=AY$7)*($D$2:$D$501&lt;AX$7)*($E$2:$E$501&gt;=$H13)*($E$2:$E$501&lt;$H12)," ")))</f>
        <v xml:space="preserve"> </v>
      </c>
      <c r="AY12" t="str" cm="1">
        <f t="array" ref="AY12">_xlfn.TEXTJOIN(",",TRUE,(_xlfn._xlws.FILTER($A$2:$A$501,($D$2:$D$501&gt;=AZ$7)*($D$2:$D$501&lt;AY$7)*($E$2:$E$501&gt;=$H13)*($E$2:$E$501&lt;$H12)," ")))</f>
        <v xml:space="preserve"> </v>
      </c>
      <c r="AZ12" t="str" cm="1">
        <f t="array" ref="AZ12">_xlfn.TEXTJOIN(",",TRUE,(_xlfn._xlws.FILTER($A$2:$A$501,($D$2:$D$501&gt;=BA$7)*($D$2:$D$501&lt;AZ$7)*($E$2:$E$501&gt;=$H13)*($E$2:$E$501&lt;$H12)," ")))</f>
        <v xml:space="preserve"> </v>
      </c>
      <c r="BA12" t="str" cm="1">
        <f t="array" ref="BA12">_xlfn.TEXTJOIN(",",TRUE,(_xlfn._xlws.FILTER($A$2:$A$501,($D$2:$D$501&gt;=BB$7)*($D$2:$D$501&lt;BA$7)*($E$2:$E$501&gt;=$H13)*($E$2:$E$501&lt;$H12)," ")))</f>
        <v xml:space="preserve"> </v>
      </c>
      <c r="BB12" t="str" cm="1">
        <f t="array" ref="BB12">_xlfn.TEXTJOIN(",",TRUE,(_xlfn._xlws.FILTER($A$2:$A$501,($D$2:$D$501&gt;=BC$7)*($D$2:$D$501&lt;BB$7)*($E$2:$E$501&gt;=$H13)*($E$2:$E$501&lt;$H12)," ")))</f>
        <v xml:space="preserve"> </v>
      </c>
    </row>
    <row r="13" spans="1:54" x14ac:dyDescent="0.2">
      <c r="A13" s="3" t="s">
        <v>271</v>
      </c>
      <c r="B13" s="3" t="s">
        <v>270</v>
      </c>
      <c r="C13" s="13">
        <v>728991.54</v>
      </c>
      <c r="D13" s="15">
        <v>9859999.9100000001</v>
      </c>
      <c r="E13" s="22">
        <f>TuitionRates3[[#This Row],[Tuition]]/D13</f>
        <v>7.3934233940576174E-2</v>
      </c>
      <c r="F13"/>
      <c r="H13" s="18">
        <v>0.14499999999999999</v>
      </c>
      <c r="I13" t="str" cm="1">
        <f t="array" ref="I13">_xlfn.TEXTJOIN(",",TRUE,(_xlfn._xlws.FILTER($A$2:$A$501,($D$2:$D$501&gt;=J$7)*($D$2:$D$501&lt;I$7)*($E$2:$E$501&gt;=$H14)*($E$2:$E$501&lt;$H13)," ")))</f>
        <v xml:space="preserve"> </v>
      </c>
      <c r="J13" t="str" cm="1">
        <f t="array" ref="J13">_xlfn.TEXTJOIN(",",TRUE,(_xlfn._xlws.FILTER($A$2:$A$501,($D$2:$D$501&gt;=K$7)*($D$2:$D$501&lt;J$7)*($E$2:$E$501&gt;=$H14)*($E$2:$E$501&lt;$H13)," ")))</f>
        <v xml:space="preserve"> </v>
      </c>
      <c r="K13" t="str" cm="1">
        <f t="array" ref="K13">_xlfn.TEXTJOIN(",",TRUE,(_xlfn._xlws.FILTER($A$2:$A$501,($D$2:$D$501&gt;=L$7)*($D$2:$D$501&lt;K$7)*($E$2:$E$501&gt;=$H14)*($E$2:$E$501&lt;$H13)," ")))</f>
        <v xml:space="preserve"> </v>
      </c>
      <c r="L13" t="str" cm="1">
        <f t="array" ref="L13">_xlfn.TEXTJOIN(",",TRUE,(_xlfn._xlws.FILTER($A$2:$A$501,($D$2:$D$501&gt;=M$7)*($D$2:$D$501&lt;L$7)*($E$2:$E$501&gt;=$H14)*($E$2:$E$501&lt;$H13)," ")))</f>
        <v xml:space="preserve"> </v>
      </c>
      <c r="M13" t="str" cm="1">
        <f t="array" ref="M13">_xlfn.TEXTJOIN(",",TRUE,(_xlfn._xlws.FILTER($A$2:$A$501,($D$2:$D$501&gt;=N$7)*($D$2:$D$501&lt;M$7)*($E$2:$E$501&gt;=$H14)*($E$2:$E$501&lt;$H13)," ")))</f>
        <v xml:space="preserve"> </v>
      </c>
      <c r="N13" t="str" cm="1">
        <f t="array" ref="N13">_xlfn.TEXTJOIN(",",TRUE,(_xlfn._xlws.FILTER($A$2:$A$501,($D$2:$D$501&gt;=O$7)*($D$2:$D$501&lt;N$7)*($E$2:$E$501&gt;=$H14)*($E$2:$E$501&lt;$H13)," ")))</f>
        <v xml:space="preserve"> </v>
      </c>
      <c r="O13" t="str" cm="1">
        <f t="array" ref="O13">_xlfn.TEXTJOIN(",",TRUE,(_xlfn._xlws.FILTER($A$2:$A$501,($D$2:$D$501&gt;=P$7)*($D$2:$D$501&lt;O$7)*($E$2:$E$501&gt;=$H14)*($E$2:$E$501&lt;$H13)," ")))</f>
        <v xml:space="preserve"> </v>
      </c>
      <c r="P13" t="str" cm="1">
        <f t="array" ref="P13">_xlfn.TEXTJOIN(",",TRUE,(_xlfn._xlws.FILTER($A$2:$A$501,($D$2:$D$501&gt;=Q$7)*($D$2:$D$501&lt;P$7)*($E$2:$E$501&gt;=$H14)*($E$2:$E$501&lt;$H13)," ")))</f>
        <v xml:space="preserve"> </v>
      </c>
      <c r="Q13" t="str" cm="1">
        <f t="array" ref="Q13">_xlfn.TEXTJOIN(",",TRUE,(_xlfn._xlws.FILTER($A$2:$A$501,($D$2:$D$501&gt;=R$7)*($D$2:$D$501&lt;Q$7)*($E$2:$E$501&gt;=$H14)*($E$2:$E$501&lt;$H13)," ")))</f>
        <v xml:space="preserve"> </v>
      </c>
      <c r="R13" t="str" cm="1">
        <f t="array" ref="R13">_xlfn.TEXTJOIN(",",TRUE,(_xlfn._xlws.FILTER($A$2:$A$501,($D$2:$D$501&gt;=S$7)*($D$2:$D$501&lt;R$7)*($E$2:$E$501&gt;=$H14)*($E$2:$E$501&lt;$H13)," ")))</f>
        <v xml:space="preserve"> </v>
      </c>
      <c r="S13" t="str" cm="1">
        <f t="array" ref="S13">_xlfn.TEXTJOIN(",",TRUE,(_xlfn._xlws.FILTER($A$2:$A$501,($D$2:$D$501&gt;=T$7)*($D$2:$D$501&lt;S$7)*($E$2:$E$501&gt;=$H14)*($E$2:$E$501&lt;$H13)," ")))</f>
        <v xml:space="preserve"> </v>
      </c>
      <c r="T13" t="str" cm="1">
        <f t="array" ref="T13">_xlfn.TEXTJOIN(",",TRUE,(_xlfn._xlws.FILTER($A$2:$A$501,($D$2:$D$501&gt;=U$7)*($D$2:$D$501&lt;T$7)*($E$2:$E$501&gt;=$H14)*($E$2:$E$501&lt;$H13)," ")))</f>
        <v xml:space="preserve"> </v>
      </c>
      <c r="U13" t="str" cm="1">
        <f t="array" ref="U13">_xlfn.TEXTJOIN(",",TRUE,(_xlfn._xlws.FILTER($A$2:$A$501,($D$2:$D$501&gt;=V$7)*($D$2:$D$501&lt;U$7)*($E$2:$E$501&gt;=$H14)*($E$2:$E$501&lt;$H13)," ")))</f>
        <v xml:space="preserve"> </v>
      </c>
      <c r="V13" t="str" cm="1">
        <f t="array" ref="V13">_xlfn.TEXTJOIN(",",TRUE,(_xlfn._xlws.FILTER($A$2:$A$501,($D$2:$D$501&gt;=W$7)*($D$2:$D$501&lt;V$7)*($E$2:$E$501&gt;=$H14)*($E$2:$E$501&lt;$H13)," ")))</f>
        <v xml:space="preserve"> </v>
      </c>
      <c r="W13" t="str" cm="1">
        <f t="array" ref="W13">_xlfn.TEXTJOIN(",",TRUE,(_xlfn._xlws.FILTER($A$2:$A$501,($D$2:$D$501&gt;=X$7)*($D$2:$D$501&lt;W$7)*($E$2:$E$501&gt;=$H14)*($E$2:$E$501&lt;$H13)," ")))</f>
        <v xml:space="preserve"> </v>
      </c>
      <c r="X13" t="str" cm="1">
        <f t="array" ref="X13">_xlfn.TEXTJOIN(",",TRUE,(_xlfn._xlws.FILTER($A$2:$A$501,($D$2:$D$501&gt;=Y$7)*($D$2:$D$501&lt;X$7)*($E$2:$E$501&gt;=$H14)*($E$2:$E$501&lt;$H13)," ")))</f>
        <v xml:space="preserve"> </v>
      </c>
      <c r="Y13" t="str" cm="1">
        <f t="array" ref="Y13">_xlfn.TEXTJOIN(",",TRUE,(_xlfn._xlws.FILTER($A$2:$A$501,($D$2:$D$501&gt;=Z$7)*($D$2:$D$501&lt;Y$7)*($E$2:$E$501&gt;=$H14)*($E$2:$E$501&lt;$H13)," ")))</f>
        <v xml:space="preserve"> </v>
      </c>
      <c r="Z13" t="str" cm="1">
        <f t="array" ref="Z13">_xlfn.TEXTJOIN(",",TRUE,(_xlfn._xlws.FILTER($A$2:$A$501,($D$2:$D$501&gt;=AA$7)*($D$2:$D$501&lt;Z$7)*($E$2:$E$501&gt;=$H14)*($E$2:$E$501&lt;$H13)," ")))</f>
        <v xml:space="preserve"> </v>
      </c>
      <c r="AA13" t="str" cm="1">
        <f t="array" ref="AA13">_xlfn.TEXTJOIN(",",TRUE,(_xlfn._xlws.FILTER($A$2:$A$501,($D$2:$D$501&gt;=AB$7)*($D$2:$D$501&lt;AA$7)*($E$2:$E$501&gt;=$H14)*($E$2:$E$501&lt;$H13)," ")))</f>
        <v xml:space="preserve"> </v>
      </c>
      <c r="AB13" t="str" cm="1">
        <f t="array" ref="AB13">_xlfn.TEXTJOIN(",",TRUE,(_xlfn._xlws.FILTER($A$2:$A$501,($D$2:$D$501&gt;=AC$7)*($D$2:$D$501&lt;AB$7)*($E$2:$E$501&gt;=$H14)*($E$2:$E$501&lt;$H13)," ")))</f>
        <v xml:space="preserve"> </v>
      </c>
      <c r="AC13" t="str" cm="1">
        <f t="array" ref="AC13">_xlfn.TEXTJOIN(",",TRUE,(_xlfn._xlws.FILTER($A$2:$A$501,($D$2:$D$501&gt;=AD$7)*($D$2:$D$501&lt;AC$7)*($E$2:$E$501&gt;=$H14)*($E$2:$E$501&lt;$H13)," ")))</f>
        <v xml:space="preserve"> </v>
      </c>
      <c r="AD13" t="str" cm="1">
        <f t="array" ref="AD13">_xlfn.TEXTJOIN(",",TRUE,(_xlfn._xlws.FILTER($A$2:$A$501,($D$2:$D$501&gt;=AE$7)*($D$2:$D$501&lt;AD$7)*($E$2:$E$501&gt;=$H14)*($E$2:$E$501&lt;$H13)," ")))</f>
        <v xml:space="preserve"> </v>
      </c>
      <c r="AE13" t="str" cm="1">
        <f t="array" ref="AE13">_xlfn.TEXTJOIN(",",TRUE,(_xlfn._xlws.FILTER($A$2:$A$501,($D$2:$D$501&gt;=AF$7)*($D$2:$D$501&lt;AE$7)*($E$2:$E$501&gt;=$H14)*($E$2:$E$501&lt;$H13)," ")))</f>
        <v xml:space="preserve"> </v>
      </c>
      <c r="AF13" t="str" cm="1">
        <f t="array" ref="AF13">_xlfn.TEXTJOIN(",",TRUE,(_xlfn._xlws.FILTER($A$2:$A$501,($D$2:$D$501&gt;=AG$7)*($D$2:$D$501&lt;AF$7)*($E$2:$E$501&gt;=$H14)*($E$2:$E$501&lt;$H13)," ")))</f>
        <v xml:space="preserve"> </v>
      </c>
      <c r="AG13" t="str" cm="1">
        <f t="array" ref="AG13">_xlfn.TEXTJOIN(",",TRUE,(_xlfn._xlws.FILTER($A$2:$A$501,($D$2:$D$501&gt;=AH$7)*($D$2:$D$501&lt;AG$7)*($E$2:$E$501&gt;=$H14)*($E$2:$E$501&lt;$H13)," ")))</f>
        <v xml:space="preserve"> </v>
      </c>
      <c r="AH13" t="str" cm="1">
        <f t="array" ref="AH13">_xlfn.TEXTJOIN(",",TRUE,(_xlfn._xlws.FILTER($A$2:$A$501,($D$2:$D$501&gt;=AI$7)*($D$2:$D$501&lt;AH$7)*($E$2:$E$501&gt;=$H14)*($E$2:$E$501&lt;$H13)," ")))</f>
        <v xml:space="preserve"> </v>
      </c>
      <c r="AI13" t="str" cm="1">
        <f t="array" ref="AI13">_xlfn.TEXTJOIN(",",TRUE,(_xlfn._xlws.FILTER($A$2:$A$501,($D$2:$D$501&gt;=AJ$7)*($D$2:$D$501&lt;AI$7)*($E$2:$E$501&gt;=$H14)*($E$2:$E$501&lt;$H13)," ")))</f>
        <v xml:space="preserve"> </v>
      </c>
      <c r="AJ13" t="str" cm="1">
        <f t="array" ref="AJ13">_xlfn.TEXTJOIN(",",TRUE,(_xlfn._xlws.FILTER($A$2:$A$501,($D$2:$D$501&gt;=AK$7)*($D$2:$D$501&lt;AJ$7)*($E$2:$E$501&gt;=$H14)*($E$2:$E$501&lt;$H13)," ")))</f>
        <v xml:space="preserve"> </v>
      </c>
      <c r="AK13" t="str" cm="1">
        <f t="array" ref="AK13">_xlfn.TEXTJOIN(",",TRUE,(_xlfn._xlws.FILTER($A$2:$A$501,($D$2:$D$501&gt;=AL$7)*($D$2:$D$501&lt;AK$7)*($E$2:$E$501&gt;=$H14)*($E$2:$E$501&lt;$H13)," ")))</f>
        <v xml:space="preserve"> </v>
      </c>
      <c r="AL13" t="str" cm="1">
        <f t="array" ref="AL13">_xlfn.TEXTJOIN(",",TRUE,(_xlfn._xlws.FILTER($A$2:$A$501,($D$2:$D$501&gt;=AM$7)*($D$2:$D$501&lt;AL$7)*($E$2:$E$501&gt;=$H14)*($E$2:$E$501&lt;$H13)," ")))</f>
        <v xml:space="preserve"> </v>
      </c>
      <c r="AM13" t="str" cm="1">
        <f t="array" ref="AM13">_xlfn.TEXTJOIN(",",TRUE,(_xlfn._xlws.FILTER($A$2:$A$501,($D$2:$D$501&gt;=AN$7)*($D$2:$D$501&lt;AM$7)*($E$2:$E$501&gt;=$H14)*($E$2:$E$501&lt;$H13)," ")))</f>
        <v xml:space="preserve"> </v>
      </c>
      <c r="AN13" t="str" cm="1">
        <f t="array" ref="AN13">_xlfn.TEXTJOIN(",",TRUE,(_xlfn._xlws.FILTER($A$2:$A$501,($D$2:$D$501&gt;=AO$7)*($D$2:$D$501&lt;AN$7)*($E$2:$E$501&gt;=$H14)*($E$2:$E$501&lt;$H13)," ")))</f>
        <v xml:space="preserve"> </v>
      </c>
      <c r="AO13" t="str" cm="1">
        <f t="array" ref="AO13">_xlfn.TEXTJOIN(",",TRUE,(_xlfn._xlws.FILTER($A$2:$A$501,($D$2:$D$501&gt;=AP$7)*($D$2:$D$501&lt;AO$7)*($E$2:$E$501&gt;=$H14)*($E$2:$E$501&lt;$H13)," ")))</f>
        <v xml:space="preserve"> </v>
      </c>
      <c r="AP13" t="str" cm="1">
        <f t="array" ref="AP13">_xlfn.TEXTJOIN(",",TRUE,(_xlfn._xlws.FILTER($A$2:$A$501,($D$2:$D$501&gt;=AQ$7)*($D$2:$D$501&lt;AP$7)*($E$2:$E$501&gt;=$H14)*($E$2:$E$501&lt;$H13)," ")))</f>
        <v xml:space="preserve"> </v>
      </c>
      <c r="AQ13" t="str" cm="1">
        <f t="array" ref="AQ13">_xlfn.TEXTJOIN(",",TRUE,(_xlfn._xlws.FILTER($A$2:$A$501,($D$2:$D$501&gt;=AR$7)*($D$2:$D$501&lt;AQ$7)*($E$2:$E$501&gt;=$H14)*($E$2:$E$501&lt;$H13)," ")))</f>
        <v xml:space="preserve"> </v>
      </c>
      <c r="AR13" t="str" cm="1">
        <f t="array" ref="AR13">_xlfn.TEXTJOIN(",",TRUE,(_xlfn._xlws.FILTER($A$2:$A$501,($D$2:$D$501&gt;=AS$7)*($D$2:$D$501&lt;AR$7)*($E$2:$E$501&gt;=$H14)*($E$2:$E$501&lt;$H13)," ")))</f>
        <v xml:space="preserve"> </v>
      </c>
      <c r="AS13" t="str" cm="1">
        <f t="array" ref="AS13">_xlfn.TEXTJOIN(",",TRUE,(_xlfn._xlws.FILTER($A$2:$A$501,($D$2:$D$501&gt;=AT$7)*($D$2:$D$501&lt;AS$7)*($E$2:$E$501&gt;=$H14)*($E$2:$E$501&lt;$H13)," ")))</f>
        <v xml:space="preserve"> </v>
      </c>
      <c r="AT13" t="str" cm="1">
        <f t="array" ref="AT13">_xlfn.TEXTJOIN(",",TRUE,(_xlfn._xlws.FILTER($A$2:$A$501,($D$2:$D$501&gt;=AU$7)*($D$2:$D$501&lt;AT$7)*($E$2:$E$501&gt;=$H14)*($E$2:$E$501&lt;$H13)," ")))</f>
        <v xml:space="preserve"> </v>
      </c>
      <c r="AU13" t="str" cm="1">
        <f t="array" ref="AU13">_xlfn.TEXTJOIN(",",TRUE,(_xlfn._xlws.FILTER($A$2:$A$501,($D$2:$D$501&gt;=AV$7)*($D$2:$D$501&lt;AU$7)*($E$2:$E$501&gt;=$H14)*($E$2:$E$501&lt;$H13)," ")))</f>
        <v xml:space="preserve"> </v>
      </c>
      <c r="AV13" t="str" cm="1">
        <f t="array" ref="AV13">_xlfn.TEXTJOIN(",",TRUE,(_xlfn._xlws.FILTER($A$2:$A$501,($D$2:$D$501&gt;=AW$7)*($D$2:$D$501&lt;AV$7)*($E$2:$E$501&gt;=$H14)*($E$2:$E$501&lt;$H13)," ")))</f>
        <v xml:space="preserve"> </v>
      </c>
      <c r="AW13" t="str" cm="1">
        <f t="array" ref="AW13">_xlfn.TEXTJOIN(",",TRUE,(_xlfn._xlws.FILTER($A$2:$A$501,($D$2:$D$501&gt;=AX$7)*($D$2:$D$501&lt;AW$7)*($E$2:$E$501&gt;=$H14)*($E$2:$E$501&lt;$H13)," ")))</f>
        <v xml:space="preserve"> </v>
      </c>
      <c r="AX13" t="str" cm="1">
        <f t="array" ref="AX13">_xlfn.TEXTJOIN(",",TRUE,(_xlfn._xlws.FILTER($A$2:$A$501,($D$2:$D$501&gt;=AY$7)*($D$2:$D$501&lt;AX$7)*($E$2:$E$501&gt;=$H14)*($E$2:$E$501&lt;$H13)," ")))</f>
        <v xml:space="preserve"> </v>
      </c>
      <c r="AY13" t="str" cm="1">
        <f t="array" ref="AY13">_xlfn.TEXTJOIN(",",TRUE,(_xlfn._xlws.FILTER($A$2:$A$501,($D$2:$D$501&gt;=AZ$7)*($D$2:$D$501&lt;AY$7)*($E$2:$E$501&gt;=$H14)*($E$2:$E$501&lt;$H13)," ")))</f>
        <v xml:space="preserve"> </v>
      </c>
      <c r="AZ13" t="str" cm="1">
        <f t="array" ref="AZ13">_xlfn.TEXTJOIN(",",TRUE,(_xlfn._xlws.FILTER($A$2:$A$501,($D$2:$D$501&gt;=BA$7)*($D$2:$D$501&lt;AZ$7)*($E$2:$E$501&gt;=$H14)*($E$2:$E$501&lt;$H13)," ")))</f>
        <v xml:space="preserve"> </v>
      </c>
      <c r="BA13" t="str" cm="1">
        <f t="array" ref="BA13">_xlfn.TEXTJOIN(",",TRUE,(_xlfn._xlws.FILTER($A$2:$A$501,($D$2:$D$501&gt;=BB$7)*($D$2:$D$501&lt;BA$7)*($E$2:$E$501&gt;=$H14)*($E$2:$E$501&lt;$H13)," ")))</f>
        <v xml:space="preserve"> </v>
      </c>
      <c r="BB13" t="str" cm="1">
        <f t="array" ref="BB13">_xlfn.TEXTJOIN(",",TRUE,(_xlfn._xlws.FILTER($A$2:$A$501,($D$2:$D$501&gt;=BC$7)*($D$2:$D$501&lt;BB$7)*($E$2:$E$501&gt;=$H14)*($E$2:$E$501&lt;$H13)," ")))</f>
        <v xml:space="preserve"> </v>
      </c>
    </row>
    <row r="14" spans="1:54" x14ac:dyDescent="0.2">
      <c r="A14" s="3" t="s">
        <v>543</v>
      </c>
      <c r="B14" s="3" t="s">
        <v>533</v>
      </c>
      <c r="C14" s="13">
        <v>1272442.6200000001</v>
      </c>
      <c r="D14" s="15">
        <v>17476820.289999999</v>
      </c>
      <c r="E14" s="22">
        <f>TuitionRates3[[#This Row],[Tuition]]/D14</f>
        <v>7.2807444311141348E-2</v>
      </c>
      <c r="F14"/>
      <c r="H14" s="18">
        <v>0.14399999999999999</v>
      </c>
      <c r="I14" t="str" cm="1">
        <f t="array" ref="I14">_xlfn.TEXTJOIN(",",TRUE,(_xlfn._xlws.FILTER($A$2:$A$501,($D$2:$D$501&gt;=J$7)*($D$2:$D$501&lt;I$7)*($E$2:$E$501&gt;=$H15)*($E$2:$E$501&lt;$H14)," ")))</f>
        <v xml:space="preserve"> </v>
      </c>
      <c r="J14" t="str" cm="1">
        <f t="array" ref="J14">_xlfn.TEXTJOIN(",",TRUE,(_xlfn._xlws.FILTER($A$2:$A$501,($D$2:$D$501&gt;=K$7)*($D$2:$D$501&lt;J$7)*($E$2:$E$501&gt;=$H15)*($E$2:$E$501&lt;$H14)," ")))</f>
        <v xml:space="preserve"> </v>
      </c>
      <c r="K14" t="str" cm="1">
        <f t="array" ref="K14">_xlfn.TEXTJOIN(",",TRUE,(_xlfn._xlws.FILTER($A$2:$A$501,($D$2:$D$501&gt;=L$7)*($D$2:$D$501&lt;K$7)*($E$2:$E$501&gt;=$H15)*($E$2:$E$501&lt;$H14)," ")))</f>
        <v xml:space="preserve"> </v>
      </c>
      <c r="L14" t="str" cm="1">
        <f t="array" ref="L14">_xlfn.TEXTJOIN(",",TRUE,(_xlfn._xlws.FILTER($A$2:$A$501,($D$2:$D$501&gt;=M$7)*($D$2:$D$501&lt;L$7)*($E$2:$E$501&gt;=$H15)*($E$2:$E$501&lt;$H14)," ")))</f>
        <v xml:space="preserve"> </v>
      </c>
      <c r="M14" t="str" cm="1">
        <f t="array" ref="M14">_xlfn.TEXTJOIN(",",TRUE,(_xlfn._xlws.FILTER($A$2:$A$501,($D$2:$D$501&gt;=N$7)*($D$2:$D$501&lt;M$7)*($E$2:$E$501&gt;=$H15)*($E$2:$E$501&lt;$H14)," ")))</f>
        <v xml:space="preserve"> </v>
      </c>
      <c r="N14" t="str" cm="1">
        <f t="array" ref="N14">_xlfn.TEXTJOIN(",",TRUE,(_xlfn._xlws.FILTER($A$2:$A$501,($D$2:$D$501&gt;=O$7)*($D$2:$D$501&lt;N$7)*($E$2:$E$501&gt;=$H15)*($E$2:$E$501&lt;$H14)," ")))</f>
        <v xml:space="preserve"> </v>
      </c>
      <c r="O14" t="str" cm="1">
        <f t="array" ref="O14">_xlfn.TEXTJOIN(",",TRUE,(_xlfn._xlws.FILTER($A$2:$A$501,($D$2:$D$501&gt;=P$7)*($D$2:$D$501&lt;O$7)*($E$2:$E$501&gt;=$H15)*($E$2:$E$501&lt;$H14)," ")))</f>
        <v xml:space="preserve"> </v>
      </c>
      <c r="P14" t="str" cm="1">
        <f t="array" ref="P14">_xlfn.TEXTJOIN(",",TRUE,(_xlfn._xlws.FILTER($A$2:$A$501,($D$2:$D$501&gt;=Q$7)*($D$2:$D$501&lt;P$7)*($E$2:$E$501&gt;=$H15)*($E$2:$E$501&lt;$H14)," ")))</f>
        <v xml:space="preserve"> </v>
      </c>
      <c r="Q14" t="str" cm="1">
        <f t="array" ref="Q14">_xlfn.TEXTJOIN(",",TRUE,(_xlfn._xlws.FILTER($A$2:$A$501,($D$2:$D$501&gt;=R$7)*($D$2:$D$501&lt;Q$7)*($E$2:$E$501&gt;=$H15)*($E$2:$E$501&lt;$H14)," ")))</f>
        <v xml:space="preserve"> </v>
      </c>
      <c r="R14" t="str" cm="1">
        <f t="array" ref="R14">_xlfn.TEXTJOIN(",",TRUE,(_xlfn._xlws.FILTER($A$2:$A$501,($D$2:$D$501&gt;=S$7)*($D$2:$D$501&lt;R$7)*($E$2:$E$501&gt;=$H15)*($E$2:$E$501&lt;$H14)," ")))</f>
        <v xml:space="preserve"> </v>
      </c>
      <c r="S14" t="str" cm="1">
        <f t="array" ref="S14">_xlfn.TEXTJOIN(",",TRUE,(_xlfn._xlws.FILTER($A$2:$A$501,($D$2:$D$501&gt;=T$7)*($D$2:$D$501&lt;S$7)*($E$2:$E$501&gt;=$H15)*($E$2:$E$501&lt;$H14)," ")))</f>
        <v xml:space="preserve"> </v>
      </c>
      <c r="T14" t="str" cm="1">
        <f t="array" ref="T14">_xlfn.TEXTJOIN(",",TRUE,(_xlfn._xlws.FILTER($A$2:$A$501,($D$2:$D$501&gt;=U$7)*($D$2:$D$501&lt;T$7)*($E$2:$E$501&gt;=$H15)*($E$2:$E$501&lt;$H14)," ")))</f>
        <v xml:space="preserve"> </v>
      </c>
      <c r="U14" t="str" cm="1">
        <f t="array" ref="U14">_xlfn.TEXTJOIN(",",TRUE,(_xlfn._xlws.FILTER($A$2:$A$501,($D$2:$D$501&gt;=V$7)*($D$2:$D$501&lt;U$7)*($E$2:$E$501&gt;=$H15)*($E$2:$E$501&lt;$H14)," ")))</f>
        <v xml:space="preserve"> </v>
      </c>
      <c r="V14" t="str" cm="1">
        <f t="array" ref="V14">_xlfn.TEXTJOIN(",",TRUE,(_xlfn._xlws.FILTER($A$2:$A$501,($D$2:$D$501&gt;=W$7)*($D$2:$D$501&lt;V$7)*($E$2:$E$501&gt;=$H15)*($E$2:$E$501&lt;$H14)," ")))</f>
        <v xml:space="preserve"> </v>
      </c>
      <c r="W14" t="str" cm="1">
        <f t="array" ref="W14">_xlfn.TEXTJOIN(",",TRUE,(_xlfn._xlws.FILTER($A$2:$A$501,($D$2:$D$501&gt;=X$7)*($D$2:$D$501&lt;W$7)*($E$2:$E$501&gt;=$H15)*($E$2:$E$501&lt;$H14)," ")))</f>
        <v xml:space="preserve"> </v>
      </c>
      <c r="X14" t="str" cm="1">
        <f t="array" ref="X14">_xlfn.TEXTJOIN(",",TRUE,(_xlfn._xlws.FILTER($A$2:$A$501,($D$2:$D$501&gt;=Y$7)*($D$2:$D$501&lt;X$7)*($E$2:$E$501&gt;=$H15)*($E$2:$E$501&lt;$H14)," ")))</f>
        <v xml:space="preserve"> </v>
      </c>
      <c r="Y14" t="str" cm="1">
        <f t="array" ref="Y14">_xlfn.TEXTJOIN(",",TRUE,(_xlfn._xlws.FILTER($A$2:$A$501,($D$2:$D$501&gt;=Z$7)*($D$2:$D$501&lt;Y$7)*($E$2:$E$501&gt;=$H15)*($E$2:$E$501&lt;$H14)," ")))</f>
        <v xml:space="preserve"> </v>
      </c>
      <c r="Z14" t="str" cm="1">
        <f t="array" ref="Z14">_xlfn.TEXTJOIN(",",TRUE,(_xlfn._xlws.FILTER($A$2:$A$501,($D$2:$D$501&gt;=AA$7)*($D$2:$D$501&lt;Z$7)*($E$2:$E$501&gt;=$H15)*($E$2:$E$501&lt;$H14)," ")))</f>
        <v xml:space="preserve"> </v>
      </c>
      <c r="AA14" t="str" cm="1">
        <f t="array" ref="AA14">_xlfn.TEXTJOIN(",",TRUE,(_xlfn._xlws.FILTER($A$2:$A$501,($D$2:$D$501&gt;=AB$7)*($D$2:$D$501&lt;AA$7)*($E$2:$E$501&gt;=$H15)*($E$2:$E$501&lt;$H14)," ")))</f>
        <v xml:space="preserve"> </v>
      </c>
      <c r="AB14" t="str" cm="1">
        <f t="array" ref="AB14">_xlfn.TEXTJOIN(",",TRUE,(_xlfn._xlws.FILTER($A$2:$A$501,($D$2:$D$501&gt;=AC$7)*($D$2:$D$501&lt;AB$7)*($E$2:$E$501&gt;=$H15)*($E$2:$E$501&lt;$H14)," ")))</f>
        <v xml:space="preserve"> </v>
      </c>
      <c r="AC14" t="str" cm="1">
        <f t="array" ref="AC14">_xlfn.TEXTJOIN(",",TRUE,(_xlfn._xlws.FILTER($A$2:$A$501,($D$2:$D$501&gt;=AD$7)*($D$2:$D$501&lt;AC$7)*($E$2:$E$501&gt;=$H15)*($E$2:$E$501&lt;$H14)," ")))</f>
        <v xml:space="preserve"> </v>
      </c>
      <c r="AD14" t="str" cm="1">
        <f t="array" ref="AD14">_xlfn.TEXTJOIN(",",TRUE,(_xlfn._xlws.FILTER($A$2:$A$501,($D$2:$D$501&gt;=AE$7)*($D$2:$D$501&lt;AD$7)*($E$2:$E$501&gt;=$H15)*($E$2:$E$501&lt;$H14)," ")))</f>
        <v xml:space="preserve"> </v>
      </c>
      <c r="AE14" t="str" cm="1">
        <f t="array" ref="AE14">_xlfn.TEXTJOIN(",",TRUE,(_xlfn._xlws.FILTER($A$2:$A$501,($D$2:$D$501&gt;=AF$7)*($D$2:$D$501&lt;AE$7)*($E$2:$E$501&gt;=$H15)*($E$2:$E$501&lt;$H14)," ")))</f>
        <v xml:space="preserve"> </v>
      </c>
      <c r="AF14" t="str" cm="1">
        <f t="array" ref="AF14">_xlfn.TEXTJOIN(",",TRUE,(_xlfn._xlws.FILTER($A$2:$A$501,($D$2:$D$501&gt;=AG$7)*($D$2:$D$501&lt;AF$7)*($E$2:$E$501&gt;=$H15)*($E$2:$E$501&lt;$H14)," ")))</f>
        <v xml:space="preserve"> </v>
      </c>
      <c r="AG14" t="str" cm="1">
        <f t="array" ref="AG14">_xlfn.TEXTJOIN(",",TRUE,(_xlfn._xlws.FILTER($A$2:$A$501,($D$2:$D$501&gt;=AH$7)*($D$2:$D$501&lt;AG$7)*($E$2:$E$501&gt;=$H15)*($E$2:$E$501&lt;$H14)," ")))</f>
        <v xml:space="preserve"> </v>
      </c>
      <c r="AH14" t="str" cm="1">
        <f t="array" ref="AH14">_xlfn.TEXTJOIN(",",TRUE,(_xlfn._xlws.FILTER($A$2:$A$501,($D$2:$D$501&gt;=AI$7)*($D$2:$D$501&lt;AH$7)*($E$2:$E$501&gt;=$H15)*($E$2:$E$501&lt;$H14)," ")))</f>
        <v xml:space="preserve"> </v>
      </c>
      <c r="AI14" t="str" cm="1">
        <f t="array" ref="AI14">_xlfn.TEXTJOIN(",",TRUE,(_xlfn._xlws.FILTER($A$2:$A$501,($D$2:$D$501&gt;=AJ$7)*($D$2:$D$501&lt;AI$7)*($E$2:$E$501&gt;=$H15)*($E$2:$E$501&lt;$H14)," ")))</f>
        <v xml:space="preserve"> </v>
      </c>
      <c r="AJ14" t="str" cm="1">
        <f t="array" ref="AJ14">_xlfn.TEXTJOIN(",",TRUE,(_xlfn._xlws.FILTER($A$2:$A$501,($D$2:$D$501&gt;=AK$7)*($D$2:$D$501&lt;AJ$7)*($E$2:$E$501&gt;=$H15)*($E$2:$E$501&lt;$H14)," ")))</f>
        <v xml:space="preserve"> </v>
      </c>
      <c r="AK14" t="str" cm="1">
        <f t="array" ref="AK14">_xlfn.TEXTJOIN(",",TRUE,(_xlfn._xlws.FILTER($A$2:$A$501,($D$2:$D$501&gt;=AL$7)*($D$2:$D$501&lt;AK$7)*($E$2:$E$501&gt;=$H15)*($E$2:$E$501&lt;$H14)," ")))</f>
        <v xml:space="preserve"> </v>
      </c>
      <c r="AL14" t="str" cm="1">
        <f t="array" ref="AL14">_xlfn.TEXTJOIN(",",TRUE,(_xlfn._xlws.FILTER($A$2:$A$501,($D$2:$D$501&gt;=AM$7)*($D$2:$D$501&lt;AL$7)*($E$2:$E$501&gt;=$H15)*($E$2:$E$501&lt;$H14)," ")))</f>
        <v xml:space="preserve"> </v>
      </c>
      <c r="AM14" t="str" cm="1">
        <f t="array" ref="AM14">_xlfn.TEXTJOIN(",",TRUE,(_xlfn._xlws.FILTER($A$2:$A$501,($D$2:$D$501&gt;=AN$7)*($D$2:$D$501&lt;AM$7)*($E$2:$E$501&gt;=$H15)*($E$2:$E$501&lt;$H14)," ")))</f>
        <v xml:space="preserve"> </v>
      </c>
      <c r="AN14" t="str" cm="1">
        <f t="array" ref="AN14">_xlfn.TEXTJOIN(",",TRUE,(_xlfn._xlws.FILTER($A$2:$A$501,($D$2:$D$501&gt;=AO$7)*($D$2:$D$501&lt;AN$7)*($E$2:$E$501&gt;=$H15)*($E$2:$E$501&lt;$H14)," ")))</f>
        <v xml:space="preserve"> </v>
      </c>
      <c r="AO14" t="str" cm="1">
        <f t="array" ref="AO14">_xlfn.TEXTJOIN(",",TRUE,(_xlfn._xlws.FILTER($A$2:$A$501,($D$2:$D$501&gt;=AP$7)*($D$2:$D$501&lt;AO$7)*($E$2:$E$501&gt;=$H15)*($E$2:$E$501&lt;$H14)," ")))</f>
        <v xml:space="preserve"> </v>
      </c>
      <c r="AP14" t="str" cm="1">
        <f t="array" ref="AP14">_xlfn.TEXTJOIN(",",TRUE,(_xlfn._xlws.FILTER($A$2:$A$501,($D$2:$D$501&gt;=AQ$7)*($D$2:$D$501&lt;AP$7)*($E$2:$E$501&gt;=$H15)*($E$2:$E$501&lt;$H14)," ")))</f>
        <v xml:space="preserve"> </v>
      </c>
      <c r="AQ14" t="str" cm="1">
        <f t="array" ref="AQ14">_xlfn.TEXTJOIN(",",TRUE,(_xlfn._xlws.FILTER($A$2:$A$501,($D$2:$D$501&gt;=AR$7)*($D$2:$D$501&lt;AQ$7)*($E$2:$E$501&gt;=$H15)*($E$2:$E$501&lt;$H14)," ")))</f>
        <v xml:space="preserve"> </v>
      </c>
      <c r="AR14" t="str" cm="1">
        <f t="array" ref="AR14">_xlfn.TEXTJOIN(",",TRUE,(_xlfn._xlws.FILTER($A$2:$A$501,($D$2:$D$501&gt;=AS$7)*($D$2:$D$501&lt;AR$7)*($E$2:$E$501&gt;=$H15)*($E$2:$E$501&lt;$H14)," ")))</f>
        <v xml:space="preserve"> </v>
      </c>
      <c r="AS14" t="str" cm="1">
        <f t="array" ref="AS14">_xlfn.TEXTJOIN(",",TRUE,(_xlfn._xlws.FILTER($A$2:$A$501,($D$2:$D$501&gt;=AT$7)*($D$2:$D$501&lt;AS$7)*($E$2:$E$501&gt;=$H15)*($E$2:$E$501&lt;$H14)," ")))</f>
        <v xml:space="preserve"> </v>
      </c>
      <c r="AT14" t="str" cm="1">
        <f t="array" ref="AT14">_xlfn.TEXTJOIN(",",TRUE,(_xlfn._xlws.FILTER($A$2:$A$501,($D$2:$D$501&gt;=AU$7)*($D$2:$D$501&lt;AT$7)*($E$2:$E$501&gt;=$H15)*($E$2:$E$501&lt;$H14)," ")))</f>
        <v xml:space="preserve"> </v>
      </c>
      <c r="AU14" t="str" cm="1">
        <f t="array" ref="AU14">_xlfn.TEXTJOIN(",",TRUE,(_xlfn._xlws.FILTER($A$2:$A$501,($D$2:$D$501&gt;=AV$7)*($D$2:$D$501&lt;AU$7)*($E$2:$E$501&gt;=$H15)*($E$2:$E$501&lt;$H14)," ")))</f>
        <v xml:space="preserve"> </v>
      </c>
      <c r="AV14" t="str" cm="1">
        <f t="array" ref="AV14">_xlfn.TEXTJOIN(",",TRUE,(_xlfn._xlws.FILTER($A$2:$A$501,($D$2:$D$501&gt;=AW$7)*($D$2:$D$501&lt;AV$7)*($E$2:$E$501&gt;=$H15)*($E$2:$E$501&lt;$H14)," ")))</f>
        <v xml:space="preserve"> </v>
      </c>
      <c r="AW14" t="str" cm="1">
        <f t="array" ref="AW14">_xlfn.TEXTJOIN(",",TRUE,(_xlfn._xlws.FILTER($A$2:$A$501,($D$2:$D$501&gt;=AX$7)*($D$2:$D$501&lt;AW$7)*($E$2:$E$501&gt;=$H15)*($E$2:$E$501&lt;$H14)," ")))</f>
        <v xml:space="preserve"> </v>
      </c>
      <c r="AX14" t="str" cm="1">
        <f t="array" ref="AX14">_xlfn.TEXTJOIN(",",TRUE,(_xlfn._xlws.FILTER($A$2:$A$501,($D$2:$D$501&gt;=AY$7)*($D$2:$D$501&lt;AX$7)*($E$2:$E$501&gt;=$H15)*($E$2:$E$501&lt;$H14)," ")))</f>
        <v xml:space="preserve"> </v>
      </c>
      <c r="AY14" t="str" cm="1">
        <f t="array" ref="AY14">_xlfn.TEXTJOIN(",",TRUE,(_xlfn._xlws.FILTER($A$2:$A$501,($D$2:$D$501&gt;=AZ$7)*($D$2:$D$501&lt;AY$7)*($E$2:$E$501&gt;=$H15)*($E$2:$E$501&lt;$H14)," ")))</f>
        <v xml:space="preserve"> </v>
      </c>
      <c r="AZ14" t="str" cm="1">
        <f t="array" ref="AZ14">_xlfn.TEXTJOIN(",",TRUE,(_xlfn._xlws.FILTER($A$2:$A$501,($D$2:$D$501&gt;=BA$7)*($D$2:$D$501&lt;AZ$7)*($E$2:$E$501&gt;=$H15)*($E$2:$E$501&lt;$H14)," ")))</f>
        <v xml:space="preserve"> </v>
      </c>
      <c r="BA14" t="str" cm="1">
        <f t="array" ref="BA14">_xlfn.TEXTJOIN(",",TRUE,(_xlfn._xlws.FILTER($A$2:$A$501,($D$2:$D$501&gt;=BB$7)*($D$2:$D$501&lt;BA$7)*($E$2:$E$501&gt;=$H15)*($E$2:$E$501&lt;$H14)," ")))</f>
        <v xml:space="preserve"> </v>
      </c>
      <c r="BB14" t="str" cm="1">
        <f t="array" ref="BB14">_xlfn.TEXTJOIN(",",TRUE,(_xlfn._xlws.FILTER($A$2:$A$501,($D$2:$D$501&gt;=BC$7)*($D$2:$D$501&lt;BB$7)*($E$2:$E$501&gt;=$H15)*($E$2:$E$501&lt;$H14)," ")))</f>
        <v xml:space="preserve"> </v>
      </c>
    </row>
    <row r="15" spans="1:54" x14ac:dyDescent="0.2">
      <c r="A15" s="3" t="s">
        <v>449</v>
      </c>
      <c r="B15" s="3" t="s">
        <v>447</v>
      </c>
      <c r="C15" s="13">
        <v>2549337</v>
      </c>
      <c r="D15" s="15">
        <v>36258206.07</v>
      </c>
      <c r="E15" s="22">
        <f>TuitionRates3[[#This Row],[Tuition]]/D15</f>
        <v>7.0310621410178339E-2</v>
      </c>
      <c r="F15"/>
      <c r="H15" s="18">
        <v>0.14299999999999999</v>
      </c>
      <c r="I15" t="str" cm="1">
        <f t="array" ref="I15">_xlfn.TEXTJOIN(",",TRUE,(_xlfn._xlws.FILTER($A$2:$A$501,($D$2:$D$501&gt;=J$7)*($D$2:$D$501&lt;I$7)*($E$2:$E$501&gt;=$H16)*($E$2:$E$501&lt;$H15)," ")))</f>
        <v xml:space="preserve"> </v>
      </c>
      <c r="J15" t="str" cm="1">
        <f t="array" ref="J15">_xlfn.TEXTJOIN(",",TRUE,(_xlfn._xlws.FILTER($A$2:$A$501,($D$2:$D$501&gt;=K$7)*($D$2:$D$501&lt;J$7)*($E$2:$E$501&gt;=$H16)*($E$2:$E$501&lt;$H15)," ")))</f>
        <v xml:space="preserve"> </v>
      </c>
      <c r="K15" t="str" cm="1">
        <f t="array" ref="K15">_xlfn.TEXTJOIN(",",TRUE,(_xlfn._xlws.FILTER($A$2:$A$501,($D$2:$D$501&gt;=L$7)*($D$2:$D$501&lt;K$7)*($E$2:$E$501&gt;=$H16)*($E$2:$E$501&lt;$H15)," ")))</f>
        <v xml:space="preserve"> </v>
      </c>
      <c r="L15" t="str" cm="1">
        <f t="array" ref="L15">_xlfn.TEXTJOIN(",",TRUE,(_xlfn._xlws.FILTER($A$2:$A$501,($D$2:$D$501&gt;=M$7)*($D$2:$D$501&lt;L$7)*($E$2:$E$501&gt;=$H16)*($E$2:$E$501&lt;$H15)," ")))</f>
        <v xml:space="preserve"> </v>
      </c>
      <c r="M15" t="str" cm="1">
        <f t="array" ref="M15">_xlfn.TEXTJOIN(",",TRUE,(_xlfn._xlws.FILTER($A$2:$A$501,($D$2:$D$501&gt;=N$7)*($D$2:$D$501&lt;M$7)*($E$2:$E$501&gt;=$H16)*($E$2:$E$501&lt;$H15)," ")))</f>
        <v xml:space="preserve"> </v>
      </c>
      <c r="N15" t="str" cm="1">
        <f t="array" ref="N15">_xlfn.TEXTJOIN(",",TRUE,(_xlfn._xlws.FILTER($A$2:$A$501,($D$2:$D$501&gt;=O$7)*($D$2:$D$501&lt;N$7)*($E$2:$E$501&gt;=$H16)*($E$2:$E$501&lt;$H15)," ")))</f>
        <v xml:space="preserve"> </v>
      </c>
      <c r="O15" t="str" cm="1">
        <f t="array" ref="O15">_xlfn.TEXTJOIN(",",TRUE,(_xlfn._xlws.FILTER($A$2:$A$501,($D$2:$D$501&gt;=P$7)*($D$2:$D$501&lt;O$7)*($E$2:$E$501&gt;=$H16)*($E$2:$E$501&lt;$H15)," ")))</f>
        <v xml:space="preserve"> </v>
      </c>
      <c r="P15" t="str" cm="1">
        <f t="array" ref="P15">_xlfn.TEXTJOIN(",",TRUE,(_xlfn._xlws.FILTER($A$2:$A$501,($D$2:$D$501&gt;=Q$7)*($D$2:$D$501&lt;P$7)*($E$2:$E$501&gt;=$H16)*($E$2:$E$501&lt;$H15)," ")))</f>
        <v xml:space="preserve"> </v>
      </c>
      <c r="Q15" t="str" cm="1">
        <f t="array" ref="Q15">_xlfn.TEXTJOIN(",",TRUE,(_xlfn._xlws.FILTER($A$2:$A$501,($D$2:$D$501&gt;=R$7)*($D$2:$D$501&lt;Q$7)*($E$2:$E$501&gt;=$H16)*($E$2:$E$501&lt;$H15)," ")))</f>
        <v xml:space="preserve"> </v>
      </c>
      <c r="R15" t="str" cm="1">
        <f t="array" ref="R15">_xlfn.TEXTJOIN(",",TRUE,(_xlfn._xlws.FILTER($A$2:$A$501,($D$2:$D$501&gt;=S$7)*($D$2:$D$501&lt;R$7)*($E$2:$E$501&gt;=$H16)*($E$2:$E$501&lt;$H15)," ")))</f>
        <v xml:space="preserve"> </v>
      </c>
      <c r="S15" t="str" cm="1">
        <f t="array" ref="S15">_xlfn.TEXTJOIN(",",TRUE,(_xlfn._xlws.FILTER($A$2:$A$501,($D$2:$D$501&gt;=T$7)*($D$2:$D$501&lt;S$7)*($E$2:$E$501&gt;=$H16)*($E$2:$E$501&lt;$H15)," ")))</f>
        <v xml:space="preserve"> </v>
      </c>
      <c r="T15" t="str" cm="1">
        <f t="array" ref="T15">_xlfn.TEXTJOIN(",",TRUE,(_xlfn._xlws.FILTER($A$2:$A$501,($D$2:$D$501&gt;=U$7)*($D$2:$D$501&lt;T$7)*($E$2:$E$501&gt;=$H16)*($E$2:$E$501&lt;$H15)," ")))</f>
        <v xml:space="preserve"> </v>
      </c>
      <c r="U15" t="str" cm="1">
        <f t="array" ref="U15">_xlfn.TEXTJOIN(",",TRUE,(_xlfn._xlws.FILTER($A$2:$A$501,($D$2:$D$501&gt;=V$7)*($D$2:$D$501&lt;U$7)*($E$2:$E$501&gt;=$H16)*($E$2:$E$501&lt;$H15)," ")))</f>
        <v xml:space="preserve"> </v>
      </c>
      <c r="V15" t="str" cm="1">
        <f t="array" ref="V15">_xlfn.TEXTJOIN(",",TRUE,(_xlfn._xlws.FILTER($A$2:$A$501,($D$2:$D$501&gt;=W$7)*($D$2:$D$501&lt;V$7)*($E$2:$E$501&gt;=$H16)*($E$2:$E$501&lt;$H15)," ")))</f>
        <v xml:space="preserve"> </v>
      </c>
      <c r="W15" t="str" cm="1">
        <f t="array" ref="W15">_xlfn.TEXTJOIN(",",TRUE,(_xlfn._xlws.FILTER($A$2:$A$501,($D$2:$D$501&gt;=X$7)*($D$2:$D$501&lt;W$7)*($E$2:$E$501&gt;=$H16)*($E$2:$E$501&lt;$H15)," ")))</f>
        <v xml:space="preserve"> </v>
      </c>
      <c r="X15" t="str" cm="1">
        <f t="array" ref="X15">_xlfn.TEXTJOIN(",",TRUE,(_xlfn._xlws.FILTER($A$2:$A$501,($D$2:$D$501&gt;=Y$7)*($D$2:$D$501&lt;X$7)*($E$2:$E$501&gt;=$H16)*($E$2:$E$501&lt;$H15)," ")))</f>
        <v xml:space="preserve"> </v>
      </c>
      <c r="Y15" t="str" cm="1">
        <f t="array" ref="Y15">_xlfn.TEXTJOIN(",",TRUE,(_xlfn._xlws.FILTER($A$2:$A$501,($D$2:$D$501&gt;=Z$7)*($D$2:$D$501&lt;Y$7)*($E$2:$E$501&gt;=$H16)*($E$2:$E$501&lt;$H15)," ")))</f>
        <v xml:space="preserve"> </v>
      </c>
      <c r="Z15" t="str" cm="1">
        <f t="array" ref="Z15">_xlfn.TEXTJOIN(",",TRUE,(_xlfn._xlws.FILTER($A$2:$A$501,($D$2:$D$501&gt;=AA$7)*($D$2:$D$501&lt;Z$7)*($E$2:$E$501&gt;=$H16)*($E$2:$E$501&lt;$H15)," ")))</f>
        <v xml:space="preserve"> </v>
      </c>
      <c r="AA15" t="str" cm="1">
        <f t="array" ref="AA15">_xlfn.TEXTJOIN(",",TRUE,(_xlfn._xlws.FILTER($A$2:$A$501,($D$2:$D$501&gt;=AB$7)*($D$2:$D$501&lt;AA$7)*($E$2:$E$501&gt;=$H16)*($E$2:$E$501&lt;$H15)," ")))</f>
        <v xml:space="preserve"> </v>
      </c>
      <c r="AB15" t="str" cm="1">
        <f t="array" ref="AB15">_xlfn.TEXTJOIN(",",TRUE,(_xlfn._xlws.FILTER($A$2:$A$501,($D$2:$D$501&gt;=AC$7)*($D$2:$D$501&lt;AB$7)*($E$2:$E$501&gt;=$H16)*($E$2:$E$501&lt;$H15)," ")))</f>
        <v xml:space="preserve"> </v>
      </c>
      <c r="AC15" t="str" cm="1">
        <f t="array" ref="AC15">_xlfn.TEXTJOIN(",",TRUE,(_xlfn._xlws.FILTER($A$2:$A$501,($D$2:$D$501&gt;=AD$7)*($D$2:$D$501&lt;AC$7)*($E$2:$E$501&gt;=$H16)*($E$2:$E$501&lt;$H15)," ")))</f>
        <v xml:space="preserve"> </v>
      </c>
      <c r="AD15" t="str" cm="1">
        <f t="array" ref="AD15">_xlfn.TEXTJOIN(",",TRUE,(_xlfn._xlws.FILTER($A$2:$A$501,($D$2:$D$501&gt;=AE$7)*($D$2:$D$501&lt;AD$7)*($E$2:$E$501&gt;=$H16)*($E$2:$E$501&lt;$H15)," ")))</f>
        <v xml:space="preserve"> </v>
      </c>
      <c r="AE15" t="str" cm="1">
        <f t="array" ref="AE15">_xlfn.TEXTJOIN(",",TRUE,(_xlfn._xlws.FILTER($A$2:$A$501,($D$2:$D$501&gt;=AF$7)*($D$2:$D$501&lt;AE$7)*($E$2:$E$501&gt;=$H16)*($E$2:$E$501&lt;$H15)," ")))</f>
        <v xml:space="preserve"> </v>
      </c>
      <c r="AF15" t="str" cm="1">
        <f t="array" ref="AF15">_xlfn.TEXTJOIN(",",TRUE,(_xlfn._xlws.FILTER($A$2:$A$501,($D$2:$D$501&gt;=AG$7)*($D$2:$D$501&lt;AF$7)*($E$2:$E$501&gt;=$H16)*($E$2:$E$501&lt;$H15)," ")))</f>
        <v xml:space="preserve"> </v>
      </c>
      <c r="AG15" t="str" cm="1">
        <f t="array" ref="AG15">_xlfn.TEXTJOIN(",",TRUE,(_xlfn._xlws.FILTER($A$2:$A$501,($D$2:$D$501&gt;=AH$7)*($D$2:$D$501&lt;AG$7)*($E$2:$E$501&gt;=$H16)*($E$2:$E$501&lt;$H15)," ")))</f>
        <v xml:space="preserve"> </v>
      </c>
      <c r="AH15" t="str" cm="1">
        <f t="array" ref="AH15">_xlfn.TEXTJOIN(",",TRUE,(_xlfn._xlws.FILTER($A$2:$A$501,($D$2:$D$501&gt;=AI$7)*($D$2:$D$501&lt;AH$7)*($E$2:$E$501&gt;=$H16)*($E$2:$E$501&lt;$H15)," ")))</f>
        <v xml:space="preserve"> </v>
      </c>
      <c r="AI15" t="str" cm="1">
        <f t="array" ref="AI15">_xlfn.TEXTJOIN(",",TRUE,(_xlfn._xlws.FILTER($A$2:$A$501,($D$2:$D$501&gt;=AJ$7)*($D$2:$D$501&lt;AI$7)*($E$2:$E$501&gt;=$H16)*($E$2:$E$501&lt;$H15)," ")))</f>
        <v xml:space="preserve"> </v>
      </c>
      <c r="AJ15" t="str" cm="1">
        <f t="array" ref="AJ15">_xlfn.TEXTJOIN(",",TRUE,(_xlfn._xlws.FILTER($A$2:$A$501,($D$2:$D$501&gt;=AK$7)*($D$2:$D$501&lt;AJ$7)*($E$2:$E$501&gt;=$H16)*($E$2:$E$501&lt;$H15)," ")))</f>
        <v xml:space="preserve"> </v>
      </c>
      <c r="AK15" t="str" cm="1">
        <f t="array" ref="AK15">_xlfn.TEXTJOIN(",",TRUE,(_xlfn._xlws.FILTER($A$2:$A$501,($D$2:$D$501&gt;=AL$7)*($D$2:$D$501&lt;AK$7)*($E$2:$E$501&gt;=$H16)*($E$2:$E$501&lt;$H15)," ")))</f>
        <v xml:space="preserve"> </v>
      </c>
      <c r="AL15" t="str" cm="1">
        <f t="array" ref="AL15">_xlfn.TEXTJOIN(",",TRUE,(_xlfn._xlws.FILTER($A$2:$A$501,($D$2:$D$501&gt;=AM$7)*($D$2:$D$501&lt;AL$7)*($E$2:$E$501&gt;=$H16)*($E$2:$E$501&lt;$H15)," ")))</f>
        <v xml:space="preserve"> </v>
      </c>
      <c r="AM15" t="str" cm="1">
        <f t="array" ref="AM15">_xlfn.TEXTJOIN(",",TRUE,(_xlfn._xlws.FILTER($A$2:$A$501,($D$2:$D$501&gt;=AN$7)*($D$2:$D$501&lt;AM$7)*($E$2:$E$501&gt;=$H16)*($E$2:$E$501&lt;$H15)," ")))</f>
        <v xml:space="preserve"> </v>
      </c>
      <c r="AN15" t="str" cm="1">
        <f t="array" ref="AN15">_xlfn.TEXTJOIN(",",TRUE,(_xlfn._xlws.FILTER($A$2:$A$501,($D$2:$D$501&gt;=AO$7)*($D$2:$D$501&lt;AN$7)*($E$2:$E$501&gt;=$H16)*($E$2:$E$501&lt;$H15)," ")))</f>
        <v xml:space="preserve"> </v>
      </c>
      <c r="AO15" t="str" cm="1">
        <f t="array" ref="AO15">_xlfn.TEXTJOIN(",",TRUE,(_xlfn._xlws.FILTER($A$2:$A$501,($D$2:$D$501&gt;=AP$7)*($D$2:$D$501&lt;AO$7)*($E$2:$E$501&gt;=$H16)*($E$2:$E$501&lt;$H15)," ")))</f>
        <v xml:space="preserve"> </v>
      </c>
      <c r="AP15" t="str" cm="1">
        <f t="array" ref="AP15">_xlfn.TEXTJOIN(",",TRUE,(_xlfn._xlws.FILTER($A$2:$A$501,($D$2:$D$501&gt;=AQ$7)*($D$2:$D$501&lt;AP$7)*($E$2:$E$501&gt;=$H16)*($E$2:$E$501&lt;$H15)," ")))</f>
        <v xml:space="preserve"> </v>
      </c>
      <c r="AQ15" t="str" cm="1">
        <f t="array" ref="AQ15">_xlfn.TEXTJOIN(",",TRUE,(_xlfn._xlws.FILTER($A$2:$A$501,($D$2:$D$501&gt;=AR$7)*($D$2:$D$501&lt;AQ$7)*($E$2:$E$501&gt;=$H16)*($E$2:$E$501&lt;$H15)," ")))</f>
        <v xml:space="preserve"> </v>
      </c>
      <c r="AR15" t="str" cm="1">
        <f t="array" ref="AR15">_xlfn.TEXTJOIN(",",TRUE,(_xlfn._xlws.FILTER($A$2:$A$501,($D$2:$D$501&gt;=AS$7)*($D$2:$D$501&lt;AR$7)*($E$2:$E$501&gt;=$H16)*($E$2:$E$501&lt;$H15)," ")))</f>
        <v xml:space="preserve"> </v>
      </c>
      <c r="AS15" t="str" cm="1">
        <f t="array" ref="AS15">_xlfn.TEXTJOIN(",",TRUE,(_xlfn._xlws.FILTER($A$2:$A$501,($D$2:$D$501&gt;=AT$7)*($D$2:$D$501&lt;AS$7)*($E$2:$E$501&gt;=$H16)*($E$2:$E$501&lt;$H15)," ")))</f>
        <v xml:space="preserve"> </v>
      </c>
      <c r="AT15" t="str" cm="1">
        <f t="array" ref="AT15">_xlfn.TEXTJOIN(",",TRUE,(_xlfn._xlws.FILTER($A$2:$A$501,($D$2:$D$501&gt;=AU$7)*($D$2:$D$501&lt;AT$7)*($E$2:$E$501&gt;=$H16)*($E$2:$E$501&lt;$H15)," ")))</f>
        <v xml:space="preserve"> </v>
      </c>
      <c r="AU15" t="str" cm="1">
        <f t="array" ref="AU15">_xlfn.TEXTJOIN(",",TRUE,(_xlfn._xlws.FILTER($A$2:$A$501,($D$2:$D$501&gt;=AV$7)*($D$2:$D$501&lt;AU$7)*($E$2:$E$501&gt;=$H16)*($E$2:$E$501&lt;$H15)," ")))</f>
        <v xml:space="preserve"> </v>
      </c>
      <c r="AV15" t="str" cm="1">
        <f t="array" ref="AV15">_xlfn.TEXTJOIN(",",TRUE,(_xlfn._xlws.FILTER($A$2:$A$501,($D$2:$D$501&gt;=AW$7)*($D$2:$D$501&lt;AV$7)*($E$2:$E$501&gt;=$H16)*($E$2:$E$501&lt;$H15)," ")))</f>
        <v xml:space="preserve"> </v>
      </c>
      <c r="AW15" t="str" cm="1">
        <f t="array" ref="AW15">_xlfn.TEXTJOIN(",",TRUE,(_xlfn._xlws.FILTER($A$2:$A$501,($D$2:$D$501&gt;=AX$7)*($D$2:$D$501&lt;AW$7)*($E$2:$E$501&gt;=$H16)*($E$2:$E$501&lt;$H15)," ")))</f>
        <v xml:space="preserve"> </v>
      </c>
      <c r="AX15" t="str" cm="1">
        <f t="array" ref="AX15">_xlfn.TEXTJOIN(",",TRUE,(_xlfn._xlws.FILTER($A$2:$A$501,($D$2:$D$501&gt;=AY$7)*($D$2:$D$501&lt;AX$7)*($E$2:$E$501&gt;=$H16)*($E$2:$E$501&lt;$H15)," ")))</f>
        <v xml:space="preserve"> </v>
      </c>
      <c r="AY15" t="str" cm="1">
        <f t="array" ref="AY15">_xlfn.TEXTJOIN(",",TRUE,(_xlfn._xlws.FILTER($A$2:$A$501,($D$2:$D$501&gt;=AZ$7)*($D$2:$D$501&lt;AY$7)*($E$2:$E$501&gt;=$H16)*($E$2:$E$501&lt;$H15)," ")))</f>
        <v xml:space="preserve"> </v>
      </c>
      <c r="AZ15" t="str" cm="1">
        <f t="array" ref="AZ15">_xlfn.TEXTJOIN(",",TRUE,(_xlfn._xlws.FILTER($A$2:$A$501,($D$2:$D$501&gt;=BA$7)*($D$2:$D$501&lt;AZ$7)*($E$2:$E$501&gt;=$H16)*($E$2:$E$501&lt;$H15)," ")))</f>
        <v xml:space="preserve"> </v>
      </c>
      <c r="BA15" t="str" cm="1">
        <f t="array" ref="BA15">_xlfn.TEXTJOIN(",",TRUE,(_xlfn._xlws.FILTER($A$2:$A$501,($D$2:$D$501&gt;=BB$7)*($D$2:$D$501&lt;BA$7)*($E$2:$E$501&gt;=$H16)*($E$2:$E$501&lt;$H15)," ")))</f>
        <v xml:space="preserve"> </v>
      </c>
      <c r="BB15" t="str" cm="1">
        <f t="array" ref="BB15">_xlfn.TEXTJOIN(",",TRUE,(_xlfn._xlws.FILTER($A$2:$A$501,($D$2:$D$501&gt;=BC$7)*($D$2:$D$501&lt;BB$7)*($E$2:$E$501&gt;=$H16)*($E$2:$E$501&lt;$H15)," ")))</f>
        <v xml:space="preserve"> </v>
      </c>
    </row>
    <row r="16" spans="1:54" x14ac:dyDescent="0.2">
      <c r="A16" s="3" t="s">
        <v>68</v>
      </c>
      <c r="B16" s="3" t="s">
        <v>60</v>
      </c>
      <c r="C16" s="13">
        <v>507661.75</v>
      </c>
      <c r="D16" s="15">
        <v>7296848.3799999999</v>
      </c>
      <c r="E16" s="22">
        <f>TuitionRates3[[#This Row],[Tuition]]/D16</f>
        <v>6.9572742033595605E-2</v>
      </c>
      <c r="F16"/>
      <c r="H16" s="18">
        <v>0.14199999999999999</v>
      </c>
      <c r="I16" t="str" cm="1">
        <f t="array" ref="I16">_xlfn.TEXTJOIN(",",TRUE,(_xlfn._xlws.FILTER($A$2:$A$501,($D$2:$D$501&gt;=J$7)*($D$2:$D$501&lt;I$7)*($E$2:$E$501&gt;=$H17)*($E$2:$E$501&lt;$H16)," ")))</f>
        <v xml:space="preserve"> </v>
      </c>
      <c r="J16" t="str" cm="1">
        <f t="array" ref="J16">_xlfn.TEXTJOIN(",",TRUE,(_xlfn._xlws.FILTER($A$2:$A$501,($D$2:$D$501&gt;=K$7)*($D$2:$D$501&lt;J$7)*($E$2:$E$501&gt;=$H17)*($E$2:$E$501&lt;$H16)," ")))</f>
        <v xml:space="preserve"> </v>
      </c>
      <c r="K16" t="str" cm="1">
        <f t="array" ref="K16">_xlfn.TEXTJOIN(",",TRUE,(_xlfn._xlws.FILTER($A$2:$A$501,($D$2:$D$501&gt;=L$7)*($D$2:$D$501&lt;K$7)*($E$2:$E$501&gt;=$H17)*($E$2:$E$501&lt;$H16)," ")))</f>
        <v xml:space="preserve"> </v>
      </c>
      <c r="L16" t="str" cm="1">
        <f t="array" ref="L16">_xlfn.TEXTJOIN(",",TRUE,(_xlfn._xlws.FILTER($A$2:$A$501,($D$2:$D$501&gt;=M$7)*($D$2:$D$501&lt;L$7)*($E$2:$E$501&gt;=$H17)*($E$2:$E$501&lt;$H16)," ")))</f>
        <v xml:space="preserve"> </v>
      </c>
      <c r="M16" t="str" cm="1">
        <f t="array" ref="M16">_xlfn.TEXTJOIN(",",TRUE,(_xlfn._xlws.FILTER($A$2:$A$501,($D$2:$D$501&gt;=N$7)*($D$2:$D$501&lt;M$7)*($E$2:$E$501&gt;=$H17)*($E$2:$E$501&lt;$H16)," ")))</f>
        <v xml:space="preserve"> </v>
      </c>
      <c r="N16" t="str" cm="1">
        <f t="array" ref="N16">_xlfn.TEXTJOIN(",",TRUE,(_xlfn._xlws.FILTER($A$2:$A$501,($D$2:$D$501&gt;=O$7)*($D$2:$D$501&lt;N$7)*($E$2:$E$501&gt;=$H17)*($E$2:$E$501&lt;$H16)," ")))</f>
        <v xml:space="preserve"> </v>
      </c>
      <c r="O16" t="str" cm="1">
        <f t="array" ref="O16">_xlfn.TEXTJOIN(",",TRUE,(_xlfn._xlws.FILTER($A$2:$A$501,($D$2:$D$501&gt;=P$7)*($D$2:$D$501&lt;O$7)*($E$2:$E$501&gt;=$H17)*($E$2:$E$501&lt;$H16)," ")))</f>
        <v xml:space="preserve"> </v>
      </c>
      <c r="P16" t="str" cm="1">
        <f t="array" ref="P16">_xlfn.TEXTJOIN(",",TRUE,(_xlfn._xlws.FILTER($A$2:$A$501,($D$2:$D$501&gt;=Q$7)*($D$2:$D$501&lt;P$7)*($E$2:$E$501&gt;=$H17)*($E$2:$E$501&lt;$H16)," ")))</f>
        <v xml:space="preserve"> </v>
      </c>
      <c r="Q16" t="str" cm="1">
        <f t="array" ref="Q16">_xlfn.TEXTJOIN(",",TRUE,(_xlfn._xlws.FILTER($A$2:$A$501,($D$2:$D$501&gt;=R$7)*($D$2:$D$501&lt;Q$7)*($E$2:$E$501&gt;=$H17)*($E$2:$E$501&lt;$H16)," ")))</f>
        <v xml:space="preserve"> </v>
      </c>
      <c r="R16" t="str" cm="1">
        <f t="array" ref="R16">_xlfn.TEXTJOIN(",",TRUE,(_xlfn._xlws.FILTER($A$2:$A$501,($D$2:$D$501&gt;=S$7)*($D$2:$D$501&lt;R$7)*($E$2:$E$501&gt;=$H17)*($E$2:$E$501&lt;$H16)," ")))</f>
        <v xml:space="preserve"> </v>
      </c>
      <c r="S16" t="str" cm="1">
        <f t="array" ref="S16">_xlfn.TEXTJOIN(",",TRUE,(_xlfn._xlws.FILTER($A$2:$A$501,($D$2:$D$501&gt;=T$7)*($D$2:$D$501&lt;S$7)*($E$2:$E$501&gt;=$H17)*($E$2:$E$501&lt;$H16)," ")))</f>
        <v xml:space="preserve"> </v>
      </c>
      <c r="T16" t="str" cm="1">
        <f t="array" ref="T16">_xlfn.TEXTJOIN(",",TRUE,(_xlfn._xlws.FILTER($A$2:$A$501,($D$2:$D$501&gt;=U$7)*($D$2:$D$501&lt;T$7)*($E$2:$E$501&gt;=$H17)*($E$2:$E$501&lt;$H16)," ")))</f>
        <v xml:space="preserve"> </v>
      </c>
      <c r="U16" t="str" cm="1">
        <f t="array" ref="U16">_xlfn.TEXTJOIN(",",TRUE,(_xlfn._xlws.FILTER($A$2:$A$501,($D$2:$D$501&gt;=V$7)*($D$2:$D$501&lt;U$7)*($E$2:$E$501&gt;=$H17)*($E$2:$E$501&lt;$H16)," ")))</f>
        <v xml:space="preserve"> </v>
      </c>
      <c r="V16" t="str" cm="1">
        <f t="array" ref="V16">_xlfn.TEXTJOIN(",",TRUE,(_xlfn._xlws.FILTER($A$2:$A$501,($D$2:$D$501&gt;=W$7)*($D$2:$D$501&lt;V$7)*($E$2:$E$501&gt;=$H17)*($E$2:$E$501&lt;$H16)," ")))</f>
        <v xml:space="preserve"> </v>
      </c>
      <c r="W16" t="str" cm="1">
        <f t="array" ref="W16">_xlfn.TEXTJOIN(",",TRUE,(_xlfn._xlws.FILTER($A$2:$A$501,($D$2:$D$501&gt;=X$7)*($D$2:$D$501&lt;W$7)*($E$2:$E$501&gt;=$H17)*($E$2:$E$501&lt;$H16)," ")))</f>
        <v xml:space="preserve"> </v>
      </c>
      <c r="X16" t="str" cm="1">
        <f t="array" ref="X16">_xlfn.TEXTJOIN(",",TRUE,(_xlfn._xlws.FILTER($A$2:$A$501,($D$2:$D$501&gt;=Y$7)*($D$2:$D$501&lt;X$7)*($E$2:$E$501&gt;=$H17)*($E$2:$E$501&lt;$H16)," ")))</f>
        <v xml:space="preserve"> </v>
      </c>
      <c r="Y16" t="str" cm="1">
        <f t="array" ref="Y16">_xlfn.TEXTJOIN(",",TRUE,(_xlfn._xlws.FILTER($A$2:$A$501,($D$2:$D$501&gt;=Z$7)*($D$2:$D$501&lt;Y$7)*($E$2:$E$501&gt;=$H17)*($E$2:$E$501&lt;$H16)," ")))</f>
        <v xml:space="preserve"> </v>
      </c>
      <c r="Z16" t="str" cm="1">
        <f t="array" ref="Z16">_xlfn.TEXTJOIN(",",TRUE,(_xlfn._xlws.FILTER($A$2:$A$501,($D$2:$D$501&gt;=AA$7)*($D$2:$D$501&lt;Z$7)*($E$2:$E$501&gt;=$H17)*($E$2:$E$501&lt;$H16)," ")))</f>
        <v xml:space="preserve"> </v>
      </c>
      <c r="AA16" t="str" cm="1">
        <f t="array" ref="AA16">_xlfn.TEXTJOIN(",",TRUE,(_xlfn._xlws.FILTER($A$2:$A$501,($D$2:$D$501&gt;=AB$7)*($D$2:$D$501&lt;AA$7)*($E$2:$E$501&gt;=$H17)*($E$2:$E$501&lt;$H16)," ")))</f>
        <v xml:space="preserve"> </v>
      </c>
      <c r="AB16" t="str" cm="1">
        <f t="array" ref="AB16">_xlfn.TEXTJOIN(",",TRUE,(_xlfn._xlws.FILTER($A$2:$A$501,($D$2:$D$501&gt;=AC$7)*($D$2:$D$501&lt;AB$7)*($E$2:$E$501&gt;=$H17)*($E$2:$E$501&lt;$H16)," ")))</f>
        <v xml:space="preserve"> </v>
      </c>
      <c r="AC16" t="str" cm="1">
        <f t="array" ref="AC16">_xlfn.TEXTJOIN(",",TRUE,(_xlfn._xlws.FILTER($A$2:$A$501,($D$2:$D$501&gt;=AD$7)*($D$2:$D$501&lt;AC$7)*($E$2:$E$501&gt;=$H17)*($E$2:$E$501&lt;$H16)," ")))</f>
        <v xml:space="preserve"> </v>
      </c>
      <c r="AD16" t="str" cm="1">
        <f t="array" ref="AD16">_xlfn.TEXTJOIN(",",TRUE,(_xlfn._xlws.FILTER($A$2:$A$501,($D$2:$D$501&gt;=AE$7)*($D$2:$D$501&lt;AD$7)*($E$2:$E$501&gt;=$H17)*($E$2:$E$501&lt;$H16)," ")))</f>
        <v xml:space="preserve"> </v>
      </c>
      <c r="AE16" t="str" cm="1">
        <f t="array" ref="AE16">_xlfn.TEXTJOIN(",",TRUE,(_xlfn._xlws.FILTER($A$2:$A$501,($D$2:$D$501&gt;=AF$7)*($D$2:$D$501&lt;AE$7)*($E$2:$E$501&gt;=$H17)*($E$2:$E$501&lt;$H16)," ")))</f>
        <v xml:space="preserve"> </v>
      </c>
      <c r="AF16" t="str" cm="1">
        <f t="array" ref="AF16">_xlfn.TEXTJOIN(",",TRUE,(_xlfn._xlws.FILTER($A$2:$A$501,($D$2:$D$501&gt;=AG$7)*($D$2:$D$501&lt;AF$7)*($E$2:$E$501&gt;=$H17)*($E$2:$E$501&lt;$H16)," ")))</f>
        <v xml:space="preserve"> </v>
      </c>
      <c r="AG16" t="str" cm="1">
        <f t="array" ref="AG16">_xlfn.TEXTJOIN(",",TRUE,(_xlfn._xlws.FILTER($A$2:$A$501,($D$2:$D$501&gt;=AH$7)*($D$2:$D$501&lt;AG$7)*($E$2:$E$501&gt;=$H17)*($E$2:$E$501&lt;$H16)," ")))</f>
        <v xml:space="preserve"> </v>
      </c>
      <c r="AH16" t="str" cm="1">
        <f t="array" ref="AH16">_xlfn.TEXTJOIN(",",TRUE,(_xlfn._xlws.FILTER($A$2:$A$501,($D$2:$D$501&gt;=AI$7)*($D$2:$D$501&lt;AH$7)*($E$2:$E$501&gt;=$H17)*($E$2:$E$501&lt;$H16)," ")))</f>
        <v xml:space="preserve"> </v>
      </c>
      <c r="AI16" t="str" cm="1">
        <f t="array" ref="AI16">_xlfn.TEXTJOIN(",",TRUE,(_xlfn._xlws.FILTER($A$2:$A$501,($D$2:$D$501&gt;=AJ$7)*($D$2:$D$501&lt;AI$7)*($E$2:$E$501&gt;=$H17)*($E$2:$E$501&lt;$H16)," ")))</f>
        <v xml:space="preserve"> </v>
      </c>
      <c r="AJ16" t="str" cm="1">
        <f t="array" ref="AJ16">_xlfn.TEXTJOIN(",",TRUE,(_xlfn._xlws.FILTER($A$2:$A$501,($D$2:$D$501&gt;=AK$7)*($D$2:$D$501&lt;AJ$7)*($E$2:$E$501&gt;=$H17)*($E$2:$E$501&lt;$H16)," ")))</f>
        <v xml:space="preserve"> </v>
      </c>
      <c r="AK16" t="str" cm="1">
        <f t="array" ref="AK16">_xlfn.TEXTJOIN(",",TRUE,(_xlfn._xlws.FILTER($A$2:$A$501,($D$2:$D$501&gt;=AL$7)*($D$2:$D$501&lt;AK$7)*($E$2:$E$501&gt;=$H17)*($E$2:$E$501&lt;$H16)," ")))</f>
        <v xml:space="preserve"> </v>
      </c>
      <c r="AL16" t="str" cm="1">
        <f t="array" ref="AL16">_xlfn.TEXTJOIN(",",TRUE,(_xlfn._xlws.FILTER($A$2:$A$501,($D$2:$D$501&gt;=AM$7)*($D$2:$D$501&lt;AL$7)*($E$2:$E$501&gt;=$H17)*($E$2:$E$501&lt;$H16)," ")))</f>
        <v xml:space="preserve"> </v>
      </c>
      <c r="AM16" t="str" cm="1">
        <f t="array" ref="AM16">_xlfn.TEXTJOIN(",",TRUE,(_xlfn._xlws.FILTER($A$2:$A$501,($D$2:$D$501&gt;=AN$7)*($D$2:$D$501&lt;AM$7)*($E$2:$E$501&gt;=$H17)*($E$2:$E$501&lt;$H16)," ")))</f>
        <v xml:space="preserve"> </v>
      </c>
      <c r="AN16" t="str" cm="1">
        <f t="array" ref="AN16">_xlfn.TEXTJOIN(",",TRUE,(_xlfn._xlws.FILTER($A$2:$A$501,($D$2:$D$501&gt;=AO$7)*($D$2:$D$501&lt;AN$7)*($E$2:$E$501&gt;=$H17)*($E$2:$E$501&lt;$H16)," ")))</f>
        <v xml:space="preserve"> </v>
      </c>
      <c r="AO16" t="str" cm="1">
        <f t="array" ref="AO16">_xlfn.TEXTJOIN(",",TRUE,(_xlfn._xlws.FILTER($A$2:$A$501,($D$2:$D$501&gt;=AP$7)*($D$2:$D$501&lt;AO$7)*($E$2:$E$501&gt;=$H17)*($E$2:$E$501&lt;$H16)," ")))</f>
        <v xml:space="preserve"> </v>
      </c>
      <c r="AP16" t="str" cm="1">
        <f t="array" ref="AP16">_xlfn.TEXTJOIN(",",TRUE,(_xlfn._xlws.FILTER($A$2:$A$501,($D$2:$D$501&gt;=AQ$7)*($D$2:$D$501&lt;AP$7)*($E$2:$E$501&gt;=$H17)*($E$2:$E$501&lt;$H16)," ")))</f>
        <v xml:space="preserve"> </v>
      </c>
      <c r="AQ16" t="str" cm="1">
        <f t="array" ref="AQ16">_xlfn.TEXTJOIN(",",TRUE,(_xlfn._xlws.FILTER($A$2:$A$501,($D$2:$D$501&gt;=AR$7)*($D$2:$D$501&lt;AQ$7)*($E$2:$E$501&gt;=$H17)*($E$2:$E$501&lt;$H16)," ")))</f>
        <v xml:space="preserve"> </v>
      </c>
      <c r="AR16" t="str" cm="1">
        <f t="array" ref="AR16">_xlfn.TEXTJOIN(",",TRUE,(_xlfn._xlws.FILTER($A$2:$A$501,($D$2:$D$501&gt;=AS$7)*($D$2:$D$501&lt;AR$7)*($E$2:$E$501&gt;=$H17)*($E$2:$E$501&lt;$H16)," ")))</f>
        <v xml:space="preserve"> </v>
      </c>
      <c r="AS16" t="str" cm="1">
        <f t="array" ref="AS16">_xlfn.TEXTJOIN(",",TRUE,(_xlfn._xlws.FILTER($A$2:$A$501,($D$2:$D$501&gt;=AT$7)*($D$2:$D$501&lt;AS$7)*($E$2:$E$501&gt;=$H17)*($E$2:$E$501&lt;$H16)," ")))</f>
        <v xml:space="preserve"> </v>
      </c>
      <c r="AT16" t="str" cm="1">
        <f t="array" ref="AT16">_xlfn.TEXTJOIN(",",TRUE,(_xlfn._xlws.FILTER($A$2:$A$501,($D$2:$D$501&gt;=AU$7)*($D$2:$D$501&lt;AT$7)*($E$2:$E$501&gt;=$H17)*($E$2:$E$501&lt;$H16)," ")))</f>
        <v xml:space="preserve"> </v>
      </c>
      <c r="AU16" t="str" cm="1">
        <f t="array" ref="AU16">_xlfn.TEXTJOIN(",",TRUE,(_xlfn._xlws.FILTER($A$2:$A$501,($D$2:$D$501&gt;=AV$7)*($D$2:$D$501&lt;AU$7)*($E$2:$E$501&gt;=$H17)*($E$2:$E$501&lt;$H16)," ")))</f>
        <v xml:space="preserve"> </v>
      </c>
      <c r="AV16" t="str" cm="1">
        <f t="array" ref="AV16">_xlfn.TEXTJOIN(",",TRUE,(_xlfn._xlws.FILTER($A$2:$A$501,($D$2:$D$501&gt;=AW$7)*($D$2:$D$501&lt;AV$7)*($E$2:$E$501&gt;=$H17)*($E$2:$E$501&lt;$H16)," ")))</f>
        <v xml:space="preserve"> </v>
      </c>
      <c r="AW16" t="str" cm="1">
        <f t="array" ref="AW16">_xlfn.TEXTJOIN(",",TRUE,(_xlfn._xlws.FILTER($A$2:$A$501,($D$2:$D$501&gt;=AX$7)*($D$2:$D$501&lt;AW$7)*($E$2:$E$501&gt;=$H17)*($E$2:$E$501&lt;$H16)," ")))</f>
        <v xml:space="preserve"> </v>
      </c>
      <c r="AX16" t="str" cm="1">
        <f t="array" ref="AX16">_xlfn.TEXTJOIN(",",TRUE,(_xlfn._xlws.FILTER($A$2:$A$501,($D$2:$D$501&gt;=AY$7)*($D$2:$D$501&lt;AX$7)*($E$2:$E$501&gt;=$H17)*($E$2:$E$501&lt;$H16)," ")))</f>
        <v xml:space="preserve"> </v>
      </c>
      <c r="AY16" t="str" cm="1">
        <f t="array" ref="AY16">_xlfn.TEXTJOIN(",",TRUE,(_xlfn._xlws.FILTER($A$2:$A$501,($D$2:$D$501&gt;=AZ$7)*($D$2:$D$501&lt;AY$7)*($E$2:$E$501&gt;=$H17)*($E$2:$E$501&lt;$H16)," ")))</f>
        <v xml:space="preserve"> </v>
      </c>
      <c r="AZ16" t="str" cm="1">
        <f t="array" ref="AZ16">_xlfn.TEXTJOIN(",",TRUE,(_xlfn._xlws.FILTER($A$2:$A$501,($D$2:$D$501&gt;=BA$7)*($D$2:$D$501&lt;AZ$7)*($E$2:$E$501&gt;=$H17)*($E$2:$E$501&lt;$H16)," ")))</f>
        <v xml:space="preserve"> </v>
      </c>
      <c r="BA16" t="str" cm="1">
        <f t="array" ref="BA16">_xlfn.TEXTJOIN(",",TRUE,(_xlfn._xlws.FILTER($A$2:$A$501,($D$2:$D$501&gt;=BB$7)*($D$2:$D$501&lt;BA$7)*($E$2:$E$501&gt;=$H17)*($E$2:$E$501&lt;$H16)," ")))</f>
        <v xml:space="preserve"> </v>
      </c>
      <c r="BB16" t="str" cm="1">
        <f t="array" ref="BB16">_xlfn.TEXTJOIN(",",TRUE,(_xlfn._xlws.FILTER($A$2:$A$501,($D$2:$D$501&gt;=BC$7)*($D$2:$D$501&lt;BB$7)*($E$2:$E$501&gt;=$H17)*($E$2:$E$501&lt;$H16)," ")))</f>
        <v xml:space="preserve"> </v>
      </c>
    </row>
    <row r="17" spans="1:54" x14ac:dyDescent="0.2">
      <c r="A17" s="3" t="s">
        <v>443</v>
      </c>
      <c r="B17" s="3" t="s">
        <v>440</v>
      </c>
      <c r="C17" s="13">
        <v>2777028.03</v>
      </c>
      <c r="D17" s="15">
        <v>40031538.880000003</v>
      </c>
      <c r="E17" s="22">
        <f>TuitionRates3[[#This Row],[Tuition]]/D17</f>
        <v>6.9371003656005334E-2</v>
      </c>
      <c r="F17"/>
      <c r="H17" s="18">
        <v>0.14099999999999999</v>
      </c>
      <c r="I17" t="str" cm="1">
        <f t="array" ref="I17">_xlfn.TEXTJOIN(",",TRUE,(_xlfn._xlws.FILTER($A$2:$A$501,($D$2:$D$501&gt;=J$7)*($D$2:$D$501&lt;I$7)*($E$2:$E$501&gt;=$H18)*($E$2:$E$501&lt;$H17)," ")))</f>
        <v xml:space="preserve"> </v>
      </c>
      <c r="J17" t="str" cm="1">
        <f t="array" ref="J17">_xlfn.TEXTJOIN(",",TRUE,(_xlfn._xlws.FILTER($A$2:$A$501,($D$2:$D$501&gt;=K$7)*($D$2:$D$501&lt;J$7)*($E$2:$E$501&gt;=$H18)*($E$2:$E$501&lt;$H17)," ")))</f>
        <v xml:space="preserve"> </v>
      </c>
      <c r="K17" t="str" cm="1">
        <f t="array" ref="K17">_xlfn.TEXTJOIN(",",TRUE,(_xlfn._xlws.FILTER($A$2:$A$501,($D$2:$D$501&gt;=L$7)*($D$2:$D$501&lt;K$7)*($E$2:$E$501&gt;=$H18)*($E$2:$E$501&lt;$H17)," ")))</f>
        <v xml:space="preserve"> </v>
      </c>
      <c r="L17" t="str" cm="1">
        <f t="array" ref="L17">_xlfn.TEXTJOIN(",",TRUE,(_xlfn._xlws.FILTER($A$2:$A$501,($D$2:$D$501&gt;=M$7)*($D$2:$D$501&lt;L$7)*($E$2:$E$501&gt;=$H18)*($E$2:$E$501&lt;$H17)," ")))</f>
        <v xml:space="preserve"> </v>
      </c>
      <c r="M17" t="str" cm="1">
        <f t="array" ref="M17">_xlfn.TEXTJOIN(",",TRUE,(_xlfn._xlws.FILTER($A$2:$A$501,($D$2:$D$501&gt;=N$7)*($D$2:$D$501&lt;M$7)*($E$2:$E$501&gt;=$H18)*($E$2:$E$501&lt;$H17)," ")))</f>
        <v xml:space="preserve"> </v>
      </c>
      <c r="N17" t="str" cm="1">
        <f t="array" ref="N17">_xlfn.TEXTJOIN(",",TRUE,(_xlfn._xlws.FILTER($A$2:$A$501,($D$2:$D$501&gt;=O$7)*($D$2:$D$501&lt;N$7)*($E$2:$E$501&gt;=$H18)*($E$2:$E$501&lt;$H17)," ")))</f>
        <v xml:space="preserve"> </v>
      </c>
      <c r="O17" t="str" cm="1">
        <f t="array" ref="O17">_xlfn.TEXTJOIN(",",TRUE,(_xlfn._xlws.FILTER($A$2:$A$501,($D$2:$D$501&gt;=P$7)*($D$2:$D$501&lt;O$7)*($E$2:$E$501&gt;=$H18)*($E$2:$E$501&lt;$H17)," ")))</f>
        <v xml:space="preserve"> </v>
      </c>
      <c r="P17" t="str" cm="1">
        <f t="array" ref="P17">_xlfn.TEXTJOIN(",",TRUE,(_xlfn._xlws.FILTER($A$2:$A$501,($D$2:$D$501&gt;=Q$7)*($D$2:$D$501&lt;P$7)*($E$2:$E$501&gt;=$H18)*($E$2:$E$501&lt;$H17)," ")))</f>
        <v xml:space="preserve"> </v>
      </c>
      <c r="Q17" t="str" cm="1">
        <f t="array" ref="Q17">_xlfn.TEXTJOIN(",",TRUE,(_xlfn._xlws.FILTER($A$2:$A$501,($D$2:$D$501&gt;=R$7)*($D$2:$D$501&lt;Q$7)*($E$2:$E$501&gt;=$H18)*($E$2:$E$501&lt;$H17)," ")))</f>
        <v xml:space="preserve"> </v>
      </c>
      <c r="R17" t="str" cm="1">
        <f t="array" ref="R17">_xlfn.TEXTJOIN(",",TRUE,(_xlfn._xlws.FILTER($A$2:$A$501,($D$2:$D$501&gt;=S$7)*($D$2:$D$501&lt;R$7)*($E$2:$E$501&gt;=$H18)*($E$2:$E$501&lt;$H17)," ")))</f>
        <v xml:space="preserve"> </v>
      </c>
      <c r="S17" t="str" cm="1">
        <f t="array" ref="S17">_xlfn.TEXTJOIN(",",TRUE,(_xlfn._xlws.FILTER($A$2:$A$501,($D$2:$D$501&gt;=T$7)*($D$2:$D$501&lt;S$7)*($E$2:$E$501&gt;=$H18)*($E$2:$E$501&lt;$H17)," ")))</f>
        <v xml:space="preserve"> </v>
      </c>
      <c r="T17" t="str" cm="1">
        <f t="array" ref="T17">_xlfn.TEXTJOIN(",",TRUE,(_xlfn._xlws.FILTER($A$2:$A$501,($D$2:$D$501&gt;=U$7)*($D$2:$D$501&lt;T$7)*($E$2:$E$501&gt;=$H18)*($E$2:$E$501&lt;$H17)," ")))</f>
        <v xml:space="preserve"> </v>
      </c>
      <c r="U17" t="str" cm="1">
        <f t="array" ref="U17">_xlfn.TEXTJOIN(",",TRUE,(_xlfn._xlws.FILTER($A$2:$A$501,($D$2:$D$501&gt;=V$7)*($D$2:$D$501&lt;U$7)*($E$2:$E$501&gt;=$H18)*($E$2:$E$501&lt;$H17)," ")))</f>
        <v xml:space="preserve"> </v>
      </c>
      <c r="V17" t="str" cm="1">
        <f t="array" ref="V17">_xlfn.TEXTJOIN(",",TRUE,(_xlfn._xlws.FILTER($A$2:$A$501,($D$2:$D$501&gt;=W$7)*($D$2:$D$501&lt;V$7)*($E$2:$E$501&gt;=$H18)*($E$2:$E$501&lt;$H17)," ")))</f>
        <v xml:space="preserve"> </v>
      </c>
      <c r="W17" t="str" cm="1">
        <f t="array" ref="W17">_xlfn.TEXTJOIN(",",TRUE,(_xlfn._xlws.FILTER($A$2:$A$501,($D$2:$D$501&gt;=X$7)*($D$2:$D$501&lt;W$7)*($E$2:$E$501&gt;=$H18)*($E$2:$E$501&lt;$H17)," ")))</f>
        <v xml:space="preserve"> </v>
      </c>
      <c r="X17" t="str" cm="1">
        <f t="array" ref="X17">_xlfn.TEXTJOIN(",",TRUE,(_xlfn._xlws.FILTER($A$2:$A$501,($D$2:$D$501&gt;=Y$7)*($D$2:$D$501&lt;X$7)*($E$2:$E$501&gt;=$H18)*($E$2:$E$501&lt;$H17)," ")))</f>
        <v xml:space="preserve"> </v>
      </c>
      <c r="Y17" t="str" cm="1">
        <f t="array" ref="Y17">_xlfn.TEXTJOIN(",",TRUE,(_xlfn._xlws.FILTER($A$2:$A$501,($D$2:$D$501&gt;=Z$7)*($D$2:$D$501&lt;Y$7)*($E$2:$E$501&gt;=$H18)*($E$2:$E$501&lt;$H17)," ")))</f>
        <v xml:space="preserve"> </v>
      </c>
      <c r="Z17" t="str" cm="1">
        <f t="array" ref="Z17">_xlfn.TEXTJOIN(",",TRUE,(_xlfn._xlws.FILTER($A$2:$A$501,($D$2:$D$501&gt;=AA$7)*($D$2:$D$501&lt;Z$7)*($E$2:$E$501&gt;=$H18)*($E$2:$E$501&lt;$H17)," ")))</f>
        <v xml:space="preserve"> </v>
      </c>
      <c r="AA17" t="str" cm="1">
        <f t="array" ref="AA17">_xlfn.TEXTJOIN(",",TRUE,(_xlfn._xlws.FILTER($A$2:$A$501,($D$2:$D$501&gt;=AB$7)*($D$2:$D$501&lt;AA$7)*($E$2:$E$501&gt;=$H18)*($E$2:$E$501&lt;$H17)," ")))</f>
        <v xml:space="preserve"> </v>
      </c>
      <c r="AB17" t="str" cm="1">
        <f t="array" ref="AB17">_xlfn.TEXTJOIN(",",TRUE,(_xlfn._xlws.FILTER($A$2:$A$501,($D$2:$D$501&gt;=AC$7)*($D$2:$D$501&lt;AB$7)*($E$2:$E$501&gt;=$H18)*($E$2:$E$501&lt;$H17)," ")))</f>
        <v xml:space="preserve"> </v>
      </c>
      <c r="AC17" t="str" cm="1">
        <f t="array" ref="AC17">_xlfn.TEXTJOIN(",",TRUE,(_xlfn._xlws.FILTER($A$2:$A$501,($D$2:$D$501&gt;=AD$7)*($D$2:$D$501&lt;AC$7)*($E$2:$E$501&gt;=$H18)*($E$2:$E$501&lt;$H17)," ")))</f>
        <v xml:space="preserve"> </v>
      </c>
      <c r="AD17" t="str" cm="1">
        <f t="array" ref="AD17">_xlfn.TEXTJOIN(",",TRUE,(_xlfn._xlws.FILTER($A$2:$A$501,($D$2:$D$501&gt;=AE$7)*($D$2:$D$501&lt;AD$7)*($E$2:$E$501&gt;=$H18)*($E$2:$E$501&lt;$H17)," ")))</f>
        <v xml:space="preserve"> </v>
      </c>
      <c r="AE17" t="str" cm="1">
        <f t="array" ref="AE17">_xlfn.TEXTJOIN(",",TRUE,(_xlfn._xlws.FILTER($A$2:$A$501,($D$2:$D$501&gt;=AF$7)*($D$2:$D$501&lt;AE$7)*($E$2:$E$501&gt;=$H18)*($E$2:$E$501&lt;$H17)," ")))</f>
        <v xml:space="preserve"> </v>
      </c>
      <c r="AF17" t="str" cm="1">
        <f t="array" ref="AF17">_xlfn.TEXTJOIN(",",TRUE,(_xlfn._xlws.FILTER($A$2:$A$501,($D$2:$D$501&gt;=AG$7)*($D$2:$D$501&lt;AF$7)*($E$2:$E$501&gt;=$H18)*($E$2:$E$501&lt;$H17)," ")))</f>
        <v xml:space="preserve"> </v>
      </c>
      <c r="AG17" t="str" cm="1">
        <f t="array" ref="AG17">_xlfn.TEXTJOIN(",",TRUE,(_xlfn._xlws.FILTER($A$2:$A$501,($D$2:$D$501&gt;=AH$7)*($D$2:$D$501&lt;AG$7)*($E$2:$E$501&gt;=$H18)*($E$2:$E$501&lt;$H17)," ")))</f>
        <v xml:space="preserve"> </v>
      </c>
      <c r="AH17" t="str" cm="1">
        <f t="array" ref="AH17">_xlfn.TEXTJOIN(",",TRUE,(_xlfn._xlws.FILTER($A$2:$A$501,($D$2:$D$501&gt;=AI$7)*($D$2:$D$501&lt;AH$7)*($E$2:$E$501&gt;=$H18)*($E$2:$E$501&lt;$H17)," ")))</f>
        <v xml:space="preserve"> </v>
      </c>
      <c r="AI17" t="str" cm="1">
        <f t="array" ref="AI17">_xlfn.TEXTJOIN(",",TRUE,(_xlfn._xlws.FILTER($A$2:$A$501,($D$2:$D$501&gt;=AJ$7)*($D$2:$D$501&lt;AI$7)*($E$2:$E$501&gt;=$H18)*($E$2:$E$501&lt;$H17)," ")))</f>
        <v xml:space="preserve"> </v>
      </c>
      <c r="AJ17" t="str" cm="1">
        <f t="array" ref="AJ17">_xlfn.TEXTJOIN(",",TRUE,(_xlfn._xlws.FILTER($A$2:$A$501,($D$2:$D$501&gt;=AK$7)*($D$2:$D$501&lt;AJ$7)*($E$2:$E$501&gt;=$H18)*($E$2:$E$501&lt;$H17)," ")))</f>
        <v xml:space="preserve"> </v>
      </c>
      <c r="AK17" t="str" cm="1">
        <f t="array" ref="AK17">_xlfn.TEXTJOIN(",",TRUE,(_xlfn._xlws.FILTER($A$2:$A$501,($D$2:$D$501&gt;=AL$7)*($D$2:$D$501&lt;AK$7)*($E$2:$E$501&gt;=$H18)*($E$2:$E$501&lt;$H17)," ")))</f>
        <v xml:space="preserve"> </v>
      </c>
      <c r="AL17" t="str" cm="1">
        <f t="array" ref="AL17">_xlfn.TEXTJOIN(",",TRUE,(_xlfn._xlws.FILTER($A$2:$A$501,($D$2:$D$501&gt;=AM$7)*($D$2:$D$501&lt;AL$7)*($E$2:$E$501&gt;=$H18)*($E$2:$E$501&lt;$H17)," ")))</f>
        <v xml:space="preserve"> </v>
      </c>
      <c r="AM17" t="str" cm="1">
        <f t="array" ref="AM17">_xlfn.TEXTJOIN(",",TRUE,(_xlfn._xlws.FILTER($A$2:$A$501,($D$2:$D$501&gt;=AN$7)*($D$2:$D$501&lt;AM$7)*($E$2:$E$501&gt;=$H18)*($E$2:$E$501&lt;$H17)," ")))</f>
        <v xml:space="preserve"> </v>
      </c>
      <c r="AN17" t="str" cm="1">
        <f t="array" ref="AN17">_xlfn.TEXTJOIN(",",TRUE,(_xlfn._xlws.FILTER($A$2:$A$501,($D$2:$D$501&gt;=AO$7)*($D$2:$D$501&lt;AN$7)*($E$2:$E$501&gt;=$H18)*($E$2:$E$501&lt;$H17)," ")))</f>
        <v xml:space="preserve"> </v>
      </c>
      <c r="AO17" t="str" cm="1">
        <f t="array" ref="AO17">_xlfn.TEXTJOIN(",",TRUE,(_xlfn._xlws.FILTER($A$2:$A$501,($D$2:$D$501&gt;=AP$7)*($D$2:$D$501&lt;AO$7)*($E$2:$E$501&gt;=$H18)*($E$2:$E$501&lt;$H17)," ")))</f>
        <v xml:space="preserve"> </v>
      </c>
      <c r="AP17" t="str" cm="1">
        <f t="array" ref="AP17">_xlfn.TEXTJOIN(",",TRUE,(_xlfn._xlws.FILTER($A$2:$A$501,($D$2:$D$501&gt;=AQ$7)*($D$2:$D$501&lt;AP$7)*($E$2:$E$501&gt;=$H18)*($E$2:$E$501&lt;$H17)," ")))</f>
        <v xml:space="preserve"> </v>
      </c>
      <c r="AQ17" t="str" cm="1">
        <f t="array" ref="AQ17">_xlfn.TEXTJOIN(",",TRUE,(_xlfn._xlws.FILTER($A$2:$A$501,($D$2:$D$501&gt;=AR$7)*($D$2:$D$501&lt;AQ$7)*($E$2:$E$501&gt;=$H18)*($E$2:$E$501&lt;$H17)," ")))</f>
        <v xml:space="preserve"> </v>
      </c>
      <c r="AR17" t="str" cm="1">
        <f t="array" ref="AR17">_xlfn.TEXTJOIN(",",TRUE,(_xlfn._xlws.FILTER($A$2:$A$501,($D$2:$D$501&gt;=AS$7)*($D$2:$D$501&lt;AR$7)*($E$2:$E$501&gt;=$H18)*($E$2:$E$501&lt;$H17)," ")))</f>
        <v xml:space="preserve"> </v>
      </c>
      <c r="AS17" t="str" cm="1">
        <f t="array" ref="AS17">_xlfn.TEXTJOIN(",",TRUE,(_xlfn._xlws.FILTER($A$2:$A$501,($D$2:$D$501&gt;=AT$7)*($D$2:$D$501&lt;AS$7)*($E$2:$E$501&gt;=$H18)*($E$2:$E$501&lt;$H17)," ")))</f>
        <v xml:space="preserve"> </v>
      </c>
      <c r="AT17" t="str" cm="1">
        <f t="array" ref="AT17">_xlfn.TEXTJOIN(",",TRUE,(_xlfn._xlws.FILTER($A$2:$A$501,($D$2:$D$501&gt;=AU$7)*($D$2:$D$501&lt;AT$7)*($E$2:$E$501&gt;=$H18)*($E$2:$E$501&lt;$H17)," ")))</f>
        <v xml:space="preserve"> </v>
      </c>
      <c r="AU17" t="str" cm="1">
        <f t="array" ref="AU17">_xlfn.TEXTJOIN(",",TRUE,(_xlfn._xlws.FILTER($A$2:$A$501,($D$2:$D$501&gt;=AV$7)*($D$2:$D$501&lt;AU$7)*($E$2:$E$501&gt;=$H18)*($E$2:$E$501&lt;$H17)," ")))</f>
        <v xml:space="preserve"> </v>
      </c>
      <c r="AV17" t="str" cm="1">
        <f t="array" ref="AV17">_xlfn.TEXTJOIN(",",TRUE,(_xlfn._xlws.FILTER($A$2:$A$501,($D$2:$D$501&gt;=AW$7)*($D$2:$D$501&lt;AV$7)*($E$2:$E$501&gt;=$H18)*($E$2:$E$501&lt;$H17)," ")))</f>
        <v xml:space="preserve"> </v>
      </c>
      <c r="AW17" t="str" cm="1">
        <f t="array" ref="AW17">_xlfn.TEXTJOIN(",",TRUE,(_xlfn._xlws.FILTER($A$2:$A$501,($D$2:$D$501&gt;=AX$7)*($D$2:$D$501&lt;AW$7)*($E$2:$E$501&gt;=$H18)*($E$2:$E$501&lt;$H17)," ")))</f>
        <v xml:space="preserve"> </v>
      </c>
      <c r="AX17" t="str" cm="1">
        <f t="array" ref="AX17">_xlfn.TEXTJOIN(",",TRUE,(_xlfn._xlws.FILTER($A$2:$A$501,($D$2:$D$501&gt;=AY$7)*($D$2:$D$501&lt;AX$7)*($E$2:$E$501&gt;=$H18)*($E$2:$E$501&lt;$H17)," ")))</f>
        <v xml:space="preserve"> </v>
      </c>
      <c r="AY17" t="str" cm="1">
        <f t="array" ref="AY17">_xlfn.TEXTJOIN(",",TRUE,(_xlfn._xlws.FILTER($A$2:$A$501,($D$2:$D$501&gt;=AZ$7)*($D$2:$D$501&lt;AY$7)*($E$2:$E$501&gt;=$H18)*($E$2:$E$501&lt;$H17)," ")))</f>
        <v xml:space="preserve"> </v>
      </c>
      <c r="AZ17" t="str" cm="1">
        <f t="array" ref="AZ17">_xlfn.TEXTJOIN(",",TRUE,(_xlfn._xlws.FILTER($A$2:$A$501,($D$2:$D$501&gt;=BA$7)*($D$2:$D$501&lt;AZ$7)*($E$2:$E$501&gt;=$H18)*($E$2:$E$501&lt;$H17)," ")))</f>
        <v xml:space="preserve"> </v>
      </c>
      <c r="BA17" t="str" cm="1">
        <f t="array" ref="BA17">_xlfn.TEXTJOIN(",",TRUE,(_xlfn._xlws.FILTER($A$2:$A$501,($D$2:$D$501&gt;=BB$7)*($D$2:$D$501&lt;BA$7)*($E$2:$E$501&gt;=$H18)*($E$2:$E$501&lt;$H17)," ")))</f>
        <v xml:space="preserve"> </v>
      </c>
      <c r="BB17" t="str" cm="1">
        <f t="array" ref="BB17">_xlfn.TEXTJOIN(",",TRUE,(_xlfn._xlws.FILTER($A$2:$A$501,($D$2:$D$501&gt;=BC$7)*($D$2:$D$501&lt;BB$7)*($E$2:$E$501&gt;=$H18)*($E$2:$E$501&lt;$H17)," ")))</f>
        <v xml:space="preserve"> </v>
      </c>
    </row>
    <row r="18" spans="1:54" x14ac:dyDescent="0.2">
      <c r="A18" s="3" t="s">
        <v>288</v>
      </c>
      <c r="B18" s="3" t="s">
        <v>286</v>
      </c>
      <c r="C18" s="13">
        <v>1649903.77</v>
      </c>
      <c r="D18" s="15">
        <v>24204461.739999998</v>
      </c>
      <c r="E18" s="22">
        <f>TuitionRates3[[#This Row],[Tuition]]/D18</f>
        <v>6.8165274143377835E-2</v>
      </c>
      <c r="F18"/>
      <c r="H18" s="18">
        <v>0.14000000000000001</v>
      </c>
      <c r="I18" t="str" cm="1">
        <f t="array" ref="I18">_xlfn.TEXTJOIN(",",TRUE,(_xlfn._xlws.FILTER($A$2:$A$501,($D$2:$D$501&gt;=J$7)*($D$2:$D$501&lt;I$7)*($E$2:$E$501&gt;=$H19)*($E$2:$E$501&lt;$H18)," ")))</f>
        <v xml:space="preserve"> </v>
      </c>
      <c r="J18" t="str" cm="1">
        <f t="array" ref="J18">_xlfn.TEXTJOIN(",",TRUE,(_xlfn._xlws.FILTER($A$2:$A$501,($D$2:$D$501&gt;=K$7)*($D$2:$D$501&lt;J$7)*($E$2:$E$501&gt;=$H19)*($E$2:$E$501&lt;$H18)," ")))</f>
        <v xml:space="preserve"> </v>
      </c>
      <c r="K18" t="str" cm="1">
        <f t="array" ref="K18">_xlfn.TEXTJOIN(",",TRUE,(_xlfn._xlws.FILTER($A$2:$A$501,($D$2:$D$501&gt;=L$7)*($D$2:$D$501&lt;K$7)*($E$2:$E$501&gt;=$H19)*($E$2:$E$501&lt;$H18)," ")))</f>
        <v xml:space="preserve"> </v>
      </c>
      <c r="L18" t="str" cm="1">
        <f t="array" ref="L18">_xlfn.TEXTJOIN(",",TRUE,(_xlfn._xlws.FILTER($A$2:$A$501,($D$2:$D$501&gt;=M$7)*($D$2:$D$501&lt;L$7)*($E$2:$E$501&gt;=$H19)*($E$2:$E$501&lt;$H18)," ")))</f>
        <v xml:space="preserve"> </v>
      </c>
      <c r="M18" t="str" cm="1">
        <f t="array" ref="M18">_xlfn.TEXTJOIN(",",TRUE,(_xlfn._xlws.FILTER($A$2:$A$501,($D$2:$D$501&gt;=N$7)*($D$2:$D$501&lt;M$7)*($E$2:$E$501&gt;=$H19)*($E$2:$E$501&lt;$H18)," ")))</f>
        <v xml:space="preserve"> </v>
      </c>
      <c r="N18" t="str" cm="1">
        <f t="array" ref="N18">_xlfn.TEXTJOIN(",",TRUE,(_xlfn._xlws.FILTER($A$2:$A$501,($D$2:$D$501&gt;=O$7)*($D$2:$D$501&lt;N$7)*($E$2:$E$501&gt;=$H19)*($E$2:$E$501&lt;$H18)," ")))</f>
        <v xml:space="preserve"> </v>
      </c>
      <c r="O18" t="str" cm="1">
        <f t="array" ref="O18">_xlfn.TEXTJOIN(",",TRUE,(_xlfn._xlws.FILTER($A$2:$A$501,($D$2:$D$501&gt;=P$7)*($D$2:$D$501&lt;O$7)*($E$2:$E$501&gt;=$H19)*($E$2:$E$501&lt;$H18)," ")))</f>
        <v xml:space="preserve"> </v>
      </c>
      <c r="P18" t="str" cm="1">
        <f t="array" ref="P18">_xlfn.TEXTJOIN(",",TRUE,(_xlfn._xlws.FILTER($A$2:$A$501,($D$2:$D$501&gt;=Q$7)*($D$2:$D$501&lt;P$7)*($E$2:$E$501&gt;=$H19)*($E$2:$E$501&lt;$H18)," ")))</f>
        <v xml:space="preserve"> </v>
      </c>
      <c r="Q18" t="str" cm="1">
        <f t="array" ref="Q18">_xlfn.TEXTJOIN(",",TRUE,(_xlfn._xlws.FILTER($A$2:$A$501,($D$2:$D$501&gt;=R$7)*($D$2:$D$501&lt;Q$7)*($E$2:$E$501&gt;=$H19)*($E$2:$E$501&lt;$H18)," ")))</f>
        <v xml:space="preserve"> </v>
      </c>
      <c r="R18" t="str" cm="1">
        <f t="array" ref="R18">_xlfn.TEXTJOIN(",",TRUE,(_xlfn._xlws.FILTER($A$2:$A$501,($D$2:$D$501&gt;=S$7)*($D$2:$D$501&lt;R$7)*($E$2:$E$501&gt;=$H19)*($E$2:$E$501&lt;$H18)," ")))</f>
        <v xml:space="preserve"> </v>
      </c>
      <c r="S18" t="str" cm="1">
        <f t="array" ref="S18">_xlfn.TEXTJOIN(",",TRUE,(_xlfn._xlws.FILTER($A$2:$A$501,($D$2:$D$501&gt;=T$7)*($D$2:$D$501&lt;S$7)*($E$2:$E$501&gt;=$H19)*($E$2:$E$501&lt;$H18)," ")))</f>
        <v xml:space="preserve"> </v>
      </c>
      <c r="T18" t="str" cm="1">
        <f t="array" ref="T18">_xlfn.TEXTJOIN(",",TRUE,(_xlfn._xlws.FILTER($A$2:$A$501,($D$2:$D$501&gt;=U$7)*($D$2:$D$501&lt;T$7)*($E$2:$E$501&gt;=$H19)*($E$2:$E$501&lt;$H18)," ")))</f>
        <v xml:space="preserve"> </v>
      </c>
      <c r="U18" t="str" cm="1">
        <f t="array" ref="U18">_xlfn.TEXTJOIN(",",TRUE,(_xlfn._xlws.FILTER($A$2:$A$501,($D$2:$D$501&gt;=V$7)*($D$2:$D$501&lt;U$7)*($E$2:$E$501&gt;=$H19)*($E$2:$E$501&lt;$H18)," ")))</f>
        <v xml:space="preserve"> </v>
      </c>
      <c r="V18" t="str" cm="1">
        <f t="array" ref="V18">_xlfn.TEXTJOIN(",",TRUE,(_xlfn._xlws.FILTER($A$2:$A$501,($D$2:$D$501&gt;=W$7)*($D$2:$D$501&lt;V$7)*($E$2:$E$501&gt;=$H19)*($E$2:$E$501&lt;$H18)," ")))</f>
        <v xml:space="preserve"> </v>
      </c>
      <c r="W18" t="str" cm="1">
        <f t="array" ref="W18">_xlfn.TEXTJOIN(",",TRUE,(_xlfn._xlws.FILTER($A$2:$A$501,($D$2:$D$501&gt;=X$7)*($D$2:$D$501&lt;W$7)*($E$2:$E$501&gt;=$H19)*($E$2:$E$501&lt;$H18)," ")))</f>
        <v xml:space="preserve"> </v>
      </c>
      <c r="X18" t="str" cm="1">
        <f t="array" ref="X18">_xlfn.TEXTJOIN(",",TRUE,(_xlfn._xlws.FILTER($A$2:$A$501,($D$2:$D$501&gt;=Y$7)*($D$2:$D$501&lt;X$7)*($E$2:$E$501&gt;=$H19)*($E$2:$E$501&lt;$H18)," ")))</f>
        <v xml:space="preserve"> </v>
      </c>
      <c r="Y18" t="str" cm="1">
        <f t="array" ref="Y18">_xlfn.TEXTJOIN(",",TRUE,(_xlfn._xlws.FILTER($A$2:$A$501,($D$2:$D$501&gt;=Z$7)*($D$2:$D$501&lt;Y$7)*($E$2:$E$501&gt;=$H19)*($E$2:$E$501&lt;$H18)," ")))</f>
        <v xml:space="preserve"> </v>
      </c>
      <c r="Z18" t="str" cm="1">
        <f t="array" ref="Z18">_xlfn.TEXTJOIN(",",TRUE,(_xlfn._xlws.FILTER($A$2:$A$501,($D$2:$D$501&gt;=AA$7)*($D$2:$D$501&lt;Z$7)*($E$2:$E$501&gt;=$H19)*($E$2:$E$501&lt;$H18)," ")))</f>
        <v xml:space="preserve"> </v>
      </c>
      <c r="AA18" t="str" cm="1">
        <f t="array" ref="AA18">_xlfn.TEXTJOIN(",",TRUE,(_xlfn._xlws.FILTER($A$2:$A$501,($D$2:$D$501&gt;=AB$7)*($D$2:$D$501&lt;AA$7)*($E$2:$E$501&gt;=$H19)*($E$2:$E$501&lt;$H18)," ")))</f>
        <v xml:space="preserve"> </v>
      </c>
      <c r="AB18" t="str" cm="1">
        <f t="array" ref="AB18">_xlfn.TEXTJOIN(",",TRUE,(_xlfn._xlws.FILTER($A$2:$A$501,($D$2:$D$501&gt;=AC$7)*($D$2:$D$501&lt;AB$7)*($E$2:$E$501&gt;=$H19)*($E$2:$E$501&lt;$H18)," ")))</f>
        <v xml:space="preserve"> </v>
      </c>
      <c r="AC18" t="str" cm="1">
        <f t="array" ref="AC18">_xlfn.TEXTJOIN(",",TRUE,(_xlfn._xlws.FILTER($A$2:$A$501,($D$2:$D$501&gt;=AD$7)*($D$2:$D$501&lt;AC$7)*($E$2:$E$501&gt;=$H19)*($E$2:$E$501&lt;$H18)," ")))</f>
        <v xml:space="preserve"> </v>
      </c>
      <c r="AD18" t="str" cm="1">
        <f t="array" ref="AD18">_xlfn.TEXTJOIN(",",TRUE,(_xlfn._xlws.FILTER($A$2:$A$501,($D$2:$D$501&gt;=AE$7)*($D$2:$D$501&lt;AD$7)*($E$2:$E$501&gt;=$H19)*($E$2:$E$501&lt;$H18)," ")))</f>
        <v xml:space="preserve"> </v>
      </c>
      <c r="AE18" t="str" cm="1">
        <f t="array" ref="AE18">_xlfn.TEXTJOIN(",",TRUE,(_xlfn._xlws.FILTER($A$2:$A$501,($D$2:$D$501&gt;=AF$7)*($D$2:$D$501&lt;AE$7)*($E$2:$E$501&gt;=$H19)*($E$2:$E$501&lt;$H18)," ")))</f>
        <v xml:space="preserve"> </v>
      </c>
      <c r="AF18" t="str" cm="1">
        <f t="array" ref="AF18">_xlfn.TEXTJOIN(",",TRUE,(_xlfn._xlws.FILTER($A$2:$A$501,($D$2:$D$501&gt;=AG$7)*($D$2:$D$501&lt;AF$7)*($E$2:$E$501&gt;=$H19)*($E$2:$E$501&lt;$H18)," ")))</f>
        <v xml:space="preserve"> </v>
      </c>
      <c r="AG18" t="str" cm="1">
        <f t="array" ref="AG18">_xlfn.TEXTJOIN(",",TRUE,(_xlfn._xlws.FILTER($A$2:$A$501,($D$2:$D$501&gt;=AH$7)*($D$2:$D$501&lt;AG$7)*($E$2:$E$501&gt;=$H19)*($E$2:$E$501&lt;$H18)," ")))</f>
        <v xml:space="preserve"> </v>
      </c>
      <c r="AH18" t="str" cm="1">
        <f t="array" ref="AH18">_xlfn.TEXTJOIN(",",TRUE,(_xlfn._xlws.FILTER($A$2:$A$501,($D$2:$D$501&gt;=AI$7)*($D$2:$D$501&lt;AH$7)*($E$2:$E$501&gt;=$H19)*($E$2:$E$501&lt;$H18)," ")))</f>
        <v xml:space="preserve"> </v>
      </c>
      <c r="AI18" t="str" cm="1">
        <f t="array" ref="AI18">_xlfn.TEXTJOIN(",",TRUE,(_xlfn._xlws.FILTER($A$2:$A$501,($D$2:$D$501&gt;=AJ$7)*($D$2:$D$501&lt;AI$7)*($E$2:$E$501&gt;=$H19)*($E$2:$E$501&lt;$H18)," ")))</f>
        <v xml:space="preserve"> </v>
      </c>
      <c r="AJ18" t="str" cm="1">
        <f t="array" ref="AJ18">_xlfn.TEXTJOIN(",",TRUE,(_xlfn._xlws.FILTER($A$2:$A$501,($D$2:$D$501&gt;=AK$7)*($D$2:$D$501&lt;AJ$7)*($E$2:$E$501&gt;=$H19)*($E$2:$E$501&lt;$H18)," ")))</f>
        <v xml:space="preserve"> </v>
      </c>
      <c r="AK18" t="str" cm="1">
        <f t="array" ref="AK18">_xlfn.TEXTJOIN(",",TRUE,(_xlfn._xlws.FILTER($A$2:$A$501,($D$2:$D$501&gt;=AL$7)*($D$2:$D$501&lt;AK$7)*($E$2:$E$501&gt;=$H19)*($E$2:$E$501&lt;$H18)," ")))</f>
        <v xml:space="preserve"> </v>
      </c>
      <c r="AL18" t="str" cm="1">
        <f t="array" ref="AL18">_xlfn.TEXTJOIN(",",TRUE,(_xlfn._xlws.FILTER($A$2:$A$501,($D$2:$D$501&gt;=AM$7)*($D$2:$D$501&lt;AL$7)*($E$2:$E$501&gt;=$H19)*($E$2:$E$501&lt;$H18)," ")))</f>
        <v xml:space="preserve"> </v>
      </c>
      <c r="AM18" t="str" cm="1">
        <f t="array" ref="AM18">_xlfn.TEXTJOIN(",",TRUE,(_xlfn._xlws.FILTER($A$2:$A$501,($D$2:$D$501&gt;=AN$7)*($D$2:$D$501&lt;AM$7)*($E$2:$E$501&gt;=$H19)*($E$2:$E$501&lt;$H18)," ")))</f>
        <v xml:space="preserve"> </v>
      </c>
      <c r="AN18" t="str" cm="1">
        <f t="array" ref="AN18">_xlfn.TEXTJOIN(",",TRUE,(_xlfn._xlws.FILTER($A$2:$A$501,($D$2:$D$501&gt;=AO$7)*($D$2:$D$501&lt;AN$7)*($E$2:$E$501&gt;=$H19)*($E$2:$E$501&lt;$H18)," ")))</f>
        <v xml:space="preserve"> </v>
      </c>
      <c r="AO18" t="str" cm="1">
        <f t="array" ref="AO18">_xlfn.TEXTJOIN(",",TRUE,(_xlfn._xlws.FILTER($A$2:$A$501,($D$2:$D$501&gt;=AP$7)*($D$2:$D$501&lt;AO$7)*($E$2:$E$501&gt;=$H19)*($E$2:$E$501&lt;$H18)," ")))</f>
        <v xml:space="preserve"> </v>
      </c>
      <c r="AP18" t="str" cm="1">
        <f t="array" ref="AP18">_xlfn.TEXTJOIN(",",TRUE,(_xlfn._xlws.FILTER($A$2:$A$501,($D$2:$D$501&gt;=AQ$7)*($D$2:$D$501&lt;AP$7)*($E$2:$E$501&gt;=$H19)*($E$2:$E$501&lt;$H18)," ")))</f>
        <v xml:space="preserve"> </v>
      </c>
      <c r="AQ18" t="str" cm="1">
        <f t="array" ref="AQ18">_xlfn.TEXTJOIN(",",TRUE,(_xlfn._xlws.FILTER($A$2:$A$501,($D$2:$D$501&gt;=AR$7)*($D$2:$D$501&lt;AQ$7)*($E$2:$E$501&gt;=$H19)*($E$2:$E$501&lt;$H18)," ")))</f>
        <v xml:space="preserve"> </v>
      </c>
      <c r="AR18" t="str" cm="1">
        <f t="array" ref="AR18">_xlfn.TEXTJOIN(",",TRUE,(_xlfn._xlws.FILTER($A$2:$A$501,($D$2:$D$501&gt;=AS$7)*($D$2:$D$501&lt;AR$7)*($E$2:$E$501&gt;=$H19)*($E$2:$E$501&lt;$H18)," ")))</f>
        <v xml:space="preserve"> </v>
      </c>
      <c r="AS18" t="str" cm="1">
        <f t="array" ref="AS18">_xlfn.TEXTJOIN(",",TRUE,(_xlfn._xlws.FILTER($A$2:$A$501,($D$2:$D$501&gt;=AT$7)*($D$2:$D$501&lt;AS$7)*($E$2:$E$501&gt;=$H19)*($E$2:$E$501&lt;$H18)," ")))</f>
        <v xml:space="preserve"> </v>
      </c>
      <c r="AT18" t="str" cm="1">
        <f t="array" ref="AT18">_xlfn.TEXTJOIN(",",TRUE,(_xlfn._xlws.FILTER($A$2:$A$501,($D$2:$D$501&gt;=AU$7)*($D$2:$D$501&lt;AT$7)*($E$2:$E$501&gt;=$H19)*($E$2:$E$501&lt;$H18)," ")))</f>
        <v xml:space="preserve"> </v>
      </c>
      <c r="AU18" t="str" cm="1">
        <f t="array" ref="AU18">_xlfn.TEXTJOIN(",",TRUE,(_xlfn._xlws.FILTER($A$2:$A$501,($D$2:$D$501&gt;=AV$7)*($D$2:$D$501&lt;AU$7)*($E$2:$E$501&gt;=$H19)*($E$2:$E$501&lt;$H18)," ")))</f>
        <v xml:space="preserve"> </v>
      </c>
      <c r="AV18" t="str" cm="1">
        <f t="array" ref="AV18">_xlfn.TEXTJOIN(",",TRUE,(_xlfn._xlws.FILTER($A$2:$A$501,($D$2:$D$501&gt;=AW$7)*($D$2:$D$501&lt;AV$7)*($E$2:$E$501&gt;=$H19)*($E$2:$E$501&lt;$H18)," ")))</f>
        <v xml:space="preserve"> </v>
      </c>
      <c r="AW18" t="str" cm="1">
        <f t="array" ref="AW18">_xlfn.TEXTJOIN(",",TRUE,(_xlfn._xlws.FILTER($A$2:$A$501,($D$2:$D$501&gt;=AX$7)*($D$2:$D$501&lt;AW$7)*($E$2:$E$501&gt;=$H19)*($E$2:$E$501&lt;$H18)," ")))</f>
        <v xml:space="preserve"> </v>
      </c>
      <c r="AX18" t="str" cm="1">
        <f t="array" ref="AX18">_xlfn.TEXTJOIN(",",TRUE,(_xlfn._xlws.FILTER($A$2:$A$501,($D$2:$D$501&gt;=AY$7)*($D$2:$D$501&lt;AX$7)*($E$2:$E$501&gt;=$H19)*($E$2:$E$501&lt;$H18)," ")))</f>
        <v xml:space="preserve"> </v>
      </c>
      <c r="AY18" t="str" cm="1">
        <f t="array" ref="AY18">_xlfn.TEXTJOIN(",",TRUE,(_xlfn._xlws.FILTER($A$2:$A$501,($D$2:$D$501&gt;=AZ$7)*($D$2:$D$501&lt;AY$7)*($E$2:$E$501&gt;=$H19)*($E$2:$E$501&lt;$H18)," ")))</f>
        <v xml:space="preserve"> </v>
      </c>
      <c r="AZ18" t="str" cm="1">
        <f t="array" ref="AZ18">_xlfn.TEXTJOIN(",",TRUE,(_xlfn._xlws.FILTER($A$2:$A$501,($D$2:$D$501&gt;=BA$7)*($D$2:$D$501&lt;AZ$7)*($E$2:$E$501&gt;=$H19)*($E$2:$E$501&lt;$H18)," ")))</f>
        <v xml:space="preserve"> </v>
      </c>
      <c r="BA18" t="str" cm="1">
        <f t="array" ref="BA18">_xlfn.TEXTJOIN(",",TRUE,(_xlfn._xlws.FILTER($A$2:$A$501,($D$2:$D$501&gt;=BB$7)*($D$2:$D$501&lt;BA$7)*($E$2:$E$501&gt;=$H19)*($E$2:$E$501&lt;$H18)," ")))</f>
        <v xml:space="preserve"> </v>
      </c>
      <c r="BB18" t="str" cm="1">
        <f t="array" ref="BB18">_xlfn.TEXTJOIN(",",TRUE,(_xlfn._xlws.FILTER($A$2:$A$501,($D$2:$D$501&gt;=BC$7)*($D$2:$D$501&lt;BB$7)*($E$2:$E$501&gt;=$H19)*($E$2:$E$501&lt;$H18)," ")))</f>
        <v xml:space="preserve"> </v>
      </c>
    </row>
    <row r="19" spans="1:54" x14ac:dyDescent="0.2">
      <c r="A19" s="3" t="s">
        <v>144</v>
      </c>
      <c r="B19" s="3" t="s">
        <v>138</v>
      </c>
      <c r="C19" s="13">
        <v>4840700.76</v>
      </c>
      <c r="D19" s="15">
        <v>72514359.780000001</v>
      </c>
      <c r="E19" s="22">
        <f>TuitionRates3[[#This Row],[Tuition]]/D19</f>
        <v>6.6755064440837841E-2</v>
      </c>
      <c r="F19"/>
      <c r="H19" s="18">
        <v>0.13900000000000001</v>
      </c>
      <c r="I19" t="str" cm="1">
        <f t="array" ref="I19">_xlfn.TEXTJOIN(",",TRUE,(_xlfn._xlws.FILTER($A$2:$A$501,($D$2:$D$501&gt;=J$7)*($D$2:$D$501&lt;I$7)*($E$2:$E$501&gt;=$H20)*($E$2:$E$501&lt;$H19)," ")))</f>
        <v xml:space="preserve"> </v>
      </c>
      <c r="J19" t="str" cm="1">
        <f t="array" ref="J19">_xlfn.TEXTJOIN(",",TRUE,(_xlfn._xlws.FILTER($A$2:$A$501,($D$2:$D$501&gt;=K$7)*($D$2:$D$501&lt;J$7)*($E$2:$E$501&gt;=$H20)*($E$2:$E$501&lt;$H19)," ")))</f>
        <v xml:space="preserve"> </v>
      </c>
      <c r="K19" t="str" cm="1">
        <f t="array" ref="K19">_xlfn.TEXTJOIN(",",TRUE,(_xlfn._xlws.FILTER($A$2:$A$501,($D$2:$D$501&gt;=L$7)*($D$2:$D$501&lt;K$7)*($E$2:$E$501&gt;=$H20)*($E$2:$E$501&lt;$H19)," ")))</f>
        <v xml:space="preserve"> </v>
      </c>
      <c r="L19" t="str" cm="1">
        <f t="array" ref="L19">_xlfn.TEXTJOIN(",",TRUE,(_xlfn._xlws.FILTER($A$2:$A$501,($D$2:$D$501&gt;=M$7)*($D$2:$D$501&lt;L$7)*($E$2:$E$501&gt;=$H20)*($E$2:$E$501&lt;$H19)," ")))</f>
        <v xml:space="preserve"> </v>
      </c>
      <c r="M19" t="str" cm="1">
        <f t="array" ref="M19">_xlfn.TEXTJOIN(",",TRUE,(_xlfn._xlws.FILTER($A$2:$A$501,($D$2:$D$501&gt;=N$7)*($D$2:$D$501&lt;M$7)*($E$2:$E$501&gt;=$H20)*($E$2:$E$501&lt;$H19)," ")))</f>
        <v xml:space="preserve"> </v>
      </c>
      <c r="N19" t="str" cm="1">
        <f t="array" ref="N19">_xlfn.TEXTJOIN(",",TRUE,(_xlfn._xlws.FILTER($A$2:$A$501,($D$2:$D$501&gt;=O$7)*($D$2:$D$501&lt;N$7)*($E$2:$E$501&gt;=$H20)*($E$2:$E$501&lt;$H19)," ")))</f>
        <v xml:space="preserve"> </v>
      </c>
      <c r="O19" t="str" cm="1">
        <f t="array" ref="O19">_xlfn.TEXTJOIN(",",TRUE,(_xlfn._xlws.FILTER($A$2:$A$501,($D$2:$D$501&gt;=P$7)*($D$2:$D$501&lt;O$7)*($E$2:$E$501&gt;=$H20)*($E$2:$E$501&lt;$H19)," ")))</f>
        <v xml:space="preserve"> </v>
      </c>
      <c r="P19" t="str" cm="1">
        <f t="array" ref="P19">_xlfn.TEXTJOIN(",",TRUE,(_xlfn._xlws.FILTER($A$2:$A$501,($D$2:$D$501&gt;=Q$7)*($D$2:$D$501&lt;P$7)*($E$2:$E$501&gt;=$H20)*($E$2:$E$501&lt;$H19)," ")))</f>
        <v xml:space="preserve"> </v>
      </c>
      <c r="Q19" t="str" cm="1">
        <f t="array" ref="Q19">_xlfn.TEXTJOIN(",",TRUE,(_xlfn._xlws.FILTER($A$2:$A$501,($D$2:$D$501&gt;=R$7)*($D$2:$D$501&lt;Q$7)*($E$2:$E$501&gt;=$H20)*($E$2:$E$501&lt;$H19)," ")))</f>
        <v xml:space="preserve"> </v>
      </c>
      <c r="R19" t="str" cm="1">
        <f t="array" ref="R19">_xlfn.TEXTJOIN(",",TRUE,(_xlfn._xlws.FILTER($A$2:$A$501,($D$2:$D$501&gt;=S$7)*($D$2:$D$501&lt;R$7)*($E$2:$E$501&gt;=$H20)*($E$2:$E$501&lt;$H19)," ")))</f>
        <v xml:space="preserve"> </v>
      </c>
      <c r="S19" t="str" cm="1">
        <f t="array" ref="S19">_xlfn.TEXTJOIN(",",TRUE,(_xlfn._xlws.FILTER($A$2:$A$501,($D$2:$D$501&gt;=T$7)*($D$2:$D$501&lt;S$7)*($E$2:$E$501&gt;=$H20)*($E$2:$E$501&lt;$H19)," ")))</f>
        <v xml:space="preserve"> </v>
      </c>
      <c r="T19" t="str" cm="1">
        <f t="array" ref="T19">_xlfn.TEXTJOIN(",",TRUE,(_xlfn._xlws.FILTER($A$2:$A$501,($D$2:$D$501&gt;=U$7)*($D$2:$D$501&lt;T$7)*($E$2:$E$501&gt;=$H20)*($E$2:$E$501&lt;$H19)," ")))</f>
        <v xml:space="preserve"> </v>
      </c>
      <c r="U19" t="str" cm="1">
        <f t="array" ref="U19">_xlfn.TEXTJOIN(",",TRUE,(_xlfn._xlws.FILTER($A$2:$A$501,($D$2:$D$501&gt;=V$7)*($D$2:$D$501&lt;U$7)*($E$2:$E$501&gt;=$H20)*($E$2:$E$501&lt;$H19)," ")))</f>
        <v xml:space="preserve"> </v>
      </c>
      <c r="V19" t="str" cm="1">
        <f t="array" ref="V19">_xlfn.TEXTJOIN(",",TRUE,(_xlfn._xlws.FILTER($A$2:$A$501,($D$2:$D$501&gt;=W$7)*($D$2:$D$501&lt;V$7)*($E$2:$E$501&gt;=$H20)*($E$2:$E$501&lt;$H19)," ")))</f>
        <v xml:space="preserve"> </v>
      </c>
      <c r="W19" t="str" cm="1">
        <f t="array" ref="W19">_xlfn.TEXTJOIN(",",TRUE,(_xlfn._xlws.FILTER($A$2:$A$501,($D$2:$D$501&gt;=X$7)*($D$2:$D$501&lt;W$7)*($E$2:$E$501&gt;=$H20)*($E$2:$E$501&lt;$H19)," ")))</f>
        <v xml:space="preserve"> </v>
      </c>
      <c r="X19" t="str" cm="1">
        <f t="array" ref="X19">_xlfn.TEXTJOIN(",",TRUE,(_xlfn._xlws.FILTER($A$2:$A$501,($D$2:$D$501&gt;=Y$7)*($D$2:$D$501&lt;X$7)*($E$2:$E$501&gt;=$H20)*($E$2:$E$501&lt;$H19)," ")))</f>
        <v xml:space="preserve"> </v>
      </c>
      <c r="Y19" t="str" cm="1">
        <f t="array" ref="Y19">_xlfn.TEXTJOIN(",",TRUE,(_xlfn._xlws.FILTER($A$2:$A$501,($D$2:$D$501&gt;=Z$7)*($D$2:$D$501&lt;Y$7)*($E$2:$E$501&gt;=$H20)*($E$2:$E$501&lt;$H19)," ")))</f>
        <v xml:space="preserve"> </v>
      </c>
      <c r="Z19" t="str" cm="1">
        <f t="array" ref="Z19">_xlfn.TEXTJOIN(",",TRUE,(_xlfn._xlws.FILTER($A$2:$A$501,($D$2:$D$501&gt;=AA$7)*($D$2:$D$501&lt;Z$7)*($E$2:$E$501&gt;=$H20)*($E$2:$E$501&lt;$H19)," ")))</f>
        <v xml:space="preserve"> </v>
      </c>
      <c r="AA19" t="str" cm="1">
        <f t="array" ref="AA19">_xlfn.TEXTJOIN(",",TRUE,(_xlfn._xlws.FILTER($A$2:$A$501,($D$2:$D$501&gt;=AB$7)*($D$2:$D$501&lt;AA$7)*($E$2:$E$501&gt;=$H20)*($E$2:$E$501&lt;$H19)," ")))</f>
        <v xml:space="preserve"> </v>
      </c>
      <c r="AB19" t="str" cm="1">
        <f t="array" ref="AB19">_xlfn.TEXTJOIN(",",TRUE,(_xlfn._xlws.FILTER($A$2:$A$501,($D$2:$D$501&gt;=AC$7)*($D$2:$D$501&lt;AB$7)*($E$2:$E$501&gt;=$H20)*($E$2:$E$501&lt;$H19)," ")))</f>
        <v xml:space="preserve"> </v>
      </c>
      <c r="AC19" t="str" cm="1">
        <f t="array" ref="AC19">_xlfn.TEXTJOIN(",",TRUE,(_xlfn._xlws.FILTER($A$2:$A$501,($D$2:$D$501&gt;=AD$7)*($D$2:$D$501&lt;AC$7)*($E$2:$E$501&gt;=$H20)*($E$2:$E$501&lt;$H19)," ")))</f>
        <v xml:space="preserve"> </v>
      </c>
      <c r="AD19" t="str" cm="1">
        <f t="array" ref="AD19">_xlfn.TEXTJOIN(",",TRUE,(_xlfn._xlws.FILTER($A$2:$A$501,($D$2:$D$501&gt;=AE$7)*($D$2:$D$501&lt;AD$7)*($E$2:$E$501&gt;=$H20)*($E$2:$E$501&lt;$H19)," ")))</f>
        <v xml:space="preserve"> </v>
      </c>
      <c r="AE19" t="str" cm="1">
        <f t="array" ref="AE19">_xlfn.TEXTJOIN(",",TRUE,(_xlfn._xlws.FILTER($A$2:$A$501,($D$2:$D$501&gt;=AF$7)*($D$2:$D$501&lt;AE$7)*($E$2:$E$501&gt;=$H20)*($E$2:$E$501&lt;$H19)," ")))</f>
        <v xml:space="preserve"> </v>
      </c>
      <c r="AF19" t="str" cm="1">
        <f t="array" ref="AF19">_xlfn.TEXTJOIN(",",TRUE,(_xlfn._xlws.FILTER($A$2:$A$501,($D$2:$D$501&gt;=AG$7)*($D$2:$D$501&lt;AF$7)*($E$2:$E$501&gt;=$H20)*($E$2:$E$501&lt;$H19)," ")))</f>
        <v xml:space="preserve"> </v>
      </c>
      <c r="AG19" t="str" cm="1">
        <f t="array" ref="AG19">_xlfn.TEXTJOIN(",",TRUE,(_xlfn._xlws.FILTER($A$2:$A$501,($D$2:$D$501&gt;=AH$7)*($D$2:$D$501&lt;AG$7)*($E$2:$E$501&gt;=$H20)*($E$2:$E$501&lt;$H19)," ")))</f>
        <v xml:space="preserve"> </v>
      </c>
      <c r="AH19" t="str" cm="1">
        <f t="array" ref="AH19">_xlfn.TEXTJOIN(",",TRUE,(_xlfn._xlws.FILTER($A$2:$A$501,($D$2:$D$501&gt;=AI$7)*($D$2:$D$501&lt;AH$7)*($E$2:$E$501&gt;=$H20)*($E$2:$E$501&lt;$H19)," ")))</f>
        <v xml:space="preserve"> </v>
      </c>
      <c r="AI19" t="str" cm="1">
        <f t="array" ref="AI19">_xlfn.TEXTJOIN(",",TRUE,(_xlfn._xlws.FILTER($A$2:$A$501,($D$2:$D$501&gt;=AJ$7)*($D$2:$D$501&lt;AI$7)*($E$2:$E$501&gt;=$H20)*($E$2:$E$501&lt;$H19)," ")))</f>
        <v xml:space="preserve"> </v>
      </c>
      <c r="AJ19" t="str" cm="1">
        <f t="array" ref="AJ19">_xlfn.TEXTJOIN(",",TRUE,(_xlfn._xlws.FILTER($A$2:$A$501,($D$2:$D$501&gt;=AK$7)*($D$2:$D$501&lt;AJ$7)*($E$2:$E$501&gt;=$H20)*($E$2:$E$501&lt;$H19)," ")))</f>
        <v xml:space="preserve"> </v>
      </c>
      <c r="AK19" t="str" cm="1">
        <f t="array" ref="AK19">_xlfn.TEXTJOIN(",",TRUE,(_xlfn._xlws.FILTER($A$2:$A$501,($D$2:$D$501&gt;=AL$7)*($D$2:$D$501&lt;AK$7)*($E$2:$E$501&gt;=$H20)*($E$2:$E$501&lt;$H19)," ")))</f>
        <v xml:space="preserve"> </v>
      </c>
      <c r="AL19" t="str" cm="1">
        <f t="array" ref="AL19">_xlfn.TEXTJOIN(",",TRUE,(_xlfn._xlws.FILTER($A$2:$A$501,($D$2:$D$501&gt;=AM$7)*($D$2:$D$501&lt;AL$7)*($E$2:$E$501&gt;=$H20)*($E$2:$E$501&lt;$H19)," ")))</f>
        <v xml:space="preserve"> </v>
      </c>
      <c r="AM19" t="str" cm="1">
        <f t="array" ref="AM19">_xlfn.TEXTJOIN(",",TRUE,(_xlfn._xlws.FILTER($A$2:$A$501,($D$2:$D$501&gt;=AN$7)*($D$2:$D$501&lt;AM$7)*($E$2:$E$501&gt;=$H20)*($E$2:$E$501&lt;$H19)," ")))</f>
        <v xml:space="preserve"> </v>
      </c>
      <c r="AN19" t="str" cm="1">
        <f t="array" ref="AN19">_xlfn.TEXTJOIN(",",TRUE,(_xlfn._xlws.FILTER($A$2:$A$501,($D$2:$D$501&gt;=AO$7)*($D$2:$D$501&lt;AN$7)*($E$2:$E$501&gt;=$H20)*($E$2:$E$501&lt;$H19)," ")))</f>
        <v xml:space="preserve"> </v>
      </c>
      <c r="AO19" t="str" cm="1">
        <f t="array" ref="AO19">_xlfn.TEXTJOIN(",",TRUE,(_xlfn._xlws.FILTER($A$2:$A$501,($D$2:$D$501&gt;=AP$7)*($D$2:$D$501&lt;AO$7)*($E$2:$E$501&gt;=$H20)*($E$2:$E$501&lt;$H19)," ")))</f>
        <v xml:space="preserve"> </v>
      </c>
      <c r="AP19" t="str" cm="1">
        <f t="array" ref="AP19">_xlfn.TEXTJOIN(",",TRUE,(_xlfn._xlws.FILTER($A$2:$A$501,($D$2:$D$501&gt;=AQ$7)*($D$2:$D$501&lt;AP$7)*($E$2:$E$501&gt;=$H20)*($E$2:$E$501&lt;$H19)," ")))</f>
        <v xml:space="preserve"> </v>
      </c>
      <c r="AQ19" t="str" cm="1">
        <f t="array" ref="AQ19">_xlfn.TEXTJOIN(",",TRUE,(_xlfn._xlws.FILTER($A$2:$A$501,($D$2:$D$501&gt;=AR$7)*($D$2:$D$501&lt;AQ$7)*($E$2:$E$501&gt;=$H20)*($E$2:$E$501&lt;$H19)," ")))</f>
        <v xml:space="preserve"> </v>
      </c>
      <c r="AR19" t="str" cm="1">
        <f t="array" ref="AR19">_xlfn.TEXTJOIN(",",TRUE,(_xlfn._xlws.FILTER($A$2:$A$501,($D$2:$D$501&gt;=AS$7)*($D$2:$D$501&lt;AR$7)*($E$2:$E$501&gt;=$H20)*($E$2:$E$501&lt;$H19)," ")))</f>
        <v xml:space="preserve"> </v>
      </c>
      <c r="AS19" t="str" cm="1">
        <f t="array" ref="AS19">_xlfn.TEXTJOIN(",",TRUE,(_xlfn._xlws.FILTER($A$2:$A$501,($D$2:$D$501&gt;=AT$7)*($D$2:$D$501&lt;AS$7)*($E$2:$E$501&gt;=$H20)*($E$2:$E$501&lt;$H19)," ")))</f>
        <v xml:space="preserve"> </v>
      </c>
      <c r="AT19" t="str" cm="1">
        <f t="array" ref="AT19">_xlfn.TEXTJOIN(",",TRUE,(_xlfn._xlws.FILTER($A$2:$A$501,($D$2:$D$501&gt;=AU$7)*($D$2:$D$501&lt;AT$7)*($E$2:$E$501&gt;=$H20)*($E$2:$E$501&lt;$H19)," ")))</f>
        <v xml:space="preserve"> </v>
      </c>
      <c r="AU19" t="str" cm="1">
        <f t="array" ref="AU19">_xlfn.TEXTJOIN(",",TRUE,(_xlfn._xlws.FILTER($A$2:$A$501,($D$2:$D$501&gt;=AV$7)*($D$2:$D$501&lt;AU$7)*($E$2:$E$501&gt;=$H20)*($E$2:$E$501&lt;$H19)," ")))</f>
        <v xml:space="preserve"> </v>
      </c>
      <c r="AV19" t="str" cm="1">
        <f t="array" ref="AV19">_xlfn.TEXTJOIN(",",TRUE,(_xlfn._xlws.FILTER($A$2:$A$501,($D$2:$D$501&gt;=AW$7)*($D$2:$D$501&lt;AV$7)*($E$2:$E$501&gt;=$H20)*($E$2:$E$501&lt;$H19)," ")))</f>
        <v xml:space="preserve"> </v>
      </c>
      <c r="AW19" t="str" cm="1">
        <f t="array" ref="AW19">_xlfn.TEXTJOIN(",",TRUE,(_xlfn._xlws.FILTER($A$2:$A$501,($D$2:$D$501&gt;=AX$7)*($D$2:$D$501&lt;AW$7)*($E$2:$E$501&gt;=$H20)*($E$2:$E$501&lt;$H19)," ")))</f>
        <v xml:space="preserve"> </v>
      </c>
      <c r="AX19" t="str" cm="1">
        <f t="array" ref="AX19">_xlfn.TEXTJOIN(",",TRUE,(_xlfn._xlws.FILTER($A$2:$A$501,($D$2:$D$501&gt;=AY$7)*($D$2:$D$501&lt;AX$7)*($E$2:$E$501&gt;=$H20)*($E$2:$E$501&lt;$H19)," ")))</f>
        <v xml:space="preserve"> </v>
      </c>
      <c r="AY19" t="str" cm="1">
        <f t="array" ref="AY19">_xlfn.TEXTJOIN(",",TRUE,(_xlfn._xlws.FILTER($A$2:$A$501,($D$2:$D$501&gt;=AZ$7)*($D$2:$D$501&lt;AY$7)*($E$2:$E$501&gt;=$H20)*($E$2:$E$501&lt;$H19)," ")))</f>
        <v xml:space="preserve"> </v>
      </c>
      <c r="AZ19" t="str" cm="1">
        <f t="array" ref="AZ19">_xlfn.TEXTJOIN(",",TRUE,(_xlfn._xlws.FILTER($A$2:$A$501,($D$2:$D$501&gt;=BA$7)*($D$2:$D$501&lt;AZ$7)*($E$2:$E$501&gt;=$H20)*($E$2:$E$501&lt;$H19)," ")))</f>
        <v xml:space="preserve"> </v>
      </c>
      <c r="BA19" t="str" cm="1">
        <f t="array" ref="BA19">_xlfn.TEXTJOIN(",",TRUE,(_xlfn._xlws.FILTER($A$2:$A$501,($D$2:$D$501&gt;=BB$7)*($D$2:$D$501&lt;BA$7)*($E$2:$E$501&gt;=$H20)*($E$2:$E$501&lt;$H19)," ")))</f>
        <v xml:space="preserve"> </v>
      </c>
      <c r="BB19" t="str" cm="1">
        <f t="array" ref="BB19">_xlfn.TEXTJOIN(",",TRUE,(_xlfn._xlws.FILTER($A$2:$A$501,($D$2:$D$501&gt;=BC$7)*($D$2:$D$501&lt;BB$7)*($E$2:$E$501&gt;=$H20)*($E$2:$E$501&lt;$H19)," ")))</f>
        <v xml:space="preserve"> </v>
      </c>
    </row>
    <row r="20" spans="1:54" x14ac:dyDescent="0.2">
      <c r="A20" s="3" t="s">
        <v>459</v>
      </c>
      <c r="B20" s="3" t="s">
        <v>457</v>
      </c>
      <c r="C20" s="13">
        <v>622492.25</v>
      </c>
      <c r="D20" s="15">
        <v>9509192.0999999996</v>
      </c>
      <c r="E20" s="22">
        <f>TuitionRates3[[#This Row],[Tuition]]/D20</f>
        <v>6.5462159503539744E-2</v>
      </c>
      <c r="F20"/>
      <c r="H20" s="18">
        <v>0.13800000000000001</v>
      </c>
      <c r="I20" t="str" cm="1">
        <f t="array" ref="I20">_xlfn.TEXTJOIN(",",TRUE,(_xlfn._xlws.FILTER($A$2:$A$501,($D$2:$D$501&gt;=J$7)*($D$2:$D$501&lt;I$7)*($E$2:$E$501&gt;=$H21)*($E$2:$E$501&lt;$H20)," ")))</f>
        <v xml:space="preserve"> </v>
      </c>
      <c r="J20" t="str" cm="1">
        <f t="array" ref="J20">_xlfn.TEXTJOIN(",",TRUE,(_xlfn._xlws.FILTER($A$2:$A$501,($D$2:$D$501&gt;=K$7)*($D$2:$D$501&lt;J$7)*($E$2:$E$501&gt;=$H21)*($E$2:$E$501&lt;$H20)," ")))</f>
        <v xml:space="preserve"> </v>
      </c>
      <c r="K20" t="str" cm="1">
        <f t="array" ref="K20">_xlfn.TEXTJOIN(",",TRUE,(_xlfn._xlws.FILTER($A$2:$A$501,($D$2:$D$501&gt;=L$7)*($D$2:$D$501&lt;K$7)*($E$2:$E$501&gt;=$H21)*($E$2:$E$501&lt;$H20)," ")))</f>
        <v xml:space="preserve"> </v>
      </c>
      <c r="L20" t="str" cm="1">
        <f t="array" ref="L20">_xlfn.TEXTJOIN(",",TRUE,(_xlfn._xlws.FILTER($A$2:$A$501,($D$2:$D$501&gt;=M$7)*($D$2:$D$501&lt;L$7)*($E$2:$E$501&gt;=$H21)*($E$2:$E$501&lt;$H20)," ")))</f>
        <v xml:space="preserve"> </v>
      </c>
      <c r="M20" t="str" cm="1">
        <f t="array" ref="M20">_xlfn.TEXTJOIN(",",TRUE,(_xlfn._xlws.FILTER($A$2:$A$501,($D$2:$D$501&gt;=N$7)*($D$2:$D$501&lt;M$7)*($E$2:$E$501&gt;=$H21)*($E$2:$E$501&lt;$H20)," ")))</f>
        <v xml:space="preserve"> </v>
      </c>
      <c r="N20" t="str" cm="1">
        <f t="array" ref="N20">_xlfn.TEXTJOIN(",",TRUE,(_xlfn._xlws.FILTER($A$2:$A$501,($D$2:$D$501&gt;=O$7)*($D$2:$D$501&lt;N$7)*($E$2:$E$501&gt;=$H21)*($E$2:$E$501&lt;$H20)," ")))</f>
        <v xml:space="preserve"> </v>
      </c>
      <c r="O20" t="str" cm="1">
        <f t="array" ref="O20">_xlfn.TEXTJOIN(",",TRUE,(_xlfn._xlws.FILTER($A$2:$A$501,($D$2:$D$501&gt;=P$7)*($D$2:$D$501&lt;O$7)*($E$2:$E$501&gt;=$H21)*($E$2:$E$501&lt;$H20)," ")))</f>
        <v xml:space="preserve"> </v>
      </c>
      <c r="P20" t="str" cm="1">
        <f t="array" ref="P20">_xlfn.TEXTJOIN(",",TRUE,(_xlfn._xlws.FILTER($A$2:$A$501,($D$2:$D$501&gt;=Q$7)*($D$2:$D$501&lt;P$7)*($E$2:$E$501&gt;=$H21)*($E$2:$E$501&lt;$H20)," ")))</f>
        <v xml:space="preserve"> </v>
      </c>
      <c r="Q20" t="str" cm="1">
        <f t="array" ref="Q20">_xlfn.TEXTJOIN(",",TRUE,(_xlfn._xlws.FILTER($A$2:$A$501,($D$2:$D$501&gt;=R$7)*($D$2:$D$501&lt;Q$7)*($E$2:$E$501&gt;=$H21)*($E$2:$E$501&lt;$H20)," ")))</f>
        <v xml:space="preserve"> </v>
      </c>
      <c r="R20" t="str" cm="1">
        <f t="array" ref="R20">_xlfn.TEXTJOIN(",",TRUE,(_xlfn._xlws.FILTER($A$2:$A$501,($D$2:$D$501&gt;=S$7)*($D$2:$D$501&lt;R$7)*($E$2:$E$501&gt;=$H21)*($E$2:$E$501&lt;$H20)," ")))</f>
        <v xml:space="preserve"> </v>
      </c>
      <c r="S20" t="str" cm="1">
        <f t="array" ref="S20">_xlfn.TEXTJOIN(",",TRUE,(_xlfn._xlws.FILTER($A$2:$A$501,($D$2:$D$501&gt;=T$7)*($D$2:$D$501&lt;S$7)*($E$2:$E$501&gt;=$H21)*($E$2:$E$501&lt;$H20)," ")))</f>
        <v xml:space="preserve"> </v>
      </c>
      <c r="T20" t="str" cm="1">
        <f t="array" ref="T20">_xlfn.TEXTJOIN(",",TRUE,(_xlfn._xlws.FILTER($A$2:$A$501,($D$2:$D$501&gt;=U$7)*($D$2:$D$501&lt;T$7)*($E$2:$E$501&gt;=$H21)*($E$2:$E$501&lt;$H20)," ")))</f>
        <v xml:space="preserve"> </v>
      </c>
      <c r="U20" t="str" cm="1">
        <f t="array" ref="U20">_xlfn.TEXTJOIN(",",TRUE,(_xlfn._xlws.FILTER($A$2:$A$501,($D$2:$D$501&gt;=V$7)*($D$2:$D$501&lt;U$7)*($E$2:$E$501&gt;=$H21)*($E$2:$E$501&lt;$H20)," ")))</f>
        <v xml:space="preserve"> </v>
      </c>
      <c r="V20" t="str" cm="1">
        <f t="array" ref="V20">_xlfn.TEXTJOIN(",",TRUE,(_xlfn._xlws.FILTER($A$2:$A$501,($D$2:$D$501&gt;=W$7)*($D$2:$D$501&lt;V$7)*($E$2:$E$501&gt;=$H21)*($E$2:$E$501&lt;$H20)," ")))</f>
        <v xml:space="preserve"> </v>
      </c>
      <c r="W20" t="str" cm="1">
        <f t="array" ref="W20">_xlfn.TEXTJOIN(",",TRUE,(_xlfn._xlws.FILTER($A$2:$A$501,($D$2:$D$501&gt;=X$7)*($D$2:$D$501&lt;W$7)*($E$2:$E$501&gt;=$H21)*($E$2:$E$501&lt;$H20)," ")))</f>
        <v xml:space="preserve"> </v>
      </c>
      <c r="X20" t="str" cm="1">
        <f t="array" ref="X20">_xlfn.TEXTJOIN(",",TRUE,(_xlfn._xlws.FILTER($A$2:$A$501,($D$2:$D$501&gt;=Y$7)*($D$2:$D$501&lt;X$7)*($E$2:$E$501&gt;=$H21)*($E$2:$E$501&lt;$H20)," ")))</f>
        <v xml:space="preserve"> </v>
      </c>
      <c r="Y20" t="str" cm="1">
        <f t="array" ref="Y20">_xlfn.TEXTJOIN(",",TRUE,(_xlfn._xlws.FILTER($A$2:$A$501,($D$2:$D$501&gt;=Z$7)*($D$2:$D$501&lt;Y$7)*($E$2:$E$501&gt;=$H21)*($E$2:$E$501&lt;$H20)," ")))</f>
        <v xml:space="preserve"> </v>
      </c>
      <c r="Z20" t="str" cm="1">
        <f t="array" ref="Z20">_xlfn.TEXTJOIN(",",TRUE,(_xlfn._xlws.FILTER($A$2:$A$501,($D$2:$D$501&gt;=AA$7)*($D$2:$D$501&lt;Z$7)*($E$2:$E$501&gt;=$H21)*($E$2:$E$501&lt;$H20)," ")))</f>
        <v xml:space="preserve"> </v>
      </c>
      <c r="AA20" t="str" cm="1">
        <f t="array" ref="AA20">_xlfn.TEXTJOIN(",",TRUE,(_xlfn._xlws.FILTER($A$2:$A$501,($D$2:$D$501&gt;=AB$7)*($D$2:$D$501&lt;AA$7)*($E$2:$E$501&gt;=$H21)*($E$2:$E$501&lt;$H20)," ")))</f>
        <v xml:space="preserve"> </v>
      </c>
      <c r="AB20" t="str" cm="1">
        <f t="array" ref="AB20">_xlfn.TEXTJOIN(",",TRUE,(_xlfn._xlws.FILTER($A$2:$A$501,($D$2:$D$501&gt;=AC$7)*($D$2:$D$501&lt;AB$7)*($E$2:$E$501&gt;=$H21)*($E$2:$E$501&lt;$H20)," ")))</f>
        <v xml:space="preserve"> </v>
      </c>
      <c r="AC20" t="str" cm="1">
        <f t="array" ref="AC20">_xlfn.TEXTJOIN(",",TRUE,(_xlfn._xlws.FILTER($A$2:$A$501,($D$2:$D$501&gt;=AD$7)*($D$2:$D$501&lt;AC$7)*($E$2:$E$501&gt;=$H21)*($E$2:$E$501&lt;$H20)," ")))</f>
        <v xml:space="preserve"> </v>
      </c>
      <c r="AD20" t="str" cm="1">
        <f t="array" ref="AD20">_xlfn.TEXTJOIN(",",TRUE,(_xlfn._xlws.FILTER($A$2:$A$501,($D$2:$D$501&gt;=AE$7)*($D$2:$D$501&lt;AD$7)*($E$2:$E$501&gt;=$H21)*($E$2:$E$501&lt;$H20)," ")))</f>
        <v xml:space="preserve"> </v>
      </c>
      <c r="AE20" t="str" cm="1">
        <f t="array" ref="AE20">_xlfn.TEXTJOIN(",",TRUE,(_xlfn._xlws.FILTER($A$2:$A$501,($D$2:$D$501&gt;=AF$7)*($D$2:$D$501&lt;AE$7)*($E$2:$E$501&gt;=$H21)*($E$2:$E$501&lt;$H20)," ")))</f>
        <v xml:space="preserve"> </v>
      </c>
      <c r="AF20" t="str" cm="1">
        <f t="array" ref="AF20">_xlfn.TEXTJOIN(",",TRUE,(_xlfn._xlws.FILTER($A$2:$A$501,($D$2:$D$501&gt;=AG$7)*($D$2:$D$501&lt;AF$7)*($E$2:$E$501&gt;=$H21)*($E$2:$E$501&lt;$H20)," ")))</f>
        <v xml:space="preserve"> </v>
      </c>
      <c r="AG20" t="str" cm="1">
        <f t="array" ref="AG20">_xlfn.TEXTJOIN(",",TRUE,(_xlfn._xlws.FILTER($A$2:$A$501,($D$2:$D$501&gt;=AH$7)*($D$2:$D$501&lt;AG$7)*($E$2:$E$501&gt;=$H21)*($E$2:$E$501&lt;$H20)," ")))</f>
        <v xml:space="preserve"> </v>
      </c>
      <c r="AH20" t="str" cm="1">
        <f t="array" ref="AH20">_xlfn.TEXTJOIN(",",TRUE,(_xlfn._xlws.FILTER($A$2:$A$501,($D$2:$D$501&gt;=AI$7)*($D$2:$D$501&lt;AH$7)*($E$2:$E$501&gt;=$H21)*($E$2:$E$501&lt;$H20)," ")))</f>
        <v xml:space="preserve"> </v>
      </c>
      <c r="AI20" t="str" cm="1">
        <f t="array" ref="AI20">_xlfn.TEXTJOIN(",",TRUE,(_xlfn._xlws.FILTER($A$2:$A$501,($D$2:$D$501&gt;=AJ$7)*($D$2:$D$501&lt;AI$7)*($E$2:$E$501&gt;=$H21)*($E$2:$E$501&lt;$H20)," ")))</f>
        <v xml:space="preserve"> </v>
      </c>
      <c r="AJ20" t="str" cm="1">
        <f t="array" ref="AJ20">_xlfn.TEXTJOIN(",",TRUE,(_xlfn._xlws.FILTER($A$2:$A$501,($D$2:$D$501&gt;=AK$7)*($D$2:$D$501&lt;AJ$7)*($E$2:$E$501&gt;=$H21)*($E$2:$E$501&lt;$H20)," ")))</f>
        <v xml:space="preserve"> </v>
      </c>
      <c r="AK20" t="str" cm="1">
        <f t="array" ref="AK20">_xlfn.TEXTJOIN(",",TRUE,(_xlfn._xlws.FILTER($A$2:$A$501,($D$2:$D$501&gt;=AL$7)*($D$2:$D$501&lt;AK$7)*($E$2:$E$501&gt;=$H21)*($E$2:$E$501&lt;$H20)," ")))</f>
        <v xml:space="preserve"> </v>
      </c>
      <c r="AL20" t="str" cm="1">
        <f t="array" ref="AL20">_xlfn.TEXTJOIN(",",TRUE,(_xlfn._xlws.FILTER($A$2:$A$501,($D$2:$D$501&gt;=AM$7)*($D$2:$D$501&lt;AL$7)*($E$2:$E$501&gt;=$H21)*($E$2:$E$501&lt;$H20)," ")))</f>
        <v xml:space="preserve"> </v>
      </c>
      <c r="AM20" t="str" cm="1">
        <f t="array" ref="AM20">_xlfn.TEXTJOIN(",",TRUE,(_xlfn._xlws.FILTER($A$2:$A$501,($D$2:$D$501&gt;=AN$7)*($D$2:$D$501&lt;AM$7)*($E$2:$E$501&gt;=$H21)*($E$2:$E$501&lt;$H20)," ")))</f>
        <v xml:space="preserve"> </v>
      </c>
      <c r="AN20" t="str" cm="1">
        <f t="array" ref="AN20">_xlfn.TEXTJOIN(",",TRUE,(_xlfn._xlws.FILTER($A$2:$A$501,($D$2:$D$501&gt;=AO$7)*($D$2:$D$501&lt;AN$7)*($E$2:$E$501&gt;=$H21)*($E$2:$E$501&lt;$H20)," ")))</f>
        <v xml:space="preserve"> </v>
      </c>
      <c r="AO20" t="str" cm="1">
        <f t="array" ref="AO20">_xlfn.TEXTJOIN(",",TRUE,(_xlfn._xlws.FILTER($A$2:$A$501,($D$2:$D$501&gt;=AP$7)*($D$2:$D$501&lt;AO$7)*($E$2:$E$501&gt;=$H21)*($E$2:$E$501&lt;$H20)," ")))</f>
        <v xml:space="preserve"> </v>
      </c>
      <c r="AP20" t="str" cm="1">
        <f t="array" ref="AP20">_xlfn.TEXTJOIN(",",TRUE,(_xlfn._xlws.FILTER($A$2:$A$501,($D$2:$D$501&gt;=AQ$7)*($D$2:$D$501&lt;AP$7)*($E$2:$E$501&gt;=$H21)*($E$2:$E$501&lt;$H20)," ")))</f>
        <v xml:space="preserve"> </v>
      </c>
      <c r="AQ20" t="str" cm="1">
        <f t="array" ref="AQ20">_xlfn.TEXTJOIN(",",TRUE,(_xlfn._xlws.FILTER($A$2:$A$501,($D$2:$D$501&gt;=AR$7)*($D$2:$D$501&lt;AQ$7)*($E$2:$E$501&gt;=$H21)*($E$2:$E$501&lt;$H20)," ")))</f>
        <v xml:space="preserve"> </v>
      </c>
      <c r="AR20" t="str" cm="1">
        <f t="array" ref="AR20">_xlfn.TEXTJOIN(",",TRUE,(_xlfn._xlws.FILTER($A$2:$A$501,($D$2:$D$501&gt;=AS$7)*($D$2:$D$501&lt;AR$7)*($E$2:$E$501&gt;=$H21)*($E$2:$E$501&lt;$H20)," ")))</f>
        <v xml:space="preserve"> </v>
      </c>
      <c r="AS20" t="str" cm="1">
        <f t="array" ref="AS20">_xlfn.TEXTJOIN(",",TRUE,(_xlfn._xlws.FILTER($A$2:$A$501,($D$2:$D$501&gt;=AT$7)*($D$2:$D$501&lt;AS$7)*($E$2:$E$501&gt;=$H21)*($E$2:$E$501&lt;$H20)," ")))</f>
        <v xml:space="preserve"> </v>
      </c>
      <c r="AT20" t="str" cm="1">
        <f t="array" ref="AT20">_xlfn.TEXTJOIN(",",TRUE,(_xlfn._xlws.FILTER($A$2:$A$501,($D$2:$D$501&gt;=AU$7)*($D$2:$D$501&lt;AT$7)*($E$2:$E$501&gt;=$H21)*($E$2:$E$501&lt;$H20)," ")))</f>
        <v xml:space="preserve"> </v>
      </c>
      <c r="AU20" t="str" cm="1">
        <f t="array" ref="AU20">_xlfn.TEXTJOIN(",",TRUE,(_xlfn._xlws.FILTER($A$2:$A$501,($D$2:$D$501&gt;=AV$7)*($D$2:$D$501&lt;AU$7)*($E$2:$E$501&gt;=$H21)*($E$2:$E$501&lt;$H20)," ")))</f>
        <v xml:space="preserve"> </v>
      </c>
      <c r="AV20" t="str" cm="1">
        <f t="array" ref="AV20">_xlfn.TEXTJOIN(",",TRUE,(_xlfn._xlws.FILTER($A$2:$A$501,($D$2:$D$501&gt;=AW$7)*($D$2:$D$501&lt;AV$7)*($E$2:$E$501&gt;=$H21)*($E$2:$E$501&lt;$H20)," ")))</f>
        <v xml:space="preserve"> </v>
      </c>
      <c r="AW20" t="str" cm="1">
        <f t="array" ref="AW20">_xlfn.TEXTJOIN(",",TRUE,(_xlfn._xlws.FILTER($A$2:$A$501,($D$2:$D$501&gt;=AX$7)*($D$2:$D$501&lt;AW$7)*($E$2:$E$501&gt;=$H21)*($E$2:$E$501&lt;$H20)," ")))</f>
        <v xml:space="preserve"> </v>
      </c>
      <c r="AX20" t="str" cm="1">
        <f t="array" ref="AX20">_xlfn.TEXTJOIN(",",TRUE,(_xlfn._xlws.FILTER($A$2:$A$501,($D$2:$D$501&gt;=AY$7)*($D$2:$D$501&lt;AX$7)*($E$2:$E$501&gt;=$H21)*($E$2:$E$501&lt;$H20)," ")))</f>
        <v xml:space="preserve"> </v>
      </c>
      <c r="AY20" t="str" cm="1">
        <f t="array" ref="AY20">_xlfn.TEXTJOIN(",",TRUE,(_xlfn._xlws.FILTER($A$2:$A$501,($D$2:$D$501&gt;=AZ$7)*($D$2:$D$501&lt;AY$7)*($E$2:$E$501&gt;=$H21)*($E$2:$E$501&lt;$H20)," ")))</f>
        <v xml:space="preserve"> </v>
      </c>
      <c r="AZ20" t="str" cm="1">
        <f t="array" ref="AZ20">_xlfn.TEXTJOIN(",",TRUE,(_xlfn._xlws.FILTER($A$2:$A$501,($D$2:$D$501&gt;=BA$7)*($D$2:$D$501&lt;AZ$7)*($E$2:$E$501&gt;=$H21)*($E$2:$E$501&lt;$H20)," ")))</f>
        <v xml:space="preserve"> </v>
      </c>
      <c r="BA20" t="str" cm="1">
        <f t="array" ref="BA20">_xlfn.TEXTJOIN(",",TRUE,(_xlfn._xlws.FILTER($A$2:$A$501,($D$2:$D$501&gt;=BB$7)*($D$2:$D$501&lt;BA$7)*($E$2:$E$501&gt;=$H21)*($E$2:$E$501&lt;$H20)," ")))</f>
        <v xml:space="preserve"> </v>
      </c>
      <c r="BB20" t="str" cm="1">
        <f t="array" ref="BB20">_xlfn.TEXTJOIN(",",TRUE,(_xlfn._xlws.FILTER($A$2:$A$501,($D$2:$D$501&gt;=BC$7)*($D$2:$D$501&lt;BB$7)*($E$2:$E$501&gt;=$H21)*($E$2:$E$501&lt;$H20)," ")))</f>
        <v xml:space="preserve"> </v>
      </c>
    </row>
    <row r="21" spans="1:54" x14ac:dyDescent="0.2">
      <c r="A21" s="3" t="s">
        <v>211</v>
      </c>
      <c r="B21" s="3" t="s">
        <v>207</v>
      </c>
      <c r="C21" s="13">
        <v>3172009.61</v>
      </c>
      <c r="D21" s="15">
        <v>48935096.840000004</v>
      </c>
      <c r="E21" s="22">
        <f>TuitionRates3[[#This Row],[Tuition]]/D21</f>
        <v>6.4820748600361813E-2</v>
      </c>
      <c r="F21"/>
      <c r="H21" s="18">
        <v>0.13700000000000001</v>
      </c>
      <c r="I21" t="str" cm="1">
        <f t="array" ref="I21">_xlfn.TEXTJOIN(",",TRUE,(_xlfn._xlws.FILTER($A$2:$A$501,($D$2:$D$501&gt;=J$7)*($D$2:$D$501&lt;I$7)*($E$2:$E$501&gt;=$H22)*($E$2:$E$501&lt;$H21)," ")))</f>
        <v xml:space="preserve"> </v>
      </c>
      <c r="J21" t="str" cm="1">
        <f t="array" ref="J21">_xlfn.TEXTJOIN(",",TRUE,(_xlfn._xlws.FILTER($A$2:$A$501,($D$2:$D$501&gt;=K$7)*($D$2:$D$501&lt;J$7)*($E$2:$E$501&gt;=$H22)*($E$2:$E$501&lt;$H21)," ")))</f>
        <v xml:space="preserve"> </v>
      </c>
      <c r="K21" t="str" cm="1">
        <f t="array" ref="K21">_xlfn.TEXTJOIN(",",TRUE,(_xlfn._xlws.FILTER($A$2:$A$501,($D$2:$D$501&gt;=L$7)*($D$2:$D$501&lt;K$7)*($E$2:$E$501&gt;=$H22)*($E$2:$E$501&lt;$H21)," ")))</f>
        <v xml:space="preserve"> </v>
      </c>
      <c r="L21" t="str" cm="1">
        <f t="array" ref="L21">_xlfn.TEXTJOIN(",",TRUE,(_xlfn._xlws.FILTER($A$2:$A$501,($D$2:$D$501&gt;=M$7)*($D$2:$D$501&lt;L$7)*($E$2:$E$501&gt;=$H22)*($E$2:$E$501&lt;$H21)," ")))</f>
        <v xml:space="preserve"> </v>
      </c>
      <c r="M21" t="str" cm="1">
        <f t="array" ref="M21">_xlfn.TEXTJOIN(",",TRUE,(_xlfn._xlws.FILTER($A$2:$A$501,($D$2:$D$501&gt;=N$7)*($D$2:$D$501&lt;M$7)*($E$2:$E$501&gt;=$H22)*($E$2:$E$501&lt;$H21)," ")))</f>
        <v xml:space="preserve"> </v>
      </c>
      <c r="N21" t="str" cm="1">
        <f t="array" ref="N21">_xlfn.TEXTJOIN(",",TRUE,(_xlfn._xlws.FILTER($A$2:$A$501,($D$2:$D$501&gt;=O$7)*($D$2:$D$501&lt;N$7)*($E$2:$E$501&gt;=$H22)*($E$2:$E$501&lt;$H21)," ")))</f>
        <v xml:space="preserve"> </v>
      </c>
      <c r="O21" t="str" cm="1">
        <f t="array" ref="O21">_xlfn.TEXTJOIN(",",TRUE,(_xlfn._xlws.FILTER($A$2:$A$501,($D$2:$D$501&gt;=P$7)*($D$2:$D$501&lt;O$7)*($E$2:$E$501&gt;=$H22)*($E$2:$E$501&lt;$H21)," ")))</f>
        <v xml:space="preserve"> </v>
      </c>
      <c r="P21" t="str" cm="1">
        <f t="array" ref="P21">_xlfn.TEXTJOIN(",",TRUE,(_xlfn._xlws.FILTER($A$2:$A$501,($D$2:$D$501&gt;=Q$7)*($D$2:$D$501&lt;P$7)*($E$2:$E$501&gt;=$H22)*($E$2:$E$501&lt;$H21)," ")))</f>
        <v xml:space="preserve"> </v>
      </c>
      <c r="Q21" t="str" cm="1">
        <f t="array" ref="Q21">_xlfn.TEXTJOIN(",",TRUE,(_xlfn._xlws.FILTER($A$2:$A$501,($D$2:$D$501&gt;=R$7)*($D$2:$D$501&lt;Q$7)*($E$2:$E$501&gt;=$H22)*($E$2:$E$501&lt;$H21)," ")))</f>
        <v xml:space="preserve"> </v>
      </c>
      <c r="R21" t="str" cm="1">
        <f t="array" ref="R21">_xlfn.TEXTJOIN(",",TRUE,(_xlfn._xlws.FILTER($A$2:$A$501,($D$2:$D$501&gt;=S$7)*($D$2:$D$501&lt;R$7)*($E$2:$E$501&gt;=$H22)*($E$2:$E$501&lt;$H21)," ")))</f>
        <v xml:space="preserve"> </v>
      </c>
      <c r="S21" t="str" cm="1">
        <f t="array" ref="S21">_xlfn.TEXTJOIN(",",TRUE,(_xlfn._xlws.FILTER($A$2:$A$501,($D$2:$D$501&gt;=T$7)*($D$2:$D$501&lt;S$7)*($E$2:$E$501&gt;=$H22)*($E$2:$E$501&lt;$H21)," ")))</f>
        <v xml:space="preserve"> </v>
      </c>
      <c r="T21" t="str" cm="1">
        <f t="array" ref="T21">_xlfn.TEXTJOIN(",",TRUE,(_xlfn._xlws.FILTER($A$2:$A$501,($D$2:$D$501&gt;=U$7)*($D$2:$D$501&lt;T$7)*($E$2:$E$501&gt;=$H22)*($E$2:$E$501&lt;$H21)," ")))</f>
        <v xml:space="preserve"> </v>
      </c>
      <c r="U21" t="str" cm="1">
        <f t="array" ref="U21">_xlfn.TEXTJOIN(",",TRUE,(_xlfn._xlws.FILTER($A$2:$A$501,($D$2:$D$501&gt;=V$7)*($D$2:$D$501&lt;U$7)*($E$2:$E$501&gt;=$H22)*($E$2:$E$501&lt;$H21)," ")))</f>
        <v xml:space="preserve"> </v>
      </c>
      <c r="V21" t="str" cm="1">
        <f t="array" ref="V21">_xlfn.TEXTJOIN(",",TRUE,(_xlfn._xlws.FILTER($A$2:$A$501,($D$2:$D$501&gt;=W$7)*($D$2:$D$501&lt;V$7)*($E$2:$E$501&gt;=$H22)*($E$2:$E$501&lt;$H21)," ")))</f>
        <v xml:space="preserve"> </v>
      </c>
      <c r="W21" t="str" cm="1">
        <f t="array" ref="W21">_xlfn.TEXTJOIN(",",TRUE,(_xlfn._xlws.FILTER($A$2:$A$501,($D$2:$D$501&gt;=X$7)*($D$2:$D$501&lt;W$7)*($E$2:$E$501&gt;=$H22)*($E$2:$E$501&lt;$H21)," ")))</f>
        <v xml:space="preserve"> </v>
      </c>
      <c r="X21" t="str" cm="1">
        <f t="array" ref="X21">_xlfn.TEXTJOIN(",",TRUE,(_xlfn._xlws.FILTER($A$2:$A$501,($D$2:$D$501&gt;=Y$7)*($D$2:$D$501&lt;X$7)*($E$2:$E$501&gt;=$H22)*($E$2:$E$501&lt;$H21)," ")))</f>
        <v xml:space="preserve"> </v>
      </c>
      <c r="Y21" t="str" cm="1">
        <f t="array" ref="Y21">_xlfn.TEXTJOIN(",",TRUE,(_xlfn._xlws.FILTER($A$2:$A$501,($D$2:$D$501&gt;=Z$7)*($D$2:$D$501&lt;Y$7)*($E$2:$E$501&gt;=$H22)*($E$2:$E$501&lt;$H21)," ")))</f>
        <v xml:space="preserve"> </v>
      </c>
      <c r="Z21" t="str" cm="1">
        <f t="array" ref="Z21">_xlfn.TEXTJOIN(",",TRUE,(_xlfn._xlws.FILTER($A$2:$A$501,($D$2:$D$501&gt;=AA$7)*($D$2:$D$501&lt;Z$7)*($E$2:$E$501&gt;=$H22)*($E$2:$E$501&lt;$H21)," ")))</f>
        <v xml:space="preserve"> </v>
      </c>
      <c r="AA21" t="str" cm="1">
        <f t="array" ref="AA21">_xlfn.TEXTJOIN(",",TRUE,(_xlfn._xlws.FILTER($A$2:$A$501,($D$2:$D$501&gt;=AB$7)*($D$2:$D$501&lt;AA$7)*($E$2:$E$501&gt;=$H22)*($E$2:$E$501&lt;$H21)," ")))</f>
        <v xml:space="preserve"> </v>
      </c>
      <c r="AB21" t="str" cm="1">
        <f t="array" ref="AB21">_xlfn.TEXTJOIN(",",TRUE,(_xlfn._xlws.FILTER($A$2:$A$501,($D$2:$D$501&gt;=AC$7)*($D$2:$D$501&lt;AB$7)*($E$2:$E$501&gt;=$H22)*($E$2:$E$501&lt;$H21)," ")))</f>
        <v xml:space="preserve"> </v>
      </c>
      <c r="AC21" t="str" cm="1">
        <f t="array" ref="AC21">_xlfn.TEXTJOIN(",",TRUE,(_xlfn._xlws.FILTER($A$2:$A$501,($D$2:$D$501&gt;=AD$7)*($D$2:$D$501&lt;AC$7)*($E$2:$E$501&gt;=$H22)*($E$2:$E$501&lt;$H21)," ")))</f>
        <v xml:space="preserve"> </v>
      </c>
      <c r="AD21" t="str" cm="1">
        <f t="array" ref="AD21">_xlfn.TEXTJOIN(",",TRUE,(_xlfn._xlws.FILTER($A$2:$A$501,($D$2:$D$501&gt;=AE$7)*($D$2:$D$501&lt;AD$7)*($E$2:$E$501&gt;=$H22)*($E$2:$E$501&lt;$H21)," ")))</f>
        <v xml:space="preserve"> </v>
      </c>
      <c r="AE21" t="str" cm="1">
        <f t="array" ref="AE21">_xlfn.TEXTJOIN(",",TRUE,(_xlfn._xlws.FILTER($A$2:$A$501,($D$2:$D$501&gt;=AF$7)*($D$2:$D$501&lt;AE$7)*($E$2:$E$501&gt;=$H22)*($E$2:$E$501&lt;$H21)," ")))</f>
        <v xml:space="preserve"> </v>
      </c>
      <c r="AF21" t="str" cm="1">
        <f t="array" ref="AF21">_xlfn.TEXTJOIN(",",TRUE,(_xlfn._xlws.FILTER($A$2:$A$501,($D$2:$D$501&gt;=AG$7)*($D$2:$D$501&lt;AF$7)*($E$2:$E$501&gt;=$H22)*($E$2:$E$501&lt;$H21)," ")))</f>
        <v xml:space="preserve"> </v>
      </c>
      <c r="AG21" t="str" cm="1">
        <f t="array" ref="AG21">_xlfn.TEXTJOIN(",",TRUE,(_xlfn._xlws.FILTER($A$2:$A$501,($D$2:$D$501&gt;=AH$7)*($D$2:$D$501&lt;AG$7)*($E$2:$E$501&gt;=$H22)*($E$2:$E$501&lt;$H21)," ")))</f>
        <v xml:space="preserve"> </v>
      </c>
      <c r="AH21" t="str" cm="1">
        <f t="array" ref="AH21">_xlfn.TEXTJOIN(",",TRUE,(_xlfn._xlws.FILTER($A$2:$A$501,($D$2:$D$501&gt;=AI$7)*($D$2:$D$501&lt;AH$7)*($E$2:$E$501&gt;=$H22)*($E$2:$E$501&lt;$H21)," ")))</f>
        <v xml:space="preserve"> </v>
      </c>
      <c r="AI21" t="str" cm="1">
        <f t="array" ref="AI21">_xlfn.TEXTJOIN(",",TRUE,(_xlfn._xlws.FILTER($A$2:$A$501,($D$2:$D$501&gt;=AJ$7)*($D$2:$D$501&lt;AI$7)*($E$2:$E$501&gt;=$H22)*($E$2:$E$501&lt;$H21)," ")))</f>
        <v xml:space="preserve"> </v>
      </c>
      <c r="AJ21" t="str" cm="1">
        <f t="array" ref="AJ21">_xlfn.TEXTJOIN(",",TRUE,(_xlfn._xlws.FILTER($A$2:$A$501,($D$2:$D$501&gt;=AK$7)*($D$2:$D$501&lt;AJ$7)*($E$2:$E$501&gt;=$H22)*($E$2:$E$501&lt;$H21)," ")))</f>
        <v xml:space="preserve"> </v>
      </c>
      <c r="AK21" t="str" cm="1">
        <f t="array" ref="AK21">_xlfn.TEXTJOIN(",",TRUE,(_xlfn._xlws.FILTER($A$2:$A$501,($D$2:$D$501&gt;=AL$7)*($D$2:$D$501&lt;AK$7)*($E$2:$E$501&gt;=$H22)*($E$2:$E$501&lt;$H21)," ")))</f>
        <v xml:space="preserve"> </v>
      </c>
      <c r="AL21" t="str" cm="1">
        <f t="array" ref="AL21">_xlfn.TEXTJOIN(",",TRUE,(_xlfn._xlws.FILTER($A$2:$A$501,($D$2:$D$501&gt;=AM$7)*($D$2:$D$501&lt;AL$7)*($E$2:$E$501&gt;=$H22)*($E$2:$E$501&lt;$H21)," ")))</f>
        <v xml:space="preserve"> </v>
      </c>
      <c r="AM21" t="str" cm="1">
        <f t="array" ref="AM21">_xlfn.TEXTJOIN(",",TRUE,(_xlfn._xlws.FILTER($A$2:$A$501,($D$2:$D$501&gt;=AN$7)*($D$2:$D$501&lt;AM$7)*($E$2:$E$501&gt;=$H22)*($E$2:$E$501&lt;$H21)," ")))</f>
        <v xml:space="preserve"> </v>
      </c>
      <c r="AN21" t="str" cm="1">
        <f t="array" ref="AN21">_xlfn.TEXTJOIN(",",TRUE,(_xlfn._xlws.FILTER($A$2:$A$501,($D$2:$D$501&gt;=AO$7)*($D$2:$D$501&lt;AN$7)*($E$2:$E$501&gt;=$H22)*($E$2:$E$501&lt;$H21)," ")))</f>
        <v xml:space="preserve"> </v>
      </c>
      <c r="AO21" t="str" cm="1">
        <f t="array" ref="AO21">_xlfn.TEXTJOIN(",",TRUE,(_xlfn._xlws.FILTER($A$2:$A$501,($D$2:$D$501&gt;=AP$7)*($D$2:$D$501&lt;AO$7)*($E$2:$E$501&gt;=$H22)*($E$2:$E$501&lt;$H21)," ")))</f>
        <v xml:space="preserve"> </v>
      </c>
      <c r="AP21" t="str" cm="1">
        <f t="array" ref="AP21">_xlfn.TEXTJOIN(",",TRUE,(_xlfn._xlws.FILTER($A$2:$A$501,($D$2:$D$501&gt;=AQ$7)*($D$2:$D$501&lt;AP$7)*($E$2:$E$501&gt;=$H22)*($E$2:$E$501&lt;$H21)," ")))</f>
        <v xml:space="preserve"> </v>
      </c>
      <c r="AQ21" t="str" cm="1">
        <f t="array" ref="AQ21">_xlfn.TEXTJOIN(",",TRUE,(_xlfn._xlws.FILTER($A$2:$A$501,($D$2:$D$501&gt;=AR$7)*($D$2:$D$501&lt;AQ$7)*($E$2:$E$501&gt;=$H22)*($E$2:$E$501&lt;$H21)," ")))</f>
        <v xml:space="preserve"> </v>
      </c>
      <c r="AR21" t="str" cm="1">
        <f t="array" ref="AR21">_xlfn.TEXTJOIN(",",TRUE,(_xlfn._xlws.FILTER($A$2:$A$501,($D$2:$D$501&gt;=AS$7)*($D$2:$D$501&lt;AR$7)*($E$2:$E$501&gt;=$H22)*($E$2:$E$501&lt;$H21)," ")))</f>
        <v xml:space="preserve"> </v>
      </c>
      <c r="AS21" t="str" cm="1">
        <f t="array" ref="AS21">_xlfn.TEXTJOIN(",",TRUE,(_xlfn._xlws.FILTER($A$2:$A$501,($D$2:$D$501&gt;=AT$7)*($D$2:$D$501&lt;AS$7)*($E$2:$E$501&gt;=$H22)*($E$2:$E$501&lt;$H21)," ")))</f>
        <v xml:space="preserve"> </v>
      </c>
      <c r="AT21" t="str" cm="1">
        <f t="array" ref="AT21">_xlfn.TEXTJOIN(",",TRUE,(_xlfn._xlws.FILTER($A$2:$A$501,($D$2:$D$501&gt;=AU$7)*($D$2:$D$501&lt;AT$7)*($E$2:$E$501&gt;=$H22)*($E$2:$E$501&lt;$H21)," ")))</f>
        <v xml:space="preserve"> </v>
      </c>
      <c r="AU21" t="str" cm="1">
        <f t="array" ref="AU21">_xlfn.TEXTJOIN(",",TRUE,(_xlfn._xlws.FILTER($A$2:$A$501,($D$2:$D$501&gt;=AV$7)*($D$2:$D$501&lt;AU$7)*($E$2:$E$501&gt;=$H22)*($E$2:$E$501&lt;$H21)," ")))</f>
        <v xml:space="preserve"> </v>
      </c>
      <c r="AV21" t="str" cm="1">
        <f t="array" ref="AV21">_xlfn.TEXTJOIN(",",TRUE,(_xlfn._xlws.FILTER($A$2:$A$501,($D$2:$D$501&gt;=AW$7)*($D$2:$D$501&lt;AV$7)*($E$2:$E$501&gt;=$H22)*($E$2:$E$501&lt;$H21)," ")))</f>
        <v xml:space="preserve"> </v>
      </c>
      <c r="AW21" t="str" cm="1">
        <f t="array" ref="AW21">_xlfn.TEXTJOIN(",",TRUE,(_xlfn._xlws.FILTER($A$2:$A$501,($D$2:$D$501&gt;=AX$7)*($D$2:$D$501&lt;AW$7)*($E$2:$E$501&gt;=$H22)*($E$2:$E$501&lt;$H21)," ")))</f>
        <v xml:space="preserve"> </v>
      </c>
      <c r="AX21" t="str" cm="1">
        <f t="array" ref="AX21">_xlfn.TEXTJOIN(",",TRUE,(_xlfn._xlws.FILTER($A$2:$A$501,($D$2:$D$501&gt;=AY$7)*($D$2:$D$501&lt;AX$7)*($E$2:$E$501&gt;=$H22)*($E$2:$E$501&lt;$H21)," ")))</f>
        <v xml:space="preserve"> </v>
      </c>
      <c r="AY21" t="str" cm="1">
        <f t="array" ref="AY21">_xlfn.TEXTJOIN(",",TRUE,(_xlfn._xlws.FILTER($A$2:$A$501,($D$2:$D$501&gt;=AZ$7)*($D$2:$D$501&lt;AY$7)*($E$2:$E$501&gt;=$H22)*($E$2:$E$501&lt;$H21)," ")))</f>
        <v xml:space="preserve"> </v>
      </c>
      <c r="AZ21" t="str" cm="1">
        <f t="array" ref="AZ21">_xlfn.TEXTJOIN(",",TRUE,(_xlfn._xlws.FILTER($A$2:$A$501,($D$2:$D$501&gt;=BA$7)*($D$2:$D$501&lt;AZ$7)*($E$2:$E$501&gt;=$H22)*($E$2:$E$501&lt;$H21)," ")))</f>
        <v xml:space="preserve"> </v>
      </c>
      <c r="BA21" t="str" cm="1">
        <f t="array" ref="BA21">_xlfn.TEXTJOIN(",",TRUE,(_xlfn._xlws.FILTER($A$2:$A$501,($D$2:$D$501&gt;=BB$7)*($D$2:$D$501&lt;BA$7)*($E$2:$E$501&gt;=$H22)*($E$2:$E$501&lt;$H21)," ")))</f>
        <v xml:space="preserve"> </v>
      </c>
      <c r="BB21" t="str" cm="1">
        <f t="array" ref="BB21">_xlfn.TEXTJOIN(",",TRUE,(_xlfn._xlws.FILTER($A$2:$A$501,($D$2:$D$501&gt;=BC$7)*($D$2:$D$501&lt;BB$7)*($E$2:$E$501&gt;=$H22)*($E$2:$E$501&lt;$H21)," ")))</f>
        <v xml:space="preserve"> </v>
      </c>
    </row>
    <row r="22" spans="1:54" x14ac:dyDescent="0.2">
      <c r="A22" s="3" t="s">
        <v>490</v>
      </c>
      <c r="B22" s="3" t="s">
        <v>491</v>
      </c>
      <c r="C22" s="13">
        <v>1132150.8600000001</v>
      </c>
      <c r="D22" s="15">
        <v>17544559.75</v>
      </c>
      <c r="E22" s="22">
        <f>TuitionRates3[[#This Row],[Tuition]]/D22</f>
        <v>6.4530023900998712E-2</v>
      </c>
      <c r="F22"/>
      <c r="H22" s="18">
        <v>0.13600000000000001</v>
      </c>
      <c r="I22" t="str" cm="1">
        <f t="array" ref="I22">_xlfn.TEXTJOIN(",",TRUE,(_xlfn._xlws.FILTER($A$2:$A$501,($D$2:$D$501&gt;=J$7)*($D$2:$D$501&lt;I$7)*($E$2:$E$501&gt;=$H23)*($E$2:$E$501&lt;$H22)," ")))</f>
        <v xml:space="preserve"> </v>
      </c>
      <c r="J22" t="str" cm="1">
        <f t="array" ref="J22">_xlfn.TEXTJOIN(",",TRUE,(_xlfn._xlws.FILTER($A$2:$A$501,($D$2:$D$501&gt;=K$7)*($D$2:$D$501&lt;J$7)*($E$2:$E$501&gt;=$H23)*($E$2:$E$501&lt;$H22)," ")))</f>
        <v xml:space="preserve"> </v>
      </c>
      <c r="K22" t="str" cm="1">
        <f t="array" ref="K22">_xlfn.TEXTJOIN(",",TRUE,(_xlfn._xlws.FILTER($A$2:$A$501,($D$2:$D$501&gt;=L$7)*($D$2:$D$501&lt;K$7)*($E$2:$E$501&gt;=$H23)*($E$2:$E$501&lt;$H22)," ")))</f>
        <v xml:space="preserve"> </v>
      </c>
      <c r="L22" t="str" cm="1">
        <f t="array" ref="L22">_xlfn.TEXTJOIN(",",TRUE,(_xlfn._xlws.FILTER($A$2:$A$501,($D$2:$D$501&gt;=M$7)*($D$2:$D$501&lt;L$7)*($E$2:$E$501&gt;=$H23)*($E$2:$E$501&lt;$H22)," ")))</f>
        <v xml:space="preserve"> </v>
      </c>
      <c r="M22" t="str" cm="1">
        <f t="array" ref="M22">_xlfn.TEXTJOIN(",",TRUE,(_xlfn._xlws.FILTER($A$2:$A$501,($D$2:$D$501&gt;=N$7)*($D$2:$D$501&lt;M$7)*($E$2:$E$501&gt;=$H23)*($E$2:$E$501&lt;$H22)," ")))</f>
        <v xml:space="preserve"> </v>
      </c>
      <c r="N22" t="str" cm="1">
        <f t="array" ref="N22">_xlfn.TEXTJOIN(",",TRUE,(_xlfn._xlws.FILTER($A$2:$A$501,($D$2:$D$501&gt;=O$7)*($D$2:$D$501&lt;N$7)*($E$2:$E$501&gt;=$H23)*($E$2:$E$501&lt;$H22)," ")))</f>
        <v xml:space="preserve"> </v>
      </c>
      <c r="O22" t="str" cm="1">
        <f t="array" ref="O22">_xlfn.TEXTJOIN(",",TRUE,(_xlfn._xlws.FILTER($A$2:$A$501,($D$2:$D$501&gt;=P$7)*($D$2:$D$501&lt;O$7)*($E$2:$E$501&gt;=$H23)*($E$2:$E$501&lt;$H22)," ")))</f>
        <v xml:space="preserve"> </v>
      </c>
      <c r="P22" t="str" cm="1">
        <f t="array" ref="P22">_xlfn.TEXTJOIN(",",TRUE,(_xlfn._xlws.FILTER($A$2:$A$501,($D$2:$D$501&gt;=Q$7)*($D$2:$D$501&lt;P$7)*($E$2:$E$501&gt;=$H23)*($E$2:$E$501&lt;$H22)," ")))</f>
        <v xml:space="preserve"> </v>
      </c>
      <c r="Q22" t="str" cm="1">
        <f t="array" ref="Q22">_xlfn.TEXTJOIN(",",TRUE,(_xlfn._xlws.FILTER($A$2:$A$501,($D$2:$D$501&gt;=R$7)*($D$2:$D$501&lt;Q$7)*($E$2:$E$501&gt;=$H23)*($E$2:$E$501&lt;$H22)," ")))</f>
        <v xml:space="preserve"> </v>
      </c>
      <c r="R22" t="str" cm="1">
        <f t="array" ref="R22">_xlfn.TEXTJOIN(",",TRUE,(_xlfn._xlws.FILTER($A$2:$A$501,($D$2:$D$501&gt;=S$7)*($D$2:$D$501&lt;R$7)*($E$2:$E$501&gt;=$H23)*($E$2:$E$501&lt;$H22)," ")))</f>
        <v xml:space="preserve"> </v>
      </c>
      <c r="S22" t="str" cm="1">
        <f t="array" ref="S22">_xlfn.TEXTJOIN(",",TRUE,(_xlfn._xlws.FILTER($A$2:$A$501,($D$2:$D$501&gt;=T$7)*($D$2:$D$501&lt;S$7)*($E$2:$E$501&gt;=$H23)*($E$2:$E$501&lt;$H22)," ")))</f>
        <v xml:space="preserve"> </v>
      </c>
      <c r="T22" t="str" cm="1">
        <f t="array" ref="T22">_xlfn.TEXTJOIN(",",TRUE,(_xlfn._xlws.FILTER($A$2:$A$501,($D$2:$D$501&gt;=U$7)*($D$2:$D$501&lt;T$7)*($E$2:$E$501&gt;=$H23)*($E$2:$E$501&lt;$H22)," ")))</f>
        <v xml:space="preserve"> </v>
      </c>
      <c r="U22" t="str" cm="1">
        <f t="array" ref="U22">_xlfn.TEXTJOIN(",",TRUE,(_xlfn._xlws.FILTER($A$2:$A$501,($D$2:$D$501&gt;=V$7)*($D$2:$D$501&lt;U$7)*($E$2:$E$501&gt;=$H23)*($E$2:$E$501&lt;$H22)," ")))</f>
        <v xml:space="preserve"> </v>
      </c>
      <c r="V22" t="str" cm="1">
        <f t="array" ref="V22">_xlfn.TEXTJOIN(",",TRUE,(_xlfn._xlws.FILTER($A$2:$A$501,($D$2:$D$501&gt;=W$7)*($D$2:$D$501&lt;V$7)*($E$2:$E$501&gt;=$H23)*($E$2:$E$501&lt;$H22)," ")))</f>
        <v xml:space="preserve"> </v>
      </c>
      <c r="W22" t="str" cm="1">
        <f t="array" ref="W22">_xlfn.TEXTJOIN(",",TRUE,(_xlfn._xlws.FILTER($A$2:$A$501,($D$2:$D$501&gt;=X$7)*($D$2:$D$501&lt;W$7)*($E$2:$E$501&gt;=$H23)*($E$2:$E$501&lt;$H22)," ")))</f>
        <v xml:space="preserve"> </v>
      </c>
      <c r="X22" t="str" cm="1">
        <f t="array" ref="X22">_xlfn.TEXTJOIN(",",TRUE,(_xlfn._xlws.FILTER($A$2:$A$501,($D$2:$D$501&gt;=Y$7)*($D$2:$D$501&lt;X$7)*($E$2:$E$501&gt;=$H23)*($E$2:$E$501&lt;$H22)," ")))</f>
        <v xml:space="preserve"> </v>
      </c>
      <c r="Y22" t="str" cm="1">
        <f t="array" ref="Y22">_xlfn.TEXTJOIN(",",TRUE,(_xlfn._xlws.FILTER($A$2:$A$501,($D$2:$D$501&gt;=Z$7)*($D$2:$D$501&lt;Y$7)*($E$2:$E$501&gt;=$H23)*($E$2:$E$501&lt;$H22)," ")))</f>
        <v xml:space="preserve"> </v>
      </c>
      <c r="Z22" t="str" cm="1">
        <f t="array" ref="Z22">_xlfn.TEXTJOIN(",",TRUE,(_xlfn._xlws.FILTER($A$2:$A$501,($D$2:$D$501&gt;=AA$7)*($D$2:$D$501&lt;Z$7)*($E$2:$E$501&gt;=$H23)*($E$2:$E$501&lt;$H22)," ")))</f>
        <v xml:space="preserve"> </v>
      </c>
      <c r="AA22" t="str" cm="1">
        <f t="array" ref="AA22">_xlfn.TEXTJOIN(",",TRUE,(_xlfn._xlws.FILTER($A$2:$A$501,($D$2:$D$501&gt;=AB$7)*($D$2:$D$501&lt;AA$7)*($E$2:$E$501&gt;=$H23)*($E$2:$E$501&lt;$H22)," ")))</f>
        <v xml:space="preserve"> </v>
      </c>
      <c r="AB22" t="str" cm="1">
        <f t="array" ref="AB22">_xlfn.TEXTJOIN(",",TRUE,(_xlfn._xlws.FILTER($A$2:$A$501,($D$2:$D$501&gt;=AC$7)*($D$2:$D$501&lt;AB$7)*($E$2:$E$501&gt;=$H23)*($E$2:$E$501&lt;$H22)," ")))</f>
        <v xml:space="preserve"> </v>
      </c>
      <c r="AC22" t="str" cm="1">
        <f t="array" ref="AC22">_xlfn.TEXTJOIN(",",TRUE,(_xlfn._xlws.FILTER($A$2:$A$501,($D$2:$D$501&gt;=AD$7)*($D$2:$D$501&lt;AC$7)*($E$2:$E$501&gt;=$H23)*($E$2:$E$501&lt;$H22)," ")))</f>
        <v xml:space="preserve"> </v>
      </c>
      <c r="AD22" t="str" cm="1">
        <f t="array" ref="AD22">_xlfn.TEXTJOIN(",",TRUE,(_xlfn._xlws.FILTER($A$2:$A$501,($D$2:$D$501&gt;=AE$7)*($D$2:$D$501&lt;AD$7)*($E$2:$E$501&gt;=$H23)*($E$2:$E$501&lt;$H22)," ")))</f>
        <v xml:space="preserve"> </v>
      </c>
      <c r="AE22" t="str" cm="1">
        <f t="array" ref="AE22">_xlfn.TEXTJOIN(",",TRUE,(_xlfn._xlws.FILTER($A$2:$A$501,($D$2:$D$501&gt;=AF$7)*($D$2:$D$501&lt;AE$7)*($E$2:$E$501&gt;=$H23)*($E$2:$E$501&lt;$H22)," ")))</f>
        <v xml:space="preserve"> </v>
      </c>
      <c r="AF22" t="str" cm="1">
        <f t="array" ref="AF22">_xlfn.TEXTJOIN(",",TRUE,(_xlfn._xlws.FILTER($A$2:$A$501,($D$2:$D$501&gt;=AG$7)*($D$2:$D$501&lt;AF$7)*($E$2:$E$501&gt;=$H23)*($E$2:$E$501&lt;$H22)," ")))</f>
        <v xml:space="preserve"> </v>
      </c>
      <c r="AG22" t="str" cm="1">
        <f t="array" ref="AG22">_xlfn.TEXTJOIN(",",TRUE,(_xlfn._xlws.FILTER($A$2:$A$501,($D$2:$D$501&gt;=AH$7)*($D$2:$D$501&lt;AG$7)*($E$2:$E$501&gt;=$H23)*($E$2:$E$501&lt;$H22)," ")))</f>
        <v xml:space="preserve"> </v>
      </c>
      <c r="AH22" t="str" cm="1">
        <f t="array" ref="AH22">_xlfn.TEXTJOIN(",",TRUE,(_xlfn._xlws.FILTER($A$2:$A$501,($D$2:$D$501&gt;=AI$7)*($D$2:$D$501&lt;AH$7)*($E$2:$E$501&gt;=$H23)*($E$2:$E$501&lt;$H22)," ")))</f>
        <v xml:space="preserve"> </v>
      </c>
      <c r="AI22" t="str" cm="1">
        <f t="array" ref="AI22">_xlfn.TEXTJOIN(",",TRUE,(_xlfn._xlws.FILTER($A$2:$A$501,($D$2:$D$501&gt;=AJ$7)*($D$2:$D$501&lt;AI$7)*($E$2:$E$501&gt;=$H23)*($E$2:$E$501&lt;$H22)," ")))</f>
        <v xml:space="preserve"> </v>
      </c>
      <c r="AJ22" t="str" cm="1">
        <f t="array" ref="AJ22">_xlfn.TEXTJOIN(",",TRUE,(_xlfn._xlws.FILTER($A$2:$A$501,($D$2:$D$501&gt;=AK$7)*($D$2:$D$501&lt;AJ$7)*($E$2:$E$501&gt;=$H23)*($E$2:$E$501&lt;$H22)," ")))</f>
        <v xml:space="preserve"> </v>
      </c>
      <c r="AK22" t="str" cm="1">
        <f t="array" ref="AK22">_xlfn.TEXTJOIN(",",TRUE,(_xlfn._xlws.FILTER($A$2:$A$501,($D$2:$D$501&gt;=AL$7)*($D$2:$D$501&lt;AK$7)*($E$2:$E$501&gt;=$H23)*($E$2:$E$501&lt;$H22)," ")))</f>
        <v xml:space="preserve"> </v>
      </c>
      <c r="AL22" t="str" cm="1">
        <f t="array" ref="AL22">_xlfn.TEXTJOIN(",",TRUE,(_xlfn._xlws.FILTER($A$2:$A$501,($D$2:$D$501&gt;=AM$7)*($D$2:$D$501&lt;AL$7)*($E$2:$E$501&gt;=$H23)*($E$2:$E$501&lt;$H22)," ")))</f>
        <v xml:space="preserve"> </v>
      </c>
      <c r="AM22" t="str" cm="1">
        <f t="array" ref="AM22">_xlfn.TEXTJOIN(",",TRUE,(_xlfn._xlws.FILTER($A$2:$A$501,($D$2:$D$501&gt;=AN$7)*($D$2:$D$501&lt;AM$7)*($E$2:$E$501&gt;=$H23)*($E$2:$E$501&lt;$H22)," ")))</f>
        <v xml:space="preserve"> </v>
      </c>
      <c r="AN22" t="str" cm="1">
        <f t="array" ref="AN22">_xlfn.TEXTJOIN(",",TRUE,(_xlfn._xlws.FILTER($A$2:$A$501,($D$2:$D$501&gt;=AO$7)*($D$2:$D$501&lt;AN$7)*($E$2:$E$501&gt;=$H23)*($E$2:$E$501&lt;$H22)," ")))</f>
        <v xml:space="preserve"> </v>
      </c>
      <c r="AO22" t="str" cm="1">
        <f t="array" ref="AO22">_xlfn.TEXTJOIN(",",TRUE,(_xlfn._xlws.FILTER($A$2:$A$501,($D$2:$D$501&gt;=AP$7)*($D$2:$D$501&lt;AO$7)*($E$2:$E$501&gt;=$H23)*($E$2:$E$501&lt;$H22)," ")))</f>
        <v xml:space="preserve"> </v>
      </c>
      <c r="AP22" t="str" cm="1">
        <f t="array" ref="AP22">_xlfn.TEXTJOIN(",",TRUE,(_xlfn._xlws.FILTER($A$2:$A$501,($D$2:$D$501&gt;=AQ$7)*($D$2:$D$501&lt;AP$7)*($E$2:$E$501&gt;=$H23)*($E$2:$E$501&lt;$H22)," ")))</f>
        <v xml:space="preserve"> </v>
      </c>
      <c r="AQ22" t="str" cm="1">
        <f t="array" ref="AQ22">_xlfn.TEXTJOIN(",",TRUE,(_xlfn._xlws.FILTER($A$2:$A$501,($D$2:$D$501&gt;=AR$7)*($D$2:$D$501&lt;AQ$7)*($E$2:$E$501&gt;=$H23)*($E$2:$E$501&lt;$H22)," ")))</f>
        <v xml:space="preserve"> </v>
      </c>
      <c r="AR22" t="str" cm="1">
        <f t="array" ref="AR22">_xlfn.TEXTJOIN(",",TRUE,(_xlfn._xlws.FILTER($A$2:$A$501,($D$2:$D$501&gt;=AS$7)*($D$2:$D$501&lt;AR$7)*($E$2:$E$501&gt;=$H23)*($E$2:$E$501&lt;$H22)," ")))</f>
        <v xml:space="preserve"> </v>
      </c>
      <c r="AS22" t="str" cm="1">
        <f t="array" ref="AS22">_xlfn.TEXTJOIN(",",TRUE,(_xlfn._xlws.FILTER($A$2:$A$501,($D$2:$D$501&gt;=AT$7)*($D$2:$D$501&lt;AS$7)*($E$2:$E$501&gt;=$H23)*($E$2:$E$501&lt;$H22)," ")))</f>
        <v xml:space="preserve"> </v>
      </c>
      <c r="AT22" t="str" cm="1">
        <f t="array" ref="AT22">_xlfn.TEXTJOIN(",",TRUE,(_xlfn._xlws.FILTER($A$2:$A$501,($D$2:$D$501&gt;=AU$7)*($D$2:$D$501&lt;AT$7)*($E$2:$E$501&gt;=$H23)*($E$2:$E$501&lt;$H22)," ")))</f>
        <v xml:space="preserve"> </v>
      </c>
      <c r="AU22" t="str" cm="1">
        <f t="array" ref="AU22">_xlfn.TEXTJOIN(",",TRUE,(_xlfn._xlws.FILTER($A$2:$A$501,($D$2:$D$501&gt;=AV$7)*($D$2:$D$501&lt;AU$7)*($E$2:$E$501&gt;=$H23)*($E$2:$E$501&lt;$H22)," ")))</f>
        <v xml:space="preserve"> </v>
      </c>
      <c r="AV22" t="str" cm="1">
        <f t="array" ref="AV22">_xlfn.TEXTJOIN(",",TRUE,(_xlfn._xlws.FILTER($A$2:$A$501,($D$2:$D$501&gt;=AW$7)*($D$2:$D$501&lt;AV$7)*($E$2:$E$501&gt;=$H23)*($E$2:$E$501&lt;$H22)," ")))</f>
        <v xml:space="preserve"> </v>
      </c>
      <c r="AW22" t="str" cm="1">
        <f t="array" ref="AW22">_xlfn.TEXTJOIN(",",TRUE,(_xlfn._xlws.FILTER($A$2:$A$501,($D$2:$D$501&gt;=AX$7)*($D$2:$D$501&lt;AW$7)*($E$2:$E$501&gt;=$H23)*($E$2:$E$501&lt;$H22)," ")))</f>
        <v xml:space="preserve"> </v>
      </c>
      <c r="AX22" t="str" cm="1">
        <f t="array" ref="AX22">_xlfn.TEXTJOIN(",",TRUE,(_xlfn._xlws.FILTER($A$2:$A$501,($D$2:$D$501&gt;=AY$7)*($D$2:$D$501&lt;AX$7)*($E$2:$E$501&gt;=$H23)*($E$2:$E$501&lt;$H22)," ")))</f>
        <v xml:space="preserve"> </v>
      </c>
      <c r="AY22" t="str" cm="1">
        <f t="array" ref="AY22">_xlfn.TEXTJOIN(",",TRUE,(_xlfn._xlws.FILTER($A$2:$A$501,($D$2:$D$501&gt;=AZ$7)*($D$2:$D$501&lt;AY$7)*($E$2:$E$501&gt;=$H23)*($E$2:$E$501&lt;$H22)," ")))</f>
        <v xml:space="preserve"> </v>
      </c>
      <c r="AZ22" t="str" cm="1">
        <f t="array" ref="AZ22">_xlfn.TEXTJOIN(",",TRUE,(_xlfn._xlws.FILTER($A$2:$A$501,($D$2:$D$501&gt;=BA$7)*($D$2:$D$501&lt;AZ$7)*($E$2:$E$501&gt;=$H23)*($E$2:$E$501&lt;$H22)," ")))</f>
        <v xml:space="preserve"> </v>
      </c>
      <c r="BA22" t="str" cm="1">
        <f t="array" ref="BA22">_xlfn.TEXTJOIN(",",TRUE,(_xlfn._xlws.FILTER($A$2:$A$501,($D$2:$D$501&gt;=BB$7)*($D$2:$D$501&lt;BA$7)*($E$2:$E$501&gt;=$H23)*($E$2:$E$501&lt;$H22)," ")))</f>
        <v xml:space="preserve"> </v>
      </c>
      <c r="BB22" t="str" cm="1">
        <f t="array" ref="BB22">_xlfn.TEXTJOIN(",",TRUE,(_xlfn._xlws.FILTER($A$2:$A$501,($D$2:$D$501&gt;=BC$7)*($D$2:$D$501&lt;BB$7)*($E$2:$E$501&gt;=$H23)*($E$2:$E$501&lt;$H22)," ")))</f>
        <v xml:space="preserve"> </v>
      </c>
    </row>
    <row r="23" spans="1:54" x14ac:dyDescent="0.2">
      <c r="A23" s="3" t="s">
        <v>266</v>
      </c>
      <c r="B23" s="3" t="s">
        <v>261</v>
      </c>
      <c r="C23" s="13">
        <v>3745189.55</v>
      </c>
      <c r="D23" s="15">
        <v>58826827.880000003</v>
      </c>
      <c r="E23" s="22">
        <f>TuitionRates3[[#This Row],[Tuition]]/D23</f>
        <v>6.3664652420826737E-2</v>
      </c>
      <c r="F23"/>
      <c r="H23" s="18">
        <v>0.13500000000000001</v>
      </c>
      <c r="I23" t="str" cm="1">
        <f t="array" ref="I23">_xlfn.TEXTJOIN(",",TRUE,(_xlfn._xlws.FILTER($A$2:$A$501,($D$2:$D$501&gt;=J$7)*($D$2:$D$501&lt;I$7)*($E$2:$E$501&gt;=$H24)*($E$2:$E$501&lt;$H23)," ")))</f>
        <v xml:space="preserve"> </v>
      </c>
      <c r="J23" t="str" cm="1">
        <f t="array" ref="J23">_xlfn.TEXTJOIN(",",TRUE,(_xlfn._xlws.FILTER($A$2:$A$501,($D$2:$D$501&gt;=K$7)*($D$2:$D$501&lt;J$7)*($E$2:$E$501&gt;=$H24)*($E$2:$E$501&lt;$H23)," ")))</f>
        <v xml:space="preserve"> </v>
      </c>
      <c r="K23" t="str" cm="1">
        <f t="array" ref="K23">_xlfn.TEXTJOIN(",",TRUE,(_xlfn._xlws.FILTER($A$2:$A$501,($D$2:$D$501&gt;=L$7)*($D$2:$D$501&lt;K$7)*($E$2:$E$501&gt;=$H24)*($E$2:$E$501&lt;$H23)," ")))</f>
        <v xml:space="preserve"> </v>
      </c>
      <c r="L23" t="str" cm="1">
        <f t="array" ref="L23">_xlfn.TEXTJOIN(",",TRUE,(_xlfn._xlws.FILTER($A$2:$A$501,($D$2:$D$501&gt;=M$7)*($D$2:$D$501&lt;L$7)*($E$2:$E$501&gt;=$H24)*($E$2:$E$501&lt;$H23)," ")))</f>
        <v xml:space="preserve"> </v>
      </c>
      <c r="M23" t="str" cm="1">
        <f t="array" ref="M23">_xlfn.TEXTJOIN(",",TRUE,(_xlfn._xlws.FILTER($A$2:$A$501,($D$2:$D$501&gt;=N$7)*($D$2:$D$501&lt;M$7)*($E$2:$E$501&gt;=$H24)*($E$2:$E$501&lt;$H23)," ")))</f>
        <v xml:space="preserve"> </v>
      </c>
      <c r="N23" t="str" cm="1">
        <f t="array" ref="N23">_xlfn.TEXTJOIN(",",TRUE,(_xlfn._xlws.FILTER($A$2:$A$501,($D$2:$D$501&gt;=O$7)*($D$2:$D$501&lt;N$7)*($E$2:$E$501&gt;=$H24)*($E$2:$E$501&lt;$H23)," ")))</f>
        <v xml:space="preserve"> </v>
      </c>
      <c r="O23" t="str" cm="1">
        <f t="array" ref="O23">_xlfn.TEXTJOIN(",",TRUE,(_xlfn._xlws.FILTER($A$2:$A$501,($D$2:$D$501&gt;=P$7)*($D$2:$D$501&lt;O$7)*($E$2:$E$501&gt;=$H24)*($E$2:$E$501&lt;$H23)," ")))</f>
        <v xml:space="preserve"> </v>
      </c>
      <c r="P23" t="str" cm="1">
        <f t="array" ref="P23">_xlfn.TEXTJOIN(",",TRUE,(_xlfn._xlws.FILTER($A$2:$A$501,($D$2:$D$501&gt;=Q$7)*($D$2:$D$501&lt;P$7)*($E$2:$E$501&gt;=$H24)*($E$2:$E$501&lt;$H23)," ")))</f>
        <v xml:space="preserve"> </v>
      </c>
      <c r="Q23" t="str" cm="1">
        <f t="array" ref="Q23">_xlfn.TEXTJOIN(",",TRUE,(_xlfn._xlws.FILTER($A$2:$A$501,($D$2:$D$501&gt;=R$7)*($D$2:$D$501&lt;Q$7)*($E$2:$E$501&gt;=$H24)*($E$2:$E$501&lt;$H23)," ")))</f>
        <v xml:space="preserve"> </v>
      </c>
      <c r="R23" t="str" cm="1">
        <f t="array" ref="R23">_xlfn.TEXTJOIN(",",TRUE,(_xlfn._xlws.FILTER($A$2:$A$501,($D$2:$D$501&gt;=S$7)*($D$2:$D$501&lt;R$7)*($E$2:$E$501&gt;=$H24)*($E$2:$E$501&lt;$H23)," ")))</f>
        <v xml:space="preserve"> </v>
      </c>
      <c r="S23" t="str" cm="1">
        <f t="array" ref="S23">_xlfn.TEXTJOIN(",",TRUE,(_xlfn._xlws.FILTER($A$2:$A$501,($D$2:$D$501&gt;=T$7)*($D$2:$D$501&lt;S$7)*($E$2:$E$501&gt;=$H24)*($E$2:$E$501&lt;$H23)," ")))</f>
        <v xml:space="preserve"> </v>
      </c>
      <c r="T23" t="str" cm="1">
        <f t="array" ref="T23">_xlfn.TEXTJOIN(",",TRUE,(_xlfn._xlws.FILTER($A$2:$A$501,($D$2:$D$501&gt;=U$7)*($D$2:$D$501&lt;T$7)*($E$2:$E$501&gt;=$H24)*($E$2:$E$501&lt;$H23)," ")))</f>
        <v xml:space="preserve"> </v>
      </c>
      <c r="U23" t="str" cm="1">
        <f t="array" ref="U23">_xlfn.TEXTJOIN(",",TRUE,(_xlfn._xlws.FILTER($A$2:$A$501,($D$2:$D$501&gt;=V$7)*($D$2:$D$501&lt;U$7)*($E$2:$E$501&gt;=$H24)*($E$2:$E$501&lt;$H23)," ")))</f>
        <v xml:space="preserve"> </v>
      </c>
      <c r="V23" t="str" cm="1">
        <f t="array" ref="V23">_xlfn.TEXTJOIN(",",TRUE,(_xlfn._xlws.FILTER($A$2:$A$501,($D$2:$D$501&gt;=W$7)*($D$2:$D$501&lt;V$7)*($E$2:$E$501&gt;=$H24)*($E$2:$E$501&lt;$H23)," ")))</f>
        <v xml:space="preserve"> </v>
      </c>
      <c r="W23" t="str" cm="1">
        <f t="array" ref="W23">_xlfn.TEXTJOIN(",",TRUE,(_xlfn._xlws.FILTER($A$2:$A$501,($D$2:$D$501&gt;=X$7)*($D$2:$D$501&lt;W$7)*($E$2:$E$501&gt;=$H24)*($E$2:$E$501&lt;$H23)," ")))</f>
        <v xml:space="preserve"> </v>
      </c>
      <c r="X23" t="str" cm="1">
        <f t="array" ref="X23">_xlfn.TEXTJOIN(",",TRUE,(_xlfn._xlws.FILTER($A$2:$A$501,($D$2:$D$501&gt;=Y$7)*($D$2:$D$501&lt;X$7)*($E$2:$E$501&gt;=$H24)*($E$2:$E$501&lt;$H23)," ")))</f>
        <v xml:space="preserve"> </v>
      </c>
      <c r="Y23" t="str" cm="1">
        <f t="array" ref="Y23">_xlfn.TEXTJOIN(",",TRUE,(_xlfn._xlws.FILTER($A$2:$A$501,($D$2:$D$501&gt;=Z$7)*($D$2:$D$501&lt;Y$7)*($E$2:$E$501&gt;=$H24)*($E$2:$E$501&lt;$H23)," ")))</f>
        <v xml:space="preserve"> </v>
      </c>
      <c r="Z23" t="str" cm="1">
        <f t="array" ref="Z23">_xlfn.TEXTJOIN(",",TRUE,(_xlfn._xlws.FILTER($A$2:$A$501,($D$2:$D$501&gt;=AA$7)*($D$2:$D$501&lt;Z$7)*($E$2:$E$501&gt;=$H24)*($E$2:$E$501&lt;$H23)," ")))</f>
        <v xml:space="preserve"> </v>
      </c>
      <c r="AA23" t="str" cm="1">
        <f t="array" ref="AA23">_xlfn.TEXTJOIN(",",TRUE,(_xlfn._xlws.FILTER($A$2:$A$501,($D$2:$D$501&gt;=AB$7)*($D$2:$D$501&lt;AA$7)*($E$2:$E$501&gt;=$H24)*($E$2:$E$501&lt;$H23)," ")))</f>
        <v xml:space="preserve"> </v>
      </c>
      <c r="AB23" t="str" cm="1">
        <f t="array" ref="AB23">_xlfn.TEXTJOIN(",",TRUE,(_xlfn._xlws.FILTER($A$2:$A$501,($D$2:$D$501&gt;=AC$7)*($D$2:$D$501&lt;AB$7)*($E$2:$E$501&gt;=$H24)*($E$2:$E$501&lt;$H23)," ")))</f>
        <v xml:space="preserve"> </v>
      </c>
      <c r="AC23" t="str" cm="1">
        <f t="array" ref="AC23">_xlfn.TEXTJOIN(",",TRUE,(_xlfn._xlws.FILTER($A$2:$A$501,($D$2:$D$501&gt;=AD$7)*($D$2:$D$501&lt;AC$7)*($E$2:$E$501&gt;=$H24)*($E$2:$E$501&lt;$H23)," ")))</f>
        <v xml:space="preserve"> </v>
      </c>
      <c r="AD23" t="str" cm="1">
        <f t="array" ref="AD23">_xlfn.TEXTJOIN(",",TRUE,(_xlfn._xlws.FILTER($A$2:$A$501,($D$2:$D$501&gt;=AE$7)*($D$2:$D$501&lt;AD$7)*($E$2:$E$501&gt;=$H24)*($E$2:$E$501&lt;$H23)," ")))</f>
        <v xml:space="preserve"> </v>
      </c>
      <c r="AE23" t="str" cm="1">
        <f t="array" ref="AE23">_xlfn.TEXTJOIN(",",TRUE,(_xlfn._xlws.FILTER($A$2:$A$501,($D$2:$D$501&gt;=AF$7)*($D$2:$D$501&lt;AE$7)*($E$2:$E$501&gt;=$H24)*($E$2:$E$501&lt;$H23)," ")))</f>
        <v xml:space="preserve"> </v>
      </c>
      <c r="AF23" t="str" cm="1">
        <f t="array" ref="AF23">_xlfn.TEXTJOIN(",",TRUE,(_xlfn._xlws.FILTER($A$2:$A$501,($D$2:$D$501&gt;=AG$7)*($D$2:$D$501&lt;AF$7)*($E$2:$E$501&gt;=$H24)*($E$2:$E$501&lt;$H23)," ")))</f>
        <v xml:space="preserve"> </v>
      </c>
      <c r="AG23" t="str" cm="1">
        <f t="array" ref="AG23">_xlfn.TEXTJOIN(",",TRUE,(_xlfn._xlws.FILTER($A$2:$A$501,($D$2:$D$501&gt;=AH$7)*($D$2:$D$501&lt;AG$7)*($E$2:$E$501&gt;=$H24)*($E$2:$E$501&lt;$H23)," ")))</f>
        <v xml:space="preserve"> </v>
      </c>
      <c r="AH23" t="str" cm="1">
        <f t="array" ref="AH23">_xlfn.TEXTJOIN(",",TRUE,(_xlfn._xlws.FILTER($A$2:$A$501,($D$2:$D$501&gt;=AI$7)*($D$2:$D$501&lt;AH$7)*($E$2:$E$501&gt;=$H24)*($E$2:$E$501&lt;$H23)," ")))</f>
        <v xml:space="preserve"> </v>
      </c>
      <c r="AI23" t="str" cm="1">
        <f t="array" ref="AI23">_xlfn.TEXTJOIN(",",TRUE,(_xlfn._xlws.FILTER($A$2:$A$501,($D$2:$D$501&gt;=AJ$7)*($D$2:$D$501&lt;AI$7)*($E$2:$E$501&gt;=$H24)*($E$2:$E$501&lt;$H23)," ")))</f>
        <v xml:space="preserve"> </v>
      </c>
      <c r="AJ23" t="str" cm="1">
        <f t="array" ref="AJ23">_xlfn.TEXTJOIN(",",TRUE,(_xlfn._xlws.FILTER($A$2:$A$501,($D$2:$D$501&gt;=AK$7)*($D$2:$D$501&lt;AJ$7)*($E$2:$E$501&gt;=$H24)*($E$2:$E$501&lt;$H23)," ")))</f>
        <v xml:space="preserve"> </v>
      </c>
      <c r="AK23" t="str" cm="1">
        <f t="array" ref="AK23">_xlfn.TEXTJOIN(",",TRUE,(_xlfn._xlws.FILTER($A$2:$A$501,($D$2:$D$501&gt;=AL$7)*($D$2:$D$501&lt;AK$7)*($E$2:$E$501&gt;=$H24)*($E$2:$E$501&lt;$H23)," ")))</f>
        <v xml:space="preserve"> </v>
      </c>
      <c r="AL23" t="str" cm="1">
        <f t="array" ref="AL23">_xlfn.TEXTJOIN(",",TRUE,(_xlfn._xlws.FILTER($A$2:$A$501,($D$2:$D$501&gt;=AM$7)*($D$2:$D$501&lt;AL$7)*($E$2:$E$501&gt;=$H24)*($E$2:$E$501&lt;$H23)," ")))</f>
        <v xml:space="preserve"> </v>
      </c>
      <c r="AM23" t="str" cm="1">
        <f t="array" ref="AM23">_xlfn.TEXTJOIN(",",TRUE,(_xlfn._xlws.FILTER($A$2:$A$501,($D$2:$D$501&gt;=AN$7)*($D$2:$D$501&lt;AM$7)*($E$2:$E$501&gt;=$H24)*($E$2:$E$501&lt;$H23)," ")))</f>
        <v xml:space="preserve"> </v>
      </c>
      <c r="AN23" t="str" cm="1">
        <f t="array" ref="AN23">_xlfn.TEXTJOIN(",",TRUE,(_xlfn._xlws.FILTER($A$2:$A$501,($D$2:$D$501&gt;=AO$7)*($D$2:$D$501&lt;AN$7)*($E$2:$E$501&gt;=$H24)*($E$2:$E$501&lt;$H23)," ")))</f>
        <v xml:space="preserve"> </v>
      </c>
      <c r="AO23" t="str" cm="1">
        <f t="array" ref="AO23">_xlfn.TEXTJOIN(",",TRUE,(_xlfn._xlws.FILTER($A$2:$A$501,($D$2:$D$501&gt;=AP$7)*($D$2:$D$501&lt;AO$7)*($E$2:$E$501&gt;=$H24)*($E$2:$E$501&lt;$H23)," ")))</f>
        <v xml:space="preserve"> </v>
      </c>
      <c r="AP23" t="str" cm="1">
        <f t="array" ref="AP23">_xlfn.TEXTJOIN(",",TRUE,(_xlfn._xlws.FILTER($A$2:$A$501,($D$2:$D$501&gt;=AQ$7)*($D$2:$D$501&lt;AP$7)*($E$2:$E$501&gt;=$H24)*($E$2:$E$501&lt;$H23)," ")))</f>
        <v xml:space="preserve"> </v>
      </c>
      <c r="AQ23" t="str" cm="1">
        <f t="array" ref="AQ23">_xlfn.TEXTJOIN(",",TRUE,(_xlfn._xlws.FILTER($A$2:$A$501,($D$2:$D$501&gt;=AR$7)*($D$2:$D$501&lt;AQ$7)*($E$2:$E$501&gt;=$H24)*($E$2:$E$501&lt;$H23)," ")))</f>
        <v xml:space="preserve"> </v>
      </c>
      <c r="AR23" t="str" cm="1">
        <f t="array" ref="AR23">_xlfn.TEXTJOIN(",",TRUE,(_xlfn._xlws.FILTER($A$2:$A$501,($D$2:$D$501&gt;=AS$7)*($D$2:$D$501&lt;AR$7)*($E$2:$E$501&gt;=$H24)*($E$2:$E$501&lt;$H23)," ")))</f>
        <v xml:space="preserve"> </v>
      </c>
      <c r="AS23" t="str" cm="1">
        <f t="array" ref="AS23">_xlfn.TEXTJOIN(",",TRUE,(_xlfn._xlws.FILTER($A$2:$A$501,($D$2:$D$501&gt;=AT$7)*($D$2:$D$501&lt;AS$7)*($E$2:$E$501&gt;=$H24)*($E$2:$E$501&lt;$H23)," ")))</f>
        <v xml:space="preserve"> </v>
      </c>
      <c r="AT23" t="str" cm="1">
        <f t="array" ref="AT23">_xlfn.TEXTJOIN(",",TRUE,(_xlfn._xlws.FILTER($A$2:$A$501,($D$2:$D$501&gt;=AU$7)*($D$2:$D$501&lt;AT$7)*($E$2:$E$501&gt;=$H24)*($E$2:$E$501&lt;$H23)," ")))</f>
        <v xml:space="preserve"> </v>
      </c>
      <c r="AU23" t="str" cm="1">
        <f t="array" ref="AU23">_xlfn.TEXTJOIN(",",TRUE,(_xlfn._xlws.FILTER($A$2:$A$501,($D$2:$D$501&gt;=AV$7)*($D$2:$D$501&lt;AU$7)*($E$2:$E$501&gt;=$H24)*($E$2:$E$501&lt;$H23)," ")))</f>
        <v xml:space="preserve"> </v>
      </c>
      <c r="AV23" t="str" cm="1">
        <f t="array" ref="AV23">_xlfn.TEXTJOIN(",",TRUE,(_xlfn._xlws.FILTER($A$2:$A$501,($D$2:$D$501&gt;=AW$7)*($D$2:$D$501&lt;AV$7)*($E$2:$E$501&gt;=$H24)*($E$2:$E$501&lt;$H23)," ")))</f>
        <v xml:space="preserve"> </v>
      </c>
      <c r="AW23" t="str" cm="1">
        <f t="array" ref="AW23">_xlfn.TEXTJOIN(",",TRUE,(_xlfn._xlws.FILTER($A$2:$A$501,($D$2:$D$501&gt;=AX$7)*($D$2:$D$501&lt;AW$7)*($E$2:$E$501&gt;=$H24)*($E$2:$E$501&lt;$H23)," ")))</f>
        <v xml:space="preserve"> </v>
      </c>
      <c r="AX23" t="str" cm="1">
        <f t="array" ref="AX23">_xlfn.TEXTJOIN(",",TRUE,(_xlfn._xlws.FILTER($A$2:$A$501,($D$2:$D$501&gt;=AY$7)*($D$2:$D$501&lt;AX$7)*($E$2:$E$501&gt;=$H24)*($E$2:$E$501&lt;$H23)," ")))</f>
        <v xml:space="preserve"> </v>
      </c>
      <c r="AY23" t="str" cm="1">
        <f t="array" ref="AY23">_xlfn.TEXTJOIN(",",TRUE,(_xlfn._xlws.FILTER($A$2:$A$501,($D$2:$D$501&gt;=AZ$7)*($D$2:$D$501&lt;AY$7)*($E$2:$E$501&gt;=$H24)*($E$2:$E$501&lt;$H23)," ")))</f>
        <v xml:space="preserve"> </v>
      </c>
      <c r="AZ23" t="str" cm="1">
        <f t="array" ref="AZ23">_xlfn.TEXTJOIN(",",TRUE,(_xlfn._xlws.FILTER($A$2:$A$501,($D$2:$D$501&gt;=BA$7)*($D$2:$D$501&lt;AZ$7)*($E$2:$E$501&gt;=$H24)*($E$2:$E$501&lt;$H23)," ")))</f>
        <v xml:space="preserve"> </v>
      </c>
      <c r="BA23" t="str" cm="1">
        <f t="array" ref="BA23">_xlfn.TEXTJOIN(",",TRUE,(_xlfn._xlws.FILTER($A$2:$A$501,($D$2:$D$501&gt;=BB$7)*($D$2:$D$501&lt;BA$7)*($E$2:$E$501&gt;=$H24)*($E$2:$E$501&lt;$H23)," ")))</f>
        <v xml:space="preserve"> </v>
      </c>
      <c r="BB23" t="str" cm="1">
        <f t="array" ref="BB23">_xlfn.TEXTJOIN(",",TRUE,(_xlfn._xlws.FILTER($A$2:$A$501,($D$2:$D$501&gt;=BC$7)*($D$2:$D$501&lt;BB$7)*($E$2:$E$501&gt;=$H24)*($E$2:$E$501&lt;$H23)," ")))</f>
        <v xml:space="preserve"> </v>
      </c>
    </row>
    <row r="24" spans="1:54" x14ac:dyDescent="0.2">
      <c r="A24" s="3" t="s">
        <v>540</v>
      </c>
      <c r="B24" s="3" t="s">
        <v>533</v>
      </c>
      <c r="C24" s="13">
        <v>1417411.07</v>
      </c>
      <c r="D24" s="15">
        <v>22712200.739999998</v>
      </c>
      <c r="E24" s="22">
        <f>TuitionRates3[[#This Row],[Tuition]]/D24</f>
        <v>6.2407473684560268E-2</v>
      </c>
      <c r="F24"/>
      <c r="H24" s="18">
        <v>0.13400000000000001</v>
      </c>
      <c r="I24" t="str" cm="1">
        <f t="array" ref="I24">_xlfn.TEXTJOIN(",",TRUE,(_xlfn._xlws.FILTER($A$2:$A$501,($D$2:$D$501&gt;=J$7)*($D$2:$D$501&lt;I$7)*($E$2:$E$501&gt;=$H25)*($E$2:$E$501&lt;$H24)," ")))</f>
        <v xml:space="preserve"> </v>
      </c>
      <c r="J24" t="str" cm="1">
        <f t="array" ref="J24">_xlfn.TEXTJOIN(",",TRUE,(_xlfn._xlws.FILTER($A$2:$A$501,($D$2:$D$501&gt;=K$7)*($D$2:$D$501&lt;J$7)*($E$2:$E$501&gt;=$H25)*($E$2:$E$501&lt;$H24)," ")))</f>
        <v xml:space="preserve"> </v>
      </c>
      <c r="K24" t="str" cm="1">
        <f t="array" ref="K24">_xlfn.TEXTJOIN(",",TRUE,(_xlfn._xlws.FILTER($A$2:$A$501,($D$2:$D$501&gt;=L$7)*($D$2:$D$501&lt;K$7)*($E$2:$E$501&gt;=$H25)*($E$2:$E$501&lt;$H24)," ")))</f>
        <v xml:space="preserve"> </v>
      </c>
      <c r="L24" t="str" cm="1">
        <f t="array" ref="L24">_xlfn.TEXTJOIN(",",TRUE,(_xlfn._xlws.FILTER($A$2:$A$501,($D$2:$D$501&gt;=M$7)*($D$2:$D$501&lt;L$7)*($E$2:$E$501&gt;=$H25)*($E$2:$E$501&lt;$H24)," ")))</f>
        <v xml:space="preserve"> </v>
      </c>
      <c r="M24" t="str" cm="1">
        <f t="array" ref="M24">_xlfn.TEXTJOIN(",",TRUE,(_xlfn._xlws.FILTER($A$2:$A$501,($D$2:$D$501&gt;=N$7)*($D$2:$D$501&lt;M$7)*($E$2:$E$501&gt;=$H25)*($E$2:$E$501&lt;$H24)," ")))</f>
        <v xml:space="preserve"> </v>
      </c>
      <c r="N24" t="str" cm="1">
        <f t="array" ref="N24">_xlfn.TEXTJOIN(",",TRUE,(_xlfn._xlws.FILTER($A$2:$A$501,($D$2:$D$501&gt;=O$7)*($D$2:$D$501&lt;N$7)*($E$2:$E$501&gt;=$H25)*($E$2:$E$501&lt;$H24)," ")))</f>
        <v xml:space="preserve"> </v>
      </c>
      <c r="O24" t="str" cm="1">
        <f t="array" ref="O24">_xlfn.TEXTJOIN(",",TRUE,(_xlfn._xlws.FILTER($A$2:$A$501,($D$2:$D$501&gt;=P$7)*($D$2:$D$501&lt;O$7)*($E$2:$E$501&gt;=$H25)*($E$2:$E$501&lt;$H24)," ")))</f>
        <v xml:space="preserve"> </v>
      </c>
      <c r="P24" t="str" cm="1">
        <f t="array" ref="P24">_xlfn.TEXTJOIN(",",TRUE,(_xlfn._xlws.FILTER($A$2:$A$501,($D$2:$D$501&gt;=Q$7)*($D$2:$D$501&lt;P$7)*($E$2:$E$501&gt;=$H25)*($E$2:$E$501&lt;$H24)," ")))</f>
        <v xml:space="preserve"> </v>
      </c>
      <c r="Q24" t="str" cm="1">
        <f t="array" ref="Q24">_xlfn.TEXTJOIN(",",TRUE,(_xlfn._xlws.FILTER($A$2:$A$501,($D$2:$D$501&gt;=R$7)*($D$2:$D$501&lt;Q$7)*($E$2:$E$501&gt;=$H25)*($E$2:$E$501&lt;$H24)," ")))</f>
        <v xml:space="preserve"> </v>
      </c>
      <c r="R24" t="str" cm="1">
        <f t="array" ref="R24">_xlfn.TEXTJOIN(",",TRUE,(_xlfn._xlws.FILTER($A$2:$A$501,($D$2:$D$501&gt;=S$7)*($D$2:$D$501&lt;R$7)*($E$2:$E$501&gt;=$H25)*($E$2:$E$501&lt;$H24)," ")))</f>
        <v xml:space="preserve"> </v>
      </c>
      <c r="S24" t="str" cm="1">
        <f t="array" ref="S24">_xlfn.TEXTJOIN(",",TRUE,(_xlfn._xlws.FILTER($A$2:$A$501,($D$2:$D$501&gt;=T$7)*($D$2:$D$501&lt;S$7)*($E$2:$E$501&gt;=$H25)*($E$2:$E$501&lt;$H24)," ")))</f>
        <v xml:space="preserve"> </v>
      </c>
      <c r="T24" t="str" cm="1">
        <f t="array" ref="T24">_xlfn.TEXTJOIN(",",TRUE,(_xlfn._xlws.FILTER($A$2:$A$501,($D$2:$D$501&gt;=U$7)*($D$2:$D$501&lt;T$7)*($E$2:$E$501&gt;=$H25)*($E$2:$E$501&lt;$H24)," ")))</f>
        <v xml:space="preserve"> </v>
      </c>
      <c r="U24" t="str" cm="1">
        <f t="array" ref="U24">_xlfn.TEXTJOIN(",",TRUE,(_xlfn._xlws.FILTER($A$2:$A$501,($D$2:$D$501&gt;=V$7)*($D$2:$D$501&lt;U$7)*($E$2:$E$501&gt;=$H25)*($E$2:$E$501&lt;$H24)," ")))</f>
        <v xml:space="preserve"> </v>
      </c>
      <c r="V24" t="str" cm="1">
        <f t="array" ref="V24">_xlfn.TEXTJOIN(",",TRUE,(_xlfn._xlws.FILTER($A$2:$A$501,($D$2:$D$501&gt;=W$7)*($D$2:$D$501&lt;V$7)*($E$2:$E$501&gt;=$H25)*($E$2:$E$501&lt;$H24)," ")))</f>
        <v xml:space="preserve"> </v>
      </c>
      <c r="W24" t="str" cm="1">
        <f t="array" ref="W24">_xlfn.TEXTJOIN(",",TRUE,(_xlfn._xlws.FILTER($A$2:$A$501,($D$2:$D$501&gt;=X$7)*($D$2:$D$501&lt;W$7)*($E$2:$E$501&gt;=$H25)*($E$2:$E$501&lt;$H24)," ")))</f>
        <v xml:space="preserve"> </v>
      </c>
      <c r="X24" t="str" cm="1">
        <f t="array" ref="X24">_xlfn.TEXTJOIN(",",TRUE,(_xlfn._xlws.FILTER($A$2:$A$501,($D$2:$D$501&gt;=Y$7)*($D$2:$D$501&lt;X$7)*($E$2:$E$501&gt;=$H25)*($E$2:$E$501&lt;$H24)," ")))</f>
        <v xml:space="preserve"> </v>
      </c>
      <c r="Y24" t="str" cm="1">
        <f t="array" ref="Y24">_xlfn.TEXTJOIN(",",TRUE,(_xlfn._xlws.FILTER($A$2:$A$501,($D$2:$D$501&gt;=Z$7)*($D$2:$D$501&lt;Y$7)*($E$2:$E$501&gt;=$H25)*($E$2:$E$501&lt;$H24)," ")))</f>
        <v xml:space="preserve"> </v>
      </c>
      <c r="Z24" t="str" cm="1">
        <f t="array" ref="Z24">_xlfn.TEXTJOIN(",",TRUE,(_xlfn._xlws.FILTER($A$2:$A$501,($D$2:$D$501&gt;=AA$7)*($D$2:$D$501&lt;Z$7)*($E$2:$E$501&gt;=$H25)*($E$2:$E$501&lt;$H24)," ")))</f>
        <v xml:space="preserve"> </v>
      </c>
      <c r="AA24" t="str" cm="1">
        <f t="array" ref="AA24">_xlfn.TEXTJOIN(",",TRUE,(_xlfn._xlws.FILTER($A$2:$A$501,($D$2:$D$501&gt;=AB$7)*($D$2:$D$501&lt;AA$7)*($E$2:$E$501&gt;=$H25)*($E$2:$E$501&lt;$H24)," ")))</f>
        <v xml:space="preserve"> </v>
      </c>
      <c r="AB24" t="str" cm="1">
        <f t="array" ref="AB24">_xlfn.TEXTJOIN(",",TRUE,(_xlfn._xlws.FILTER($A$2:$A$501,($D$2:$D$501&gt;=AC$7)*($D$2:$D$501&lt;AB$7)*($E$2:$E$501&gt;=$H25)*($E$2:$E$501&lt;$H24)," ")))</f>
        <v xml:space="preserve"> </v>
      </c>
      <c r="AC24" t="str" cm="1">
        <f t="array" ref="AC24">_xlfn.TEXTJOIN(",",TRUE,(_xlfn._xlws.FILTER($A$2:$A$501,($D$2:$D$501&gt;=AD$7)*($D$2:$D$501&lt;AC$7)*($E$2:$E$501&gt;=$H25)*($E$2:$E$501&lt;$H24)," ")))</f>
        <v xml:space="preserve"> </v>
      </c>
      <c r="AD24" t="str" cm="1">
        <f t="array" ref="AD24">_xlfn.TEXTJOIN(",",TRUE,(_xlfn._xlws.FILTER($A$2:$A$501,($D$2:$D$501&gt;=AE$7)*($D$2:$D$501&lt;AD$7)*($E$2:$E$501&gt;=$H25)*($E$2:$E$501&lt;$H24)," ")))</f>
        <v>Williams Valley SD</v>
      </c>
      <c r="AE24" t="str" cm="1">
        <f t="array" ref="AE24">_xlfn.TEXTJOIN(",",TRUE,(_xlfn._xlws.FILTER($A$2:$A$501,($D$2:$D$501&gt;=AF$7)*($D$2:$D$501&lt;AE$7)*($E$2:$E$501&gt;=$H25)*($E$2:$E$501&lt;$H24)," ")))</f>
        <v xml:space="preserve"> </v>
      </c>
      <c r="AF24" t="str" cm="1">
        <f t="array" ref="AF24">_xlfn.TEXTJOIN(",",TRUE,(_xlfn._xlws.FILTER($A$2:$A$501,($D$2:$D$501&gt;=AG$7)*($D$2:$D$501&lt;AF$7)*($E$2:$E$501&gt;=$H25)*($E$2:$E$501&lt;$H24)," ")))</f>
        <v xml:space="preserve"> </v>
      </c>
      <c r="AG24" t="str" cm="1">
        <f t="array" ref="AG24">_xlfn.TEXTJOIN(",",TRUE,(_xlfn._xlws.FILTER($A$2:$A$501,($D$2:$D$501&gt;=AH$7)*($D$2:$D$501&lt;AG$7)*($E$2:$E$501&gt;=$H25)*($E$2:$E$501&lt;$H24)," ")))</f>
        <v xml:space="preserve"> </v>
      </c>
      <c r="AH24" t="str" cm="1">
        <f t="array" ref="AH24">_xlfn.TEXTJOIN(",",TRUE,(_xlfn._xlws.FILTER($A$2:$A$501,($D$2:$D$501&gt;=AI$7)*($D$2:$D$501&lt;AH$7)*($E$2:$E$501&gt;=$H25)*($E$2:$E$501&lt;$H24)," ")))</f>
        <v xml:space="preserve"> </v>
      </c>
      <c r="AI24" t="str" cm="1">
        <f t="array" ref="AI24">_xlfn.TEXTJOIN(",",TRUE,(_xlfn._xlws.FILTER($A$2:$A$501,($D$2:$D$501&gt;=AJ$7)*($D$2:$D$501&lt;AI$7)*($E$2:$E$501&gt;=$H25)*($E$2:$E$501&lt;$H24)," ")))</f>
        <v xml:space="preserve"> </v>
      </c>
      <c r="AJ24" t="str" cm="1">
        <f t="array" ref="AJ24">_xlfn.TEXTJOIN(",",TRUE,(_xlfn._xlws.FILTER($A$2:$A$501,($D$2:$D$501&gt;=AK$7)*($D$2:$D$501&lt;AJ$7)*($E$2:$E$501&gt;=$H25)*($E$2:$E$501&lt;$H24)," ")))</f>
        <v xml:space="preserve"> </v>
      </c>
      <c r="AK24" t="str" cm="1">
        <f t="array" ref="AK24">_xlfn.TEXTJOIN(",",TRUE,(_xlfn._xlws.FILTER($A$2:$A$501,($D$2:$D$501&gt;=AL$7)*($D$2:$D$501&lt;AK$7)*($E$2:$E$501&gt;=$H25)*($E$2:$E$501&lt;$H24)," ")))</f>
        <v xml:space="preserve"> </v>
      </c>
      <c r="AL24" t="str" cm="1">
        <f t="array" ref="AL24">_xlfn.TEXTJOIN(",",TRUE,(_xlfn._xlws.FILTER($A$2:$A$501,($D$2:$D$501&gt;=AM$7)*($D$2:$D$501&lt;AL$7)*($E$2:$E$501&gt;=$H25)*($E$2:$E$501&lt;$H24)," ")))</f>
        <v xml:space="preserve"> </v>
      </c>
      <c r="AM24" t="str" cm="1">
        <f t="array" ref="AM24">_xlfn.TEXTJOIN(",",TRUE,(_xlfn._xlws.FILTER($A$2:$A$501,($D$2:$D$501&gt;=AN$7)*($D$2:$D$501&lt;AM$7)*($E$2:$E$501&gt;=$H25)*($E$2:$E$501&lt;$H24)," ")))</f>
        <v xml:space="preserve"> </v>
      </c>
      <c r="AN24" t="str" cm="1">
        <f t="array" ref="AN24">_xlfn.TEXTJOIN(",",TRUE,(_xlfn._xlws.FILTER($A$2:$A$501,($D$2:$D$501&gt;=AO$7)*($D$2:$D$501&lt;AN$7)*($E$2:$E$501&gt;=$H25)*($E$2:$E$501&lt;$H24)," ")))</f>
        <v xml:space="preserve"> </v>
      </c>
      <c r="AO24" t="str" cm="1">
        <f t="array" ref="AO24">_xlfn.TEXTJOIN(",",TRUE,(_xlfn._xlws.FILTER($A$2:$A$501,($D$2:$D$501&gt;=AP$7)*($D$2:$D$501&lt;AO$7)*($E$2:$E$501&gt;=$H25)*($E$2:$E$501&lt;$H24)," ")))</f>
        <v xml:space="preserve"> </v>
      </c>
      <c r="AP24" t="str" cm="1">
        <f t="array" ref="AP24">_xlfn.TEXTJOIN(",",TRUE,(_xlfn._xlws.FILTER($A$2:$A$501,($D$2:$D$501&gt;=AQ$7)*($D$2:$D$501&lt;AP$7)*($E$2:$E$501&gt;=$H25)*($E$2:$E$501&lt;$H24)," ")))</f>
        <v xml:space="preserve"> </v>
      </c>
      <c r="AQ24" t="str" cm="1">
        <f t="array" ref="AQ24">_xlfn.TEXTJOIN(",",TRUE,(_xlfn._xlws.FILTER($A$2:$A$501,($D$2:$D$501&gt;=AR$7)*($D$2:$D$501&lt;AQ$7)*($E$2:$E$501&gt;=$H25)*($E$2:$E$501&lt;$H24)," ")))</f>
        <v xml:space="preserve"> </v>
      </c>
      <c r="AR24" t="str" cm="1">
        <f t="array" ref="AR24">_xlfn.TEXTJOIN(",",TRUE,(_xlfn._xlws.FILTER($A$2:$A$501,($D$2:$D$501&gt;=AS$7)*($D$2:$D$501&lt;AR$7)*($E$2:$E$501&gt;=$H25)*($E$2:$E$501&lt;$H24)," ")))</f>
        <v xml:space="preserve"> </v>
      </c>
      <c r="AS24" t="str" cm="1">
        <f t="array" ref="AS24">_xlfn.TEXTJOIN(",",TRUE,(_xlfn._xlws.FILTER($A$2:$A$501,($D$2:$D$501&gt;=AT$7)*($D$2:$D$501&lt;AS$7)*($E$2:$E$501&gt;=$H25)*($E$2:$E$501&lt;$H24)," ")))</f>
        <v xml:space="preserve"> </v>
      </c>
      <c r="AT24" t="str" cm="1">
        <f t="array" ref="AT24">_xlfn.TEXTJOIN(",",TRUE,(_xlfn._xlws.FILTER($A$2:$A$501,($D$2:$D$501&gt;=AU$7)*($D$2:$D$501&lt;AT$7)*($E$2:$E$501&gt;=$H25)*($E$2:$E$501&lt;$H24)," ")))</f>
        <v xml:space="preserve"> </v>
      </c>
      <c r="AU24" t="str" cm="1">
        <f t="array" ref="AU24">_xlfn.TEXTJOIN(",",TRUE,(_xlfn._xlws.FILTER($A$2:$A$501,($D$2:$D$501&gt;=AV$7)*($D$2:$D$501&lt;AU$7)*($E$2:$E$501&gt;=$H25)*($E$2:$E$501&lt;$H24)," ")))</f>
        <v xml:space="preserve"> </v>
      </c>
      <c r="AV24" t="str" cm="1">
        <f t="array" ref="AV24">_xlfn.TEXTJOIN(",",TRUE,(_xlfn._xlws.FILTER($A$2:$A$501,($D$2:$D$501&gt;=AW$7)*($D$2:$D$501&lt;AV$7)*($E$2:$E$501&gt;=$H25)*($E$2:$E$501&lt;$H24)," ")))</f>
        <v xml:space="preserve"> </v>
      </c>
      <c r="AW24" t="str" cm="1">
        <f t="array" ref="AW24">_xlfn.TEXTJOIN(",",TRUE,(_xlfn._xlws.FILTER($A$2:$A$501,($D$2:$D$501&gt;=AX$7)*($D$2:$D$501&lt;AW$7)*($E$2:$E$501&gt;=$H25)*($E$2:$E$501&lt;$H24)," ")))</f>
        <v xml:space="preserve"> </v>
      </c>
      <c r="AX24" t="str" cm="1">
        <f t="array" ref="AX24">_xlfn.TEXTJOIN(",",TRUE,(_xlfn._xlws.FILTER($A$2:$A$501,($D$2:$D$501&gt;=AY$7)*($D$2:$D$501&lt;AX$7)*($E$2:$E$501&gt;=$H25)*($E$2:$E$501&lt;$H24)," ")))</f>
        <v xml:space="preserve"> </v>
      </c>
      <c r="AY24" t="str" cm="1">
        <f t="array" ref="AY24">_xlfn.TEXTJOIN(",",TRUE,(_xlfn._xlws.FILTER($A$2:$A$501,($D$2:$D$501&gt;=AZ$7)*($D$2:$D$501&lt;AY$7)*($E$2:$E$501&gt;=$H25)*($E$2:$E$501&lt;$H24)," ")))</f>
        <v xml:space="preserve"> </v>
      </c>
      <c r="AZ24" t="str" cm="1">
        <f t="array" ref="AZ24">_xlfn.TEXTJOIN(",",TRUE,(_xlfn._xlws.FILTER($A$2:$A$501,($D$2:$D$501&gt;=BA$7)*($D$2:$D$501&lt;AZ$7)*($E$2:$E$501&gt;=$H25)*($E$2:$E$501&lt;$H24)," ")))</f>
        <v xml:space="preserve"> </v>
      </c>
      <c r="BA24" t="str" cm="1">
        <f t="array" ref="BA24">_xlfn.TEXTJOIN(",",TRUE,(_xlfn._xlws.FILTER($A$2:$A$501,($D$2:$D$501&gt;=BB$7)*($D$2:$D$501&lt;BA$7)*($E$2:$E$501&gt;=$H25)*($E$2:$E$501&lt;$H24)," ")))</f>
        <v xml:space="preserve"> </v>
      </c>
      <c r="BB24" t="str" cm="1">
        <f t="array" ref="BB24">_xlfn.TEXTJOIN(",",TRUE,(_xlfn._xlws.FILTER($A$2:$A$501,($D$2:$D$501&gt;=BC$7)*($D$2:$D$501&lt;BB$7)*($E$2:$E$501&gt;=$H25)*($E$2:$E$501&lt;$H24)," ")))</f>
        <v xml:space="preserve"> </v>
      </c>
    </row>
    <row r="25" spans="1:54" x14ac:dyDescent="0.2">
      <c r="A25" s="3" t="s">
        <v>206</v>
      </c>
      <c r="B25" s="3" t="s">
        <v>207</v>
      </c>
      <c r="C25" s="13">
        <v>3896795.07</v>
      </c>
      <c r="D25" s="15">
        <v>62461533.789999999</v>
      </c>
      <c r="E25" s="22">
        <f>TuitionRates3[[#This Row],[Tuition]]/D25</f>
        <v>6.2387117855627665E-2</v>
      </c>
      <c r="F25"/>
      <c r="H25" s="18">
        <v>0.13300000000000001</v>
      </c>
      <c r="I25" t="str" cm="1">
        <f t="array" ref="I25">_xlfn.TEXTJOIN(",",TRUE,(_xlfn._xlws.FILTER($A$2:$A$501,($D$2:$D$501&gt;=J$7)*($D$2:$D$501&lt;I$7)*($E$2:$E$501&gt;=$H26)*($E$2:$E$501&lt;$H25)," ")))</f>
        <v xml:space="preserve"> </v>
      </c>
      <c r="J25" t="str" cm="1">
        <f t="array" ref="J25">_xlfn.TEXTJOIN(",",TRUE,(_xlfn._xlws.FILTER($A$2:$A$501,($D$2:$D$501&gt;=K$7)*($D$2:$D$501&lt;J$7)*($E$2:$E$501&gt;=$H26)*($E$2:$E$501&lt;$H25)," ")))</f>
        <v xml:space="preserve"> </v>
      </c>
      <c r="K25" t="str" cm="1">
        <f t="array" ref="K25">_xlfn.TEXTJOIN(",",TRUE,(_xlfn._xlws.FILTER($A$2:$A$501,($D$2:$D$501&gt;=L$7)*($D$2:$D$501&lt;K$7)*($E$2:$E$501&gt;=$H26)*($E$2:$E$501&lt;$H25)," ")))</f>
        <v xml:space="preserve"> </v>
      </c>
      <c r="L25" t="str" cm="1">
        <f t="array" ref="L25">_xlfn.TEXTJOIN(",",TRUE,(_xlfn._xlws.FILTER($A$2:$A$501,($D$2:$D$501&gt;=M$7)*($D$2:$D$501&lt;L$7)*($E$2:$E$501&gt;=$H26)*($E$2:$E$501&lt;$H25)," ")))</f>
        <v xml:space="preserve"> </v>
      </c>
      <c r="M25" t="str" cm="1">
        <f t="array" ref="M25">_xlfn.TEXTJOIN(",",TRUE,(_xlfn._xlws.FILTER($A$2:$A$501,($D$2:$D$501&gt;=N$7)*($D$2:$D$501&lt;M$7)*($E$2:$E$501&gt;=$H26)*($E$2:$E$501&lt;$H25)," ")))</f>
        <v xml:space="preserve"> </v>
      </c>
      <c r="N25" t="str" cm="1">
        <f t="array" ref="N25">_xlfn.TEXTJOIN(",",TRUE,(_xlfn._xlws.FILTER($A$2:$A$501,($D$2:$D$501&gt;=O$7)*($D$2:$D$501&lt;N$7)*($E$2:$E$501&gt;=$H26)*($E$2:$E$501&lt;$H25)," ")))</f>
        <v xml:space="preserve"> </v>
      </c>
      <c r="O25" t="str" cm="1">
        <f t="array" ref="O25">_xlfn.TEXTJOIN(",",TRUE,(_xlfn._xlws.FILTER($A$2:$A$501,($D$2:$D$501&gt;=P$7)*($D$2:$D$501&lt;O$7)*($E$2:$E$501&gt;=$H26)*($E$2:$E$501&lt;$H25)," ")))</f>
        <v xml:space="preserve"> </v>
      </c>
      <c r="P25" t="str" cm="1">
        <f t="array" ref="P25">_xlfn.TEXTJOIN(",",TRUE,(_xlfn._xlws.FILTER($A$2:$A$501,($D$2:$D$501&gt;=Q$7)*($D$2:$D$501&lt;P$7)*($E$2:$E$501&gt;=$H26)*($E$2:$E$501&lt;$H25)," ")))</f>
        <v xml:space="preserve"> </v>
      </c>
      <c r="Q25" t="str" cm="1">
        <f t="array" ref="Q25">_xlfn.TEXTJOIN(",",TRUE,(_xlfn._xlws.FILTER($A$2:$A$501,($D$2:$D$501&gt;=R$7)*($D$2:$D$501&lt;Q$7)*($E$2:$E$501&gt;=$H26)*($E$2:$E$501&lt;$H25)," ")))</f>
        <v xml:space="preserve"> </v>
      </c>
      <c r="R25" t="str" cm="1">
        <f t="array" ref="R25">_xlfn.TEXTJOIN(",",TRUE,(_xlfn._xlws.FILTER($A$2:$A$501,($D$2:$D$501&gt;=S$7)*($D$2:$D$501&lt;R$7)*($E$2:$E$501&gt;=$H26)*($E$2:$E$501&lt;$H25)," ")))</f>
        <v xml:space="preserve"> </v>
      </c>
      <c r="S25" t="str" cm="1">
        <f t="array" ref="S25">_xlfn.TEXTJOIN(",",TRUE,(_xlfn._xlws.FILTER($A$2:$A$501,($D$2:$D$501&gt;=T$7)*($D$2:$D$501&lt;S$7)*($E$2:$E$501&gt;=$H26)*($E$2:$E$501&lt;$H25)," ")))</f>
        <v xml:space="preserve"> </v>
      </c>
      <c r="T25" t="str" cm="1">
        <f t="array" ref="T25">_xlfn.TEXTJOIN(",",TRUE,(_xlfn._xlws.FILTER($A$2:$A$501,($D$2:$D$501&gt;=U$7)*($D$2:$D$501&lt;T$7)*($E$2:$E$501&gt;=$H26)*($E$2:$E$501&lt;$H25)," ")))</f>
        <v xml:space="preserve"> </v>
      </c>
      <c r="U25" t="str" cm="1">
        <f t="array" ref="U25">_xlfn.TEXTJOIN(",",TRUE,(_xlfn._xlws.FILTER($A$2:$A$501,($D$2:$D$501&gt;=V$7)*($D$2:$D$501&lt;U$7)*($E$2:$E$501&gt;=$H26)*($E$2:$E$501&lt;$H25)," ")))</f>
        <v xml:space="preserve"> </v>
      </c>
      <c r="V25" t="str" cm="1">
        <f t="array" ref="V25">_xlfn.TEXTJOIN(",",TRUE,(_xlfn._xlws.FILTER($A$2:$A$501,($D$2:$D$501&gt;=W$7)*($D$2:$D$501&lt;V$7)*($E$2:$E$501&gt;=$H26)*($E$2:$E$501&lt;$H25)," ")))</f>
        <v xml:space="preserve"> </v>
      </c>
      <c r="W25" t="str" cm="1">
        <f t="array" ref="W25">_xlfn.TEXTJOIN(",",TRUE,(_xlfn._xlws.FILTER($A$2:$A$501,($D$2:$D$501&gt;=X$7)*($D$2:$D$501&lt;W$7)*($E$2:$E$501&gt;=$H26)*($E$2:$E$501&lt;$H25)," ")))</f>
        <v xml:space="preserve"> </v>
      </c>
      <c r="X25" t="str" cm="1">
        <f t="array" ref="X25">_xlfn.TEXTJOIN(",",TRUE,(_xlfn._xlws.FILTER($A$2:$A$501,($D$2:$D$501&gt;=Y$7)*($D$2:$D$501&lt;X$7)*($E$2:$E$501&gt;=$H26)*($E$2:$E$501&lt;$H25)," ")))</f>
        <v xml:space="preserve"> </v>
      </c>
      <c r="Y25" t="str" cm="1">
        <f t="array" ref="Y25">_xlfn.TEXTJOIN(",",TRUE,(_xlfn._xlws.FILTER($A$2:$A$501,($D$2:$D$501&gt;=Z$7)*($D$2:$D$501&lt;Y$7)*($E$2:$E$501&gt;=$H26)*($E$2:$E$501&lt;$H25)," ")))</f>
        <v xml:space="preserve"> </v>
      </c>
      <c r="Z25" t="str" cm="1">
        <f t="array" ref="Z25">_xlfn.TEXTJOIN(",",TRUE,(_xlfn._xlws.FILTER($A$2:$A$501,($D$2:$D$501&gt;=AA$7)*($D$2:$D$501&lt;Z$7)*($E$2:$E$501&gt;=$H26)*($E$2:$E$501&lt;$H25)," ")))</f>
        <v xml:space="preserve"> </v>
      </c>
      <c r="AA25" t="str" cm="1">
        <f t="array" ref="AA25">_xlfn.TEXTJOIN(",",TRUE,(_xlfn._xlws.FILTER($A$2:$A$501,($D$2:$D$501&gt;=AB$7)*($D$2:$D$501&lt;AA$7)*($E$2:$E$501&gt;=$H26)*($E$2:$E$501&lt;$H25)," ")))</f>
        <v xml:space="preserve"> </v>
      </c>
      <c r="AB25" t="str" cm="1">
        <f t="array" ref="AB25">_xlfn.TEXTJOIN(",",TRUE,(_xlfn._xlws.FILTER($A$2:$A$501,($D$2:$D$501&gt;=AC$7)*($D$2:$D$501&lt;AB$7)*($E$2:$E$501&gt;=$H26)*($E$2:$E$501&lt;$H25)," ")))</f>
        <v xml:space="preserve"> </v>
      </c>
      <c r="AC25" t="str" cm="1">
        <f t="array" ref="AC25">_xlfn.TEXTJOIN(",",TRUE,(_xlfn._xlws.FILTER($A$2:$A$501,($D$2:$D$501&gt;=AD$7)*($D$2:$D$501&lt;AC$7)*($E$2:$E$501&gt;=$H26)*($E$2:$E$501&lt;$H25)," ")))</f>
        <v xml:space="preserve"> </v>
      </c>
      <c r="AD25" t="str" cm="1">
        <f t="array" ref="AD25">_xlfn.TEXTJOIN(",",TRUE,(_xlfn._xlws.FILTER($A$2:$A$501,($D$2:$D$501&gt;=AE$7)*($D$2:$D$501&lt;AD$7)*($E$2:$E$501&gt;=$H26)*($E$2:$E$501&lt;$H25)," ")))</f>
        <v xml:space="preserve"> </v>
      </c>
      <c r="AE25" t="str" cm="1">
        <f t="array" ref="AE25">_xlfn.TEXTJOIN(",",TRUE,(_xlfn._xlws.FILTER($A$2:$A$501,($D$2:$D$501&gt;=AF$7)*($D$2:$D$501&lt;AE$7)*($E$2:$E$501&gt;=$H26)*($E$2:$E$501&lt;$H25)," ")))</f>
        <v xml:space="preserve"> </v>
      </c>
      <c r="AF25" t="str" cm="1">
        <f t="array" ref="AF25">_xlfn.TEXTJOIN(",",TRUE,(_xlfn._xlws.FILTER($A$2:$A$501,($D$2:$D$501&gt;=AG$7)*($D$2:$D$501&lt;AF$7)*($E$2:$E$501&gt;=$H26)*($E$2:$E$501&lt;$H25)," ")))</f>
        <v xml:space="preserve"> </v>
      </c>
      <c r="AG25" t="str" cm="1">
        <f t="array" ref="AG25">_xlfn.TEXTJOIN(",",TRUE,(_xlfn._xlws.FILTER($A$2:$A$501,($D$2:$D$501&gt;=AH$7)*($D$2:$D$501&lt;AG$7)*($E$2:$E$501&gt;=$H26)*($E$2:$E$501&lt;$H25)," ")))</f>
        <v xml:space="preserve"> </v>
      </c>
      <c r="AH25" t="str" cm="1">
        <f t="array" ref="AH25">_xlfn.TEXTJOIN(",",TRUE,(_xlfn._xlws.FILTER($A$2:$A$501,($D$2:$D$501&gt;=AI$7)*($D$2:$D$501&lt;AH$7)*($E$2:$E$501&gt;=$H26)*($E$2:$E$501&lt;$H25)," ")))</f>
        <v xml:space="preserve"> </v>
      </c>
      <c r="AI25" t="str" cm="1">
        <f t="array" ref="AI25">_xlfn.TEXTJOIN(",",TRUE,(_xlfn._xlws.FILTER($A$2:$A$501,($D$2:$D$501&gt;=AJ$7)*($D$2:$D$501&lt;AI$7)*($E$2:$E$501&gt;=$H26)*($E$2:$E$501&lt;$H25)," ")))</f>
        <v xml:space="preserve"> </v>
      </c>
      <c r="AJ25" t="str" cm="1">
        <f t="array" ref="AJ25">_xlfn.TEXTJOIN(",",TRUE,(_xlfn._xlws.FILTER($A$2:$A$501,($D$2:$D$501&gt;=AK$7)*($D$2:$D$501&lt;AJ$7)*($E$2:$E$501&gt;=$H26)*($E$2:$E$501&lt;$H25)," ")))</f>
        <v xml:space="preserve"> </v>
      </c>
      <c r="AK25" t="str" cm="1">
        <f t="array" ref="AK25">_xlfn.TEXTJOIN(",",TRUE,(_xlfn._xlws.FILTER($A$2:$A$501,($D$2:$D$501&gt;=AL$7)*($D$2:$D$501&lt;AK$7)*($E$2:$E$501&gt;=$H26)*($E$2:$E$501&lt;$H25)," ")))</f>
        <v xml:space="preserve"> </v>
      </c>
      <c r="AL25" t="str" cm="1">
        <f t="array" ref="AL25">_xlfn.TEXTJOIN(",",TRUE,(_xlfn._xlws.FILTER($A$2:$A$501,($D$2:$D$501&gt;=AM$7)*($D$2:$D$501&lt;AL$7)*($E$2:$E$501&gt;=$H26)*($E$2:$E$501&lt;$H25)," ")))</f>
        <v xml:space="preserve"> </v>
      </c>
      <c r="AM25" t="str" cm="1">
        <f t="array" ref="AM25">_xlfn.TEXTJOIN(",",TRUE,(_xlfn._xlws.FILTER($A$2:$A$501,($D$2:$D$501&gt;=AN$7)*($D$2:$D$501&lt;AM$7)*($E$2:$E$501&gt;=$H26)*($E$2:$E$501&lt;$H25)," ")))</f>
        <v xml:space="preserve"> </v>
      </c>
      <c r="AN25" t="str" cm="1">
        <f t="array" ref="AN25">_xlfn.TEXTJOIN(",",TRUE,(_xlfn._xlws.FILTER($A$2:$A$501,($D$2:$D$501&gt;=AO$7)*($D$2:$D$501&lt;AN$7)*($E$2:$E$501&gt;=$H26)*($E$2:$E$501&lt;$H25)," ")))</f>
        <v xml:space="preserve"> </v>
      </c>
      <c r="AO25" t="str" cm="1">
        <f t="array" ref="AO25">_xlfn.TEXTJOIN(",",TRUE,(_xlfn._xlws.FILTER($A$2:$A$501,($D$2:$D$501&gt;=AP$7)*($D$2:$D$501&lt;AO$7)*($E$2:$E$501&gt;=$H26)*($E$2:$E$501&lt;$H25)," ")))</f>
        <v xml:space="preserve"> </v>
      </c>
      <c r="AP25" t="str" cm="1">
        <f t="array" ref="AP25">_xlfn.TEXTJOIN(",",TRUE,(_xlfn._xlws.FILTER($A$2:$A$501,($D$2:$D$501&gt;=AQ$7)*($D$2:$D$501&lt;AP$7)*($E$2:$E$501&gt;=$H26)*($E$2:$E$501&lt;$H25)," ")))</f>
        <v xml:space="preserve"> </v>
      </c>
      <c r="AQ25" t="str" cm="1">
        <f t="array" ref="AQ25">_xlfn.TEXTJOIN(",",TRUE,(_xlfn._xlws.FILTER($A$2:$A$501,($D$2:$D$501&gt;=AR$7)*($D$2:$D$501&lt;AQ$7)*($E$2:$E$501&gt;=$H26)*($E$2:$E$501&lt;$H25)," ")))</f>
        <v xml:space="preserve"> </v>
      </c>
      <c r="AR25" t="str" cm="1">
        <f t="array" ref="AR25">_xlfn.TEXTJOIN(",",TRUE,(_xlfn._xlws.FILTER($A$2:$A$501,($D$2:$D$501&gt;=AS$7)*($D$2:$D$501&lt;AR$7)*($E$2:$E$501&gt;=$H26)*($E$2:$E$501&lt;$H25)," ")))</f>
        <v xml:space="preserve"> </v>
      </c>
      <c r="AS25" t="str" cm="1">
        <f t="array" ref="AS25">_xlfn.TEXTJOIN(",",TRUE,(_xlfn._xlws.FILTER($A$2:$A$501,($D$2:$D$501&gt;=AT$7)*($D$2:$D$501&lt;AS$7)*($E$2:$E$501&gt;=$H26)*($E$2:$E$501&lt;$H25)," ")))</f>
        <v xml:space="preserve"> </v>
      </c>
      <c r="AT25" t="str" cm="1">
        <f t="array" ref="AT25">_xlfn.TEXTJOIN(",",TRUE,(_xlfn._xlws.FILTER($A$2:$A$501,($D$2:$D$501&gt;=AU$7)*($D$2:$D$501&lt;AT$7)*($E$2:$E$501&gt;=$H26)*($E$2:$E$501&lt;$H25)," ")))</f>
        <v xml:space="preserve"> </v>
      </c>
      <c r="AU25" t="str" cm="1">
        <f t="array" ref="AU25">_xlfn.TEXTJOIN(",",TRUE,(_xlfn._xlws.FILTER($A$2:$A$501,($D$2:$D$501&gt;=AV$7)*($D$2:$D$501&lt;AU$7)*($E$2:$E$501&gt;=$H26)*($E$2:$E$501&lt;$H25)," ")))</f>
        <v xml:space="preserve"> </v>
      </c>
      <c r="AV25" t="str" cm="1">
        <f t="array" ref="AV25">_xlfn.TEXTJOIN(",",TRUE,(_xlfn._xlws.FILTER($A$2:$A$501,($D$2:$D$501&gt;=AW$7)*($D$2:$D$501&lt;AV$7)*($E$2:$E$501&gt;=$H26)*($E$2:$E$501&lt;$H25)," ")))</f>
        <v xml:space="preserve"> </v>
      </c>
      <c r="AW25" t="str" cm="1">
        <f t="array" ref="AW25">_xlfn.TEXTJOIN(",",TRUE,(_xlfn._xlws.FILTER($A$2:$A$501,($D$2:$D$501&gt;=AX$7)*($D$2:$D$501&lt;AW$7)*($E$2:$E$501&gt;=$H26)*($E$2:$E$501&lt;$H25)," ")))</f>
        <v xml:space="preserve"> </v>
      </c>
      <c r="AX25" t="str" cm="1">
        <f t="array" ref="AX25">_xlfn.TEXTJOIN(",",TRUE,(_xlfn._xlws.FILTER($A$2:$A$501,($D$2:$D$501&gt;=AY$7)*($D$2:$D$501&lt;AX$7)*($E$2:$E$501&gt;=$H26)*($E$2:$E$501&lt;$H25)," ")))</f>
        <v xml:space="preserve"> </v>
      </c>
      <c r="AY25" t="str" cm="1">
        <f t="array" ref="AY25">_xlfn.TEXTJOIN(",",TRUE,(_xlfn._xlws.FILTER($A$2:$A$501,($D$2:$D$501&gt;=AZ$7)*($D$2:$D$501&lt;AY$7)*($E$2:$E$501&gt;=$H26)*($E$2:$E$501&lt;$H25)," ")))</f>
        <v xml:space="preserve"> </v>
      </c>
      <c r="AZ25" t="str" cm="1">
        <f t="array" ref="AZ25">_xlfn.TEXTJOIN(",",TRUE,(_xlfn._xlws.FILTER($A$2:$A$501,($D$2:$D$501&gt;=BA$7)*($D$2:$D$501&lt;AZ$7)*($E$2:$E$501&gt;=$H26)*($E$2:$E$501&lt;$H25)," ")))</f>
        <v xml:space="preserve"> </v>
      </c>
      <c r="BA25" t="str" cm="1">
        <f t="array" ref="BA25">_xlfn.TEXTJOIN(",",TRUE,(_xlfn._xlws.FILTER($A$2:$A$501,($D$2:$D$501&gt;=BB$7)*($D$2:$D$501&lt;BA$7)*($E$2:$E$501&gt;=$H26)*($E$2:$E$501&lt;$H25)," ")))</f>
        <v xml:space="preserve"> </v>
      </c>
      <c r="BB25" t="str" cm="1">
        <f t="array" ref="BB25">_xlfn.TEXTJOIN(",",TRUE,(_xlfn._xlws.FILTER($A$2:$A$501,($D$2:$D$501&gt;=BC$7)*($D$2:$D$501&lt;BB$7)*($E$2:$E$501&gt;=$H26)*($E$2:$E$501&lt;$H25)," ")))</f>
        <v xml:space="preserve"> </v>
      </c>
    </row>
    <row r="26" spans="1:54" x14ac:dyDescent="0.2">
      <c r="A26" s="3" t="s">
        <v>225</v>
      </c>
      <c r="B26" s="3" t="s">
        <v>216</v>
      </c>
      <c r="C26" s="13">
        <v>1483177.29</v>
      </c>
      <c r="D26" s="15">
        <v>24766614.210000001</v>
      </c>
      <c r="E26" s="22">
        <f>TuitionRates3[[#This Row],[Tuition]]/D26</f>
        <v>5.9886154700998187E-2</v>
      </c>
      <c r="F26"/>
      <c r="H26" s="18">
        <v>0.13200000000000001</v>
      </c>
      <c r="I26" t="str" cm="1">
        <f t="array" ref="I26">_xlfn.TEXTJOIN(",",TRUE,(_xlfn._xlws.FILTER($A$2:$A$501,($D$2:$D$501&gt;=J$7)*($D$2:$D$501&lt;I$7)*($E$2:$E$501&gt;=$H27)*($E$2:$E$501&lt;$H26)," ")))</f>
        <v xml:space="preserve"> </v>
      </c>
      <c r="J26" t="str" cm="1">
        <f t="array" ref="J26">_xlfn.TEXTJOIN(",",TRUE,(_xlfn._xlws.FILTER($A$2:$A$501,($D$2:$D$501&gt;=K$7)*($D$2:$D$501&lt;J$7)*($E$2:$E$501&gt;=$H27)*($E$2:$E$501&lt;$H26)," ")))</f>
        <v xml:space="preserve"> </v>
      </c>
      <c r="K26" t="str" cm="1">
        <f t="array" ref="K26">_xlfn.TEXTJOIN(",",TRUE,(_xlfn._xlws.FILTER($A$2:$A$501,($D$2:$D$501&gt;=L$7)*($D$2:$D$501&lt;K$7)*($E$2:$E$501&gt;=$H27)*($E$2:$E$501&lt;$H26)," ")))</f>
        <v xml:space="preserve"> </v>
      </c>
      <c r="L26" t="str" cm="1">
        <f t="array" ref="L26">_xlfn.TEXTJOIN(",",TRUE,(_xlfn._xlws.FILTER($A$2:$A$501,($D$2:$D$501&gt;=M$7)*($D$2:$D$501&lt;L$7)*($E$2:$E$501&gt;=$H27)*($E$2:$E$501&lt;$H26)," ")))</f>
        <v xml:space="preserve"> </v>
      </c>
      <c r="M26" t="str" cm="1">
        <f t="array" ref="M26">_xlfn.TEXTJOIN(",",TRUE,(_xlfn._xlws.FILTER($A$2:$A$501,($D$2:$D$501&gt;=N$7)*($D$2:$D$501&lt;M$7)*($E$2:$E$501&gt;=$H27)*($E$2:$E$501&lt;$H26)," ")))</f>
        <v xml:space="preserve"> </v>
      </c>
      <c r="N26" t="str" cm="1">
        <f t="array" ref="N26">_xlfn.TEXTJOIN(",",TRUE,(_xlfn._xlws.FILTER($A$2:$A$501,($D$2:$D$501&gt;=O$7)*($D$2:$D$501&lt;N$7)*($E$2:$E$501&gt;=$H27)*($E$2:$E$501&lt;$H26)," ")))</f>
        <v xml:space="preserve"> </v>
      </c>
      <c r="O26" t="str" cm="1">
        <f t="array" ref="O26">_xlfn.TEXTJOIN(",",TRUE,(_xlfn._xlws.FILTER($A$2:$A$501,($D$2:$D$501&gt;=P$7)*($D$2:$D$501&lt;O$7)*($E$2:$E$501&gt;=$H27)*($E$2:$E$501&lt;$H26)," ")))</f>
        <v xml:space="preserve"> </v>
      </c>
      <c r="P26" t="str" cm="1">
        <f t="array" ref="P26">_xlfn.TEXTJOIN(",",TRUE,(_xlfn._xlws.FILTER($A$2:$A$501,($D$2:$D$501&gt;=Q$7)*($D$2:$D$501&lt;P$7)*($E$2:$E$501&gt;=$H27)*($E$2:$E$501&lt;$H26)," ")))</f>
        <v xml:space="preserve"> </v>
      </c>
      <c r="Q26" t="str" cm="1">
        <f t="array" ref="Q26">_xlfn.TEXTJOIN(",",TRUE,(_xlfn._xlws.FILTER($A$2:$A$501,($D$2:$D$501&gt;=R$7)*($D$2:$D$501&lt;Q$7)*($E$2:$E$501&gt;=$H27)*($E$2:$E$501&lt;$H26)," ")))</f>
        <v xml:space="preserve"> </v>
      </c>
      <c r="R26" t="str" cm="1">
        <f t="array" ref="R26">_xlfn.TEXTJOIN(",",TRUE,(_xlfn._xlws.FILTER($A$2:$A$501,($D$2:$D$501&gt;=S$7)*($D$2:$D$501&lt;R$7)*($E$2:$E$501&gt;=$H27)*($E$2:$E$501&lt;$H26)," ")))</f>
        <v xml:space="preserve"> </v>
      </c>
      <c r="S26" t="str" cm="1">
        <f t="array" ref="S26">_xlfn.TEXTJOIN(",",TRUE,(_xlfn._xlws.FILTER($A$2:$A$501,($D$2:$D$501&gt;=T$7)*($D$2:$D$501&lt;S$7)*($E$2:$E$501&gt;=$H27)*($E$2:$E$501&lt;$H26)," ")))</f>
        <v xml:space="preserve"> </v>
      </c>
      <c r="T26" t="str" cm="1">
        <f t="array" ref="T26">_xlfn.TEXTJOIN(",",TRUE,(_xlfn._xlws.FILTER($A$2:$A$501,($D$2:$D$501&gt;=U$7)*($D$2:$D$501&lt;T$7)*($E$2:$E$501&gt;=$H27)*($E$2:$E$501&lt;$H26)," ")))</f>
        <v xml:space="preserve"> </v>
      </c>
      <c r="U26" t="str" cm="1">
        <f t="array" ref="U26">_xlfn.TEXTJOIN(",",TRUE,(_xlfn._xlws.FILTER($A$2:$A$501,($D$2:$D$501&gt;=V$7)*($D$2:$D$501&lt;U$7)*($E$2:$E$501&gt;=$H27)*($E$2:$E$501&lt;$H26)," ")))</f>
        <v xml:space="preserve"> </v>
      </c>
      <c r="V26" t="str" cm="1">
        <f t="array" ref="V26">_xlfn.TEXTJOIN(",",TRUE,(_xlfn._xlws.FILTER($A$2:$A$501,($D$2:$D$501&gt;=W$7)*($D$2:$D$501&lt;V$7)*($E$2:$E$501&gt;=$H27)*($E$2:$E$501&lt;$H26)," ")))</f>
        <v xml:space="preserve"> </v>
      </c>
      <c r="W26" t="str" cm="1">
        <f t="array" ref="W26">_xlfn.TEXTJOIN(",",TRUE,(_xlfn._xlws.FILTER($A$2:$A$501,($D$2:$D$501&gt;=X$7)*($D$2:$D$501&lt;W$7)*($E$2:$E$501&gt;=$H27)*($E$2:$E$501&lt;$H26)," ")))</f>
        <v xml:space="preserve"> </v>
      </c>
      <c r="X26" t="str" cm="1">
        <f t="array" ref="X26">_xlfn.TEXTJOIN(",",TRUE,(_xlfn._xlws.FILTER($A$2:$A$501,($D$2:$D$501&gt;=Y$7)*($D$2:$D$501&lt;X$7)*($E$2:$E$501&gt;=$H27)*($E$2:$E$501&lt;$H26)," ")))</f>
        <v xml:space="preserve"> </v>
      </c>
      <c r="Y26" t="str" cm="1">
        <f t="array" ref="Y26">_xlfn.TEXTJOIN(",",TRUE,(_xlfn._xlws.FILTER($A$2:$A$501,($D$2:$D$501&gt;=Z$7)*($D$2:$D$501&lt;Y$7)*($E$2:$E$501&gt;=$H27)*($E$2:$E$501&lt;$H26)," ")))</f>
        <v xml:space="preserve"> </v>
      </c>
      <c r="Z26" t="str" cm="1">
        <f t="array" ref="Z26">_xlfn.TEXTJOIN(",",TRUE,(_xlfn._xlws.FILTER($A$2:$A$501,($D$2:$D$501&gt;=AA$7)*($D$2:$D$501&lt;Z$7)*($E$2:$E$501&gt;=$H27)*($E$2:$E$501&lt;$H26)," ")))</f>
        <v xml:space="preserve"> </v>
      </c>
      <c r="AA26" t="str" cm="1">
        <f t="array" ref="AA26">_xlfn.TEXTJOIN(",",TRUE,(_xlfn._xlws.FILTER($A$2:$A$501,($D$2:$D$501&gt;=AB$7)*($D$2:$D$501&lt;AA$7)*($E$2:$E$501&gt;=$H27)*($E$2:$E$501&lt;$H26)," ")))</f>
        <v xml:space="preserve"> </v>
      </c>
      <c r="AB26" t="str" cm="1">
        <f t="array" ref="AB26">_xlfn.TEXTJOIN(",",TRUE,(_xlfn._xlws.FILTER($A$2:$A$501,($D$2:$D$501&gt;=AC$7)*($D$2:$D$501&lt;AB$7)*($E$2:$E$501&gt;=$H27)*($E$2:$E$501&lt;$H26)," ")))</f>
        <v xml:space="preserve"> </v>
      </c>
      <c r="AC26" t="str" cm="1">
        <f t="array" ref="AC26">_xlfn.TEXTJOIN(",",TRUE,(_xlfn._xlws.FILTER($A$2:$A$501,($D$2:$D$501&gt;=AD$7)*($D$2:$D$501&lt;AC$7)*($E$2:$E$501&gt;=$H27)*($E$2:$E$501&lt;$H26)," ")))</f>
        <v xml:space="preserve"> </v>
      </c>
      <c r="AD26" t="str" cm="1">
        <f t="array" ref="AD26">_xlfn.TEXTJOIN(",",TRUE,(_xlfn._xlws.FILTER($A$2:$A$501,($D$2:$D$501&gt;=AE$7)*($D$2:$D$501&lt;AD$7)*($E$2:$E$501&gt;=$H27)*($E$2:$E$501&lt;$H26)," ")))</f>
        <v xml:space="preserve"> </v>
      </c>
      <c r="AE26" t="str" cm="1">
        <f t="array" ref="AE26">_xlfn.TEXTJOIN(",",TRUE,(_xlfn._xlws.FILTER($A$2:$A$501,($D$2:$D$501&gt;=AF$7)*($D$2:$D$501&lt;AE$7)*($E$2:$E$501&gt;=$H27)*($E$2:$E$501&lt;$H26)," ")))</f>
        <v xml:space="preserve"> </v>
      </c>
      <c r="AF26" t="str" cm="1">
        <f t="array" ref="AF26">_xlfn.TEXTJOIN(",",TRUE,(_xlfn._xlws.FILTER($A$2:$A$501,($D$2:$D$501&gt;=AG$7)*($D$2:$D$501&lt;AF$7)*($E$2:$E$501&gt;=$H27)*($E$2:$E$501&lt;$H26)," ")))</f>
        <v xml:space="preserve"> </v>
      </c>
      <c r="AG26" t="str" cm="1">
        <f t="array" ref="AG26">_xlfn.TEXTJOIN(",",TRUE,(_xlfn._xlws.FILTER($A$2:$A$501,($D$2:$D$501&gt;=AH$7)*($D$2:$D$501&lt;AG$7)*($E$2:$E$501&gt;=$H27)*($E$2:$E$501&lt;$H26)," ")))</f>
        <v xml:space="preserve"> </v>
      </c>
      <c r="AH26" t="str" cm="1">
        <f t="array" ref="AH26">_xlfn.TEXTJOIN(",",TRUE,(_xlfn._xlws.FILTER($A$2:$A$501,($D$2:$D$501&gt;=AI$7)*($D$2:$D$501&lt;AH$7)*($E$2:$E$501&gt;=$H27)*($E$2:$E$501&lt;$H26)," ")))</f>
        <v xml:space="preserve"> </v>
      </c>
      <c r="AI26" t="str" cm="1">
        <f t="array" ref="AI26">_xlfn.TEXTJOIN(",",TRUE,(_xlfn._xlws.FILTER($A$2:$A$501,($D$2:$D$501&gt;=AJ$7)*($D$2:$D$501&lt;AI$7)*($E$2:$E$501&gt;=$H27)*($E$2:$E$501&lt;$H26)," ")))</f>
        <v xml:space="preserve"> </v>
      </c>
      <c r="AJ26" t="str" cm="1">
        <f t="array" ref="AJ26">_xlfn.TEXTJOIN(",",TRUE,(_xlfn._xlws.FILTER($A$2:$A$501,($D$2:$D$501&gt;=AK$7)*($D$2:$D$501&lt;AJ$7)*($E$2:$E$501&gt;=$H27)*($E$2:$E$501&lt;$H26)," ")))</f>
        <v xml:space="preserve"> </v>
      </c>
      <c r="AK26" t="str" cm="1">
        <f t="array" ref="AK26">_xlfn.TEXTJOIN(",",TRUE,(_xlfn._xlws.FILTER($A$2:$A$501,($D$2:$D$501&gt;=AL$7)*($D$2:$D$501&lt;AK$7)*($E$2:$E$501&gt;=$H27)*($E$2:$E$501&lt;$H26)," ")))</f>
        <v xml:space="preserve"> </v>
      </c>
      <c r="AL26" t="str" cm="1">
        <f t="array" ref="AL26">_xlfn.TEXTJOIN(",",TRUE,(_xlfn._xlws.FILTER($A$2:$A$501,($D$2:$D$501&gt;=AM$7)*($D$2:$D$501&lt;AL$7)*($E$2:$E$501&gt;=$H27)*($E$2:$E$501&lt;$H26)," ")))</f>
        <v xml:space="preserve"> </v>
      </c>
      <c r="AM26" t="str" cm="1">
        <f t="array" ref="AM26">_xlfn.TEXTJOIN(",",TRUE,(_xlfn._xlws.FILTER($A$2:$A$501,($D$2:$D$501&gt;=AN$7)*($D$2:$D$501&lt;AM$7)*($E$2:$E$501&gt;=$H27)*($E$2:$E$501&lt;$H26)," ")))</f>
        <v xml:space="preserve"> </v>
      </c>
      <c r="AN26" t="str" cm="1">
        <f t="array" ref="AN26">_xlfn.TEXTJOIN(",",TRUE,(_xlfn._xlws.FILTER($A$2:$A$501,($D$2:$D$501&gt;=AO$7)*($D$2:$D$501&lt;AN$7)*($E$2:$E$501&gt;=$H27)*($E$2:$E$501&lt;$H26)," ")))</f>
        <v xml:space="preserve"> </v>
      </c>
      <c r="AO26" t="str" cm="1">
        <f t="array" ref="AO26">_xlfn.TEXTJOIN(",",TRUE,(_xlfn._xlws.FILTER($A$2:$A$501,($D$2:$D$501&gt;=AP$7)*($D$2:$D$501&lt;AO$7)*($E$2:$E$501&gt;=$H27)*($E$2:$E$501&lt;$H26)," ")))</f>
        <v xml:space="preserve"> </v>
      </c>
      <c r="AP26" t="str" cm="1">
        <f t="array" ref="AP26">_xlfn.TEXTJOIN(",",TRUE,(_xlfn._xlws.FILTER($A$2:$A$501,($D$2:$D$501&gt;=AQ$7)*($D$2:$D$501&lt;AP$7)*($E$2:$E$501&gt;=$H27)*($E$2:$E$501&lt;$H26)," ")))</f>
        <v xml:space="preserve"> </v>
      </c>
      <c r="AQ26" t="str" cm="1">
        <f t="array" ref="AQ26">_xlfn.TEXTJOIN(",",TRUE,(_xlfn._xlws.FILTER($A$2:$A$501,($D$2:$D$501&gt;=AR$7)*($D$2:$D$501&lt;AQ$7)*($E$2:$E$501&gt;=$H27)*($E$2:$E$501&lt;$H26)," ")))</f>
        <v xml:space="preserve"> </v>
      </c>
      <c r="AR26" t="str" cm="1">
        <f t="array" ref="AR26">_xlfn.TEXTJOIN(",",TRUE,(_xlfn._xlws.FILTER($A$2:$A$501,($D$2:$D$501&gt;=AS$7)*($D$2:$D$501&lt;AR$7)*($E$2:$E$501&gt;=$H27)*($E$2:$E$501&lt;$H26)," ")))</f>
        <v xml:space="preserve"> </v>
      </c>
      <c r="AS26" t="str" cm="1">
        <f t="array" ref="AS26">_xlfn.TEXTJOIN(",",TRUE,(_xlfn._xlws.FILTER($A$2:$A$501,($D$2:$D$501&gt;=AT$7)*($D$2:$D$501&lt;AS$7)*($E$2:$E$501&gt;=$H27)*($E$2:$E$501&lt;$H26)," ")))</f>
        <v xml:space="preserve"> </v>
      </c>
      <c r="AT26" t="str" cm="1">
        <f t="array" ref="AT26">_xlfn.TEXTJOIN(",",TRUE,(_xlfn._xlws.FILTER($A$2:$A$501,($D$2:$D$501&gt;=AU$7)*($D$2:$D$501&lt;AT$7)*($E$2:$E$501&gt;=$H27)*($E$2:$E$501&lt;$H26)," ")))</f>
        <v xml:space="preserve"> </v>
      </c>
      <c r="AU26" t="str" cm="1">
        <f t="array" ref="AU26">_xlfn.TEXTJOIN(",",TRUE,(_xlfn._xlws.FILTER($A$2:$A$501,($D$2:$D$501&gt;=AV$7)*($D$2:$D$501&lt;AU$7)*($E$2:$E$501&gt;=$H27)*($E$2:$E$501&lt;$H26)," ")))</f>
        <v xml:space="preserve"> </v>
      </c>
      <c r="AV26" t="str" cm="1">
        <f t="array" ref="AV26">_xlfn.TEXTJOIN(",",TRUE,(_xlfn._xlws.FILTER($A$2:$A$501,($D$2:$D$501&gt;=AW$7)*($D$2:$D$501&lt;AV$7)*($E$2:$E$501&gt;=$H27)*($E$2:$E$501&lt;$H26)," ")))</f>
        <v xml:space="preserve"> </v>
      </c>
      <c r="AW26" t="str" cm="1">
        <f t="array" ref="AW26">_xlfn.TEXTJOIN(",",TRUE,(_xlfn._xlws.FILTER($A$2:$A$501,($D$2:$D$501&gt;=AX$7)*($D$2:$D$501&lt;AW$7)*($E$2:$E$501&gt;=$H27)*($E$2:$E$501&lt;$H26)," ")))</f>
        <v xml:space="preserve"> </v>
      </c>
      <c r="AX26" t="str" cm="1">
        <f t="array" ref="AX26">_xlfn.TEXTJOIN(",",TRUE,(_xlfn._xlws.FILTER($A$2:$A$501,($D$2:$D$501&gt;=AY$7)*($D$2:$D$501&lt;AX$7)*($E$2:$E$501&gt;=$H27)*($E$2:$E$501&lt;$H26)," ")))</f>
        <v xml:space="preserve"> </v>
      </c>
      <c r="AY26" t="str" cm="1">
        <f t="array" ref="AY26">_xlfn.TEXTJOIN(",",TRUE,(_xlfn._xlws.FILTER($A$2:$A$501,($D$2:$D$501&gt;=AZ$7)*($D$2:$D$501&lt;AY$7)*($E$2:$E$501&gt;=$H27)*($E$2:$E$501&lt;$H26)," ")))</f>
        <v xml:space="preserve"> </v>
      </c>
      <c r="AZ26" t="str" cm="1">
        <f t="array" ref="AZ26">_xlfn.TEXTJOIN(",",TRUE,(_xlfn._xlws.FILTER($A$2:$A$501,($D$2:$D$501&gt;=BA$7)*($D$2:$D$501&lt;AZ$7)*($E$2:$E$501&gt;=$H27)*($E$2:$E$501&lt;$H26)," ")))</f>
        <v xml:space="preserve"> </v>
      </c>
      <c r="BA26" t="str" cm="1">
        <f t="array" ref="BA26">_xlfn.TEXTJOIN(",",TRUE,(_xlfn._xlws.FILTER($A$2:$A$501,($D$2:$D$501&gt;=BB$7)*($D$2:$D$501&lt;BA$7)*($E$2:$E$501&gt;=$H27)*($E$2:$E$501&lt;$H26)," ")))</f>
        <v xml:space="preserve"> </v>
      </c>
      <c r="BB26" t="str" cm="1">
        <f t="array" ref="BB26">_xlfn.TEXTJOIN(",",TRUE,(_xlfn._xlws.FILTER($A$2:$A$501,($D$2:$D$501&gt;=BC$7)*($D$2:$D$501&lt;BB$7)*($E$2:$E$501&gt;=$H27)*($E$2:$E$501&lt;$H26)," ")))</f>
        <v xml:space="preserve"> </v>
      </c>
    </row>
    <row r="27" spans="1:54" x14ac:dyDescent="0.2">
      <c r="A27" s="3" t="s">
        <v>308</v>
      </c>
      <c r="B27" s="3" t="s">
        <v>305</v>
      </c>
      <c r="C27" s="13">
        <v>1638603.13</v>
      </c>
      <c r="D27" s="15">
        <v>27390973.309999999</v>
      </c>
      <c r="E27" s="22">
        <f>TuitionRates3[[#This Row],[Tuition]]/D27</f>
        <v>5.9822742019969496E-2</v>
      </c>
      <c r="F27"/>
      <c r="H27" s="18">
        <v>0.13100000000000001</v>
      </c>
      <c r="I27" t="str" cm="1">
        <f t="array" ref="I27">_xlfn.TEXTJOIN(",",TRUE,(_xlfn._xlws.FILTER($A$2:$A$501,($D$2:$D$501&gt;=J$7)*($D$2:$D$501&lt;I$7)*($E$2:$E$501&gt;=$H28)*($E$2:$E$501&lt;$H27)," ")))</f>
        <v xml:space="preserve"> </v>
      </c>
      <c r="J27" t="str" cm="1">
        <f t="array" ref="J27">_xlfn.TEXTJOIN(",",TRUE,(_xlfn._xlws.FILTER($A$2:$A$501,($D$2:$D$501&gt;=K$7)*($D$2:$D$501&lt;J$7)*($E$2:$E$501&gt;=$H28)*($E$2:$E$501&lt;$H27)," ")))</f>
        <v xml:space="preserve"> </v>
      </c>
      <c r="K27" t="str" cm="1">
        <f t="array" ref="K27">_xlfn.TEXTJOIN(",",TRUE,(_xlfn._xlws.FILTER($A$2:$A$501,($D$2:$D$501&gt;=L$7)*($D$2:$D$501&lt;K$7)*($E$2:$E$501&gt;=$H28)*($E$2:$E$501&lt;$H27)," ")))</f>
        <v xml:space="preserve"> </v>
      </c>
      <c r="L27" t="str" cm="1">
        <f t="array" ref="L27">_xlfn.TEXTJOIN(",",TRUE,(_xlfn._xlws.FILTER($A$2:$A$501,($D$2:$D$501&gt;=M$7)*($D$2:$D$501&lt;L$7)*($E$2:$E$501&gt;=$H28)*($E$2:$E$501&lt;$H27)," ")))</f>
        <v xml:space="preserve"> </v>
      </c>
      <c r="M27" t="str" cm="1">
        <f t="array" ref="M27">_xlfn.TEXTJOIN(",",TRUE,(_xlfn._xlws.FILTER($A$2:$A$501,($D$2:$D$501&gt;=N$7)*($D$2:$D$501&lt;M$7)*($E$2:$E$501&gt;=$H28)*($E$2:$E$501&lt;$H27)," ")))</f>
        <v xml:space="preserve"> </v>
      </c>
      <c r="N27" t="str" cm="1">
        <f t="array" ref="N27">_xlfn.TEXTJOIN(",",TRUE,(_xlfn._xlws.FILTER($A$2:$A$501,($D$2:$D$501&gt;=O$7)*($D$2:$D$501&lt;N$7)*($E$2:$E$501&gt;=$H28)*($E$2:$E$501&lt;$H27)," ")))</f>
        <v xml:space="preserve"> </v>
      </c>
      <c r="O27" t="str" cm="1">
        <f t="array" ref="O27">_xlfn.TEXTJOIN(",",TRUE,(_xlfn._xlws.FILTER($A$2:$A$501,($D$2:$D$501&gt;=P$7)*($D$2:$D$501&lt;O$7)*($E$2:$E$501&gt;=$H28)*($E$2:$E$501&lt;$H27)," ")))</f>
        <v xml:space="preserve"> </v>
      </c>
      <c r="P27" t="str" cm="1">
        <f t="array" ref="P27">_xlfn.TEXTJOIN(",",TRUE,(_xlfn._xlws.FILTER($A$2:$A$501,($D$2:$D$501&gt;=Q$7)*($D$2:$D$501&lt;P$7)*($E$2:$E$501&gt;=$H28)*($E$2:$E$501&lt;$H27)," ")))</f>
        <v xml:space="preserve"> </v>
      </c>
      <c r="Q27" t="str" cm="1">
        <f t="array" ref="Q27">_xlfn.TEXTJOIN(",",TRUE,(_xlfn._xlws.FILTER($A$2:$A$501,($D$2:$D$501&gt;=R$7)*($D$2:$D$501&lt;Q$7)*($E$2:$E$501&gt;=$H28)*($E$2:$E$501&lt;$H27)," ")))</f>
        <v xml:space="preserve"> </v>
      </c>
      <c r="R27" t="str" cm="1">
        <f t="array" ref="R27">_xlfn.TEXTJOIN(",",TRUE,(_xlfn._xlws.FILTER($A$2:$A$501,($D$2:$D$501&gt;=S$7)*($D$2:$D$501&lt;R$7)*($E$2:$E$501&gt;=$H28)*($E$2:$E$501&lt;$H27)," ")))</f>
        <v xml:space="preserve"> </v>
      </c>
      <c r="S27" t="str" cm="1">
        <f t="array" ref="S27">_xlfn.TEXTJOIN(",",TRUE,(_xlfn._xlws.FILTER($A$2:$A$501,($D$2:$D$501&gt;=T$7)*($D$2:$D$501&lt;S$7)*($E$2:$E$501&gt;=$H28)*($E$2:$E$501&lt;$H27)," ")))</f>
        <v xml:space="preserve"> </v>
      </c>
      <c r="T27" t="str" cm="1">
        <f t="array" ref="T27">_xlfn.TEXTJOIN(",",TRUE,(_xlfn._xlws.FILTER($A$2:$A$501,($D$2:$D$501&gt;=U$7)*($D$2:$D$501&lt;T$7)*($E$2:$E$501&gt;=$H28)*($E$2:$E$501&lt;$H27)," ")))</f>
        <v xml:space="preserve"> </v>
      </c>
      <c r="U27" t="str" cm="1">
        <f t="array" ref="U27">_xlfn.TEXTJOIN(",",TRUE,(_xlfn._xlws.FILTER($A$2:$A$501,($D$2:$D$501&gt;=V$7)*($D$2:$D$501&lt;U$7)*($E$2:$E$501&gt;=$H28)*($E$2:$E$501&lt;$H27)," ")))</f>
        <v xml:space="preserve"> </v>
      </c>
      <c r="V27" t="str" cm="1">
        <f t="array" ref="V27">_xlfn.TEXTJOIN(",",TRUE,(_xlfn._xlws.FILTER($A$2:$A$501,($D$2:$D$501&gt;=W$7)*($D$2:$D$501&lt;V$7)*($E$2:$E$501&gt;=$H28)*($E$2:$E$501&lt;$H27)," ")))</f>
        <v xml:space="preserve"> </v>
      </c>
      <c r="W27" t="str" cm="1">
        <f t="array" ref="W27">_xlfn.TEXTJOIN(",",TRUE,(_xlfn._xlws.FILTER($A$2:$A$501,($D$2:$D$501&gt;=X$7)*($D$2:$D$501&lt;W$7)*($E$2:$E$501&gt;=$H28)*($E$2:$E$501&lt;$H27)," ")))</f>
        <v xml:space="preserve"> </v>
      </c>
      <c r="X27" t="str" cm="1">
        <f t="array" ref="X27">_xlfn.TEXTJOIN(",",TRUE,(_xlfn._xlws.FILTER($A$2:$A$501,($D$2:$D$501&gt;=Y$7)*($D$2:$D$501&lt;X$7)*($E$2:$E$501&gt;=$H28)*($E$2:$E$501&lt;$H27)," ")))</f>
        <v xml:space="preserve"> </v>
      </c>
      <c r="Y27" t="str" cm="1">
        <f t="array" ref="Y27">_xlfn.TEXTJOIN(",",TRUE,(_xlfn._xlws.FILTER($A$2:$A$501,($D$2:$D$501&gt;=Z$7)*($D$2:$D$501&lt;Y$7)*($E$2:$E$501&gt;=$H28)*($E$2:$E$501&lt;$H27)," ")))</f>
        <v xml:space="preserve"> </v>
      </c>
      <c r="Z27" t="str" cm="1">
        <f t="array" ref="Z27">_xlfn.TEXTJOIN(",",TRUE,(_xlfn._xlws.FILTER($A$2:$A$501,($D$2:$D$501&gt;=AA$7)*($D$2:$D$501&lt;Z$7)*($E$2:$E$501&gt;=$H28)*($E$2:$E$501&lt;$H27)," ")))</f>
        <v xml:space="preserve"> </v>
      </c>
      <c r="AA27" t="str" cm="1">
        <f t="array" ref="AA27">_xlfn.TEXTJOIN(",",TRUE,(_xlfn._xlws.FILTER($A$2:$A$501,($D$2:$D$501&gt;=AB$7)*($D$2:$D$501&lt;AA$7)*($E$2:$E$501&gt;=$H28)*($E$2:$E$501&lt;$H27)," ")))</f>
        <v xml:space="preserve"> </v>
      </c>
      <c r="AB27" t="str" cm="1">
        <f t="array" ref="AB27">_xlfn.TEXTJOIN(",",TRUE,(_xlfn._xlws.FILTER($A$2:$A$501,($D$2:$D$501&gt;=AC$7)*($D$2:$D$501&lt;AB$7)*($E$2:$E$501&gt;=$H28)*($E$2:$E$501&lt;$H27)," ")))</f>
        <v xml:space="preserve"> </v>
      </c>
      <c r="AC27" t="str" cm="1">
        <f t="array" ref="AC27">_xlfn.TEXTJOIN(",",TRUE,(_xlfn._xlws.FILTER($A$2:$A$501,($D$2:$D$501&gt;=AD$7)*($D$2:$D$501&lt;AC$7)*($E$2:$E$501&gt;=$H28)*($E$2:$E$501&lt;$H27)," ")))</f>
        <v xml:space="preserve"> </v>
      </c>
      <c r="AD27" t="str" cm="1">
        <f t="array" ref="AD27">_xlfn.TEXTJOIN(",",TRUE,(_xlfn._xlws.FILTER($A$2:$A$501,($D$2:$D$501&gt;=AE$7)*($D$2:$D$501&lt;AD$7)*($E$2:$E$501&gt;=$H28)*($E$2:$E$501&lt;$H27)," ")))</f>
        <v xml:space="preserve"> </v>
      </c>
      <c r="AE27" t="str" cm="1">
        <f t="array" ref="AE27">_xlfn.TEXTJOIN(",",TRUE,(_xlfn._xlws.FILTER($A$2:$A$501,($D$2:$D$501&gt;=AF$7)*($D$2:$D$501&lt;AE$7)*($E$2:$E$501&gt;=$H28)*($E$2:$E$501&lt;$H27)," ")))</f>
        <v xml:space="preserve"> </v>
      </c>
      <c r="AF27" t="str" cm="1">
        <f t="array" ref="AF27">_xlfn.TEXTJOIN(",",TRUE,(_xlfn._xlws.FILTER($A$2:$A$501,($D$2:$D$501&gt;=AG$7)*($D$2:$D$501&lt;AF$7)*($E$2:$E$501&gt;=$H28)*($E$2:$E$501&lt;$H27)," ")))</f>
        <v xml:space="preserve"> </v>
      </c>
      <c r="AG27" t="str" cm="1">
        <f t="array" ref="AG27">_xlfn.TEXTJOIN(",",TRUE,(_xlfn._xlws.FILTER($A$2:$A$501,($D$2:$D$501&gt;=AH$7)*($D$2:$D$501&lt;AG$7)*($E$2:$E$501&gt;=$H28)*($E$2:$E$501&lt;$H27)," ")))</f>
        <v xml:space="preserve"> </v>
      </c>
      <c r="AH27" t="str" cm="1">
        <f t="array" ref="AH27">_xlfn.TEXTJOIN(",",TRUE,(_xlfn._xlws.FILTER($A$2:$A$501,($D$2:$D$501&gt;=AI$7)*($D$2:$D$501&lt;AH$7)*($E$2:$E$501&gt;=$H28)*($E$2:$E$501&lt;$H27)," ")))</f>
        <v xml:space="preserve"> </v>
      </c>
      <c r="AI27" t="str" cm="1">
        <f t="array" ref="AI27">_xlfn.TEXTJOIN(",",TRUE,(_xlfn._xlws.FILTER($A$2:$A$501,($D$2:$D$501&gt;=AJ$7)*($D$2:$D$501&lt;AI$7)*($E$2:$E$501&gt;=$H28)*($E$2:$E$501&lt;$H27)," ")))</f>
        <v xml:space="preserve"> </v>
      </c>
      <c r="AJ27" t="str" cm="1">
        <f t="array" ref="AJ27">_xlfn.TEXTJOIN(",",TRUE,(_xlfn._xlws.FILTER($A$2:$A$501,($D$2:$D$501&gt;=AK$7)*($D$2:$D$501&lt;AJ$7)*($E$2:$E$501&gt;=$H28)*($E$2:$E$501&lt;$H27)," ")))</f>
        <v xml:space="preserve"> </v>
      </c>
      <c r="AK27" t="str" cm="1">
        <f t="array" ref="AK27">_xlfn.TEXTJOIN(",",TRUE,(_xlfn._xlws.FILTER($A$2:$A$501,($D$2:$D$501&gt;=AL$7)*($D$2:$D$501&lt;AK$7)*($E$2:$E$501&gt;=$H28)*($E$2:$E$501&lt;$H27)," ")))</f>
        <v xml:space="preserve"> </v>
      </c>
      <c r="AL27" t="str" cm="1">
        <f t="array" ref="AL27">_xlfn.TEXTJOIN(",",TRUE,(_xlfn._xlws.FILTER($A$2:$A$501,($D$2:$D$501&gt;=AM$7)*($D$2:$D$501&lt;AL$7)*($E$2:$E$501&gt;=$H28)*($E$2:$E$501&lt;$H27)," ")))</f>
        <v xml:space="preserve"> </v>
      </c>
      <c r="AM27" t="str" cm="1">
        <f t="array" ref="AM27">_xlfn.TEXTJOIN(",",TRUE,(_xlfn._xlws.FILTER($A$2:$A$501,($D$2:$D$501&gt;=AN$7)*($D$2:$D$501&lt;AM$7)*($E$2:$E$501&gt;=$H28)*($E$2:$E$501&lt;$H27)," ")))</f>
        <v xml:space="preserve"> </v>
      </c>
      <c r="AN27" t="str" cm="1">
        <f t="array" ref="AN27">_xlfn.TEXTJOIN(",",TRUE,(_xlfn._xlws.FILTER($A$2:$A$501,($D$2:$D$501&gt;=AO$7)*($D$2:$D$501&lt;AN$7)*($E$2:$E$501&gt;=$H28)*($E$2:$E$501&lt;$H27)," ")))</f>
        <v xml:space="preserve"> </v>
      </c>
      <c r="AO27" t="str" cm="1">
        <f t="array" ref="AO27">_xlfn.TEXTJOIN(",",TRUE,(_xlfn._xlws.FILTER($A$2:$A$501,($D$2:$D$501&gt;=AP$7)*($D$2:$D$501&lt;AO$7)*($E$2:$E$501&gt;=$H28)*($E$2:$E$501&lt;$H27)," ")))</f>
        <v xml:space="preserve"> </v>
      </c>
      <c r="AP27" t="str" cm="1">
        <f t="array" ref="AP27">_xlfn.TEXTJOIN(",",TRUE,(_xlfn._xlws.FILTER($A$2:$A$501,($D$2:$D$501&gt;=AQ$7)*($D$2:$D$501&lt;AP$7)*($E$2:$E$501&gt;=$H28)*($E$2:$E$501&lt;$H27)," ")))</f>
        <v xml:space="preserve"> </v>
      </c>
      <c r="AQ27" t="str" cm="1">
        <f t="array" ref="AQ27">_xlfn.TEXTJOIN(",",TRUE,(_xlfn._xlws.FILTER($A$2:$A$501,($D$2:$D$501&gt;=AR$7)*($D$2:$D$501&lt;AQ$7)*($E$2:$E$501&gt;=$H28)*($E$2:$E$501&lt;$H27)," ")))</f>
        <v xml:space="preserve"> </v>
      </c>
      <c r="AR27" t="str" cm="1">
        <f t="array" ref="AR27">_xlfn.TEXTJOIN(",",TRUE,(_xlfn._xlws.FILTER($A$2:$A$501,($D$2:$D$501&gt;=AS$7)*($D$2:$D$501&lt;AR$7)*($E$2:$E$501&gt;=$H28)*($E$2:$E$501&lt;$H27)," ")))</f>
        <v xml:space="preserve"> </v>
      </c>
      <c r="AS27" t="str" cm="1">
        <f t="array" ref="AS27">_xlfn.TEXTJOIN(",",TRUE,(_xlfn._xlws.FILTER($A$2:$A$501,($D$2:$D$501&gt;=AT$7)*($D$2:$D$501&lt;AS$7)*($E$2:$E$501&gt;=$H28)*($E$2:$E$501&lt;$H27)," ")))</f>
        <v xml:space="preserve"> </v>
      </c>
      <c r="AT27" t="str" cm="1">
        <f t="array" ref="AT27">_xlfn.TEXTJOIN(",",TRUE,(_xlfn._xlws.FILTER($A$2:$A$501,($D$2:$D$501&gt;=AU$7)*($D$2:$D$501&lt;AT$7)*($E$2:$E$501&gt;=$H28)*($E$2:$E$501&lt;$H27)," ")))</f>
        <v xml:space="preserve"> </v>
      </c>
      <c r="AU27" t="str" cm="1">
        <f t="array" ref="AU27">_xlfn.TEXTJOIN(",",TRUE,(_xlfn._xlws.FILTER($A$2:$A$501,($D$2:$D$501&gt;=AV$7)*($D$2:$D$501&lt;AU$7)*($E$2:$E$501&gt;=$H28)*($E$2:$E$501&lt;$H27)," ")))</f>
        <v xml:space="preserve"> </v>
      </c>
      <c r="AV27" t="str" cm="1">
        <f t="array" ref="AV27">_xlfn.TEXTJOIN(",",TRUE,(_xlfn._xlws.FILTER($A$2:$A$501,($D$2:$D$501&gt;=AW$7)*($D$2:$D$501&lt;AV$7)*($E$2:$E$501&gt;=$H28)*($E$2:$E$501&lt;$H27)," ")))</f>
        <v xml:space="preserve"> </v>
      </c>
      <c r="AW27" t="str" cm="1">
        <f t="array" ref="AW27">_xlfn.TEXTJOIN(",",TRUE,(_xlfn._xlws.FILTER($A$2:$A$501,($D$2:$D$501&gt;=AX$7)*($D$2:$D$501&lt;AW$7)*($E$2:$E$501&gt;=$H28)*($E$2:$E$501&lt;$H27)," ")))</f>
        <v xml:space="preserve"> </v>
      </c>
      <c r="AX27" t="str" cm="1">
        <f t="array" ref="AX27">_xlfn.TEXTJOIN(",",TRUE,(_xlfn._xlws.FILTER($A$2:$A$501,($D$2:$D$501&gt;=AY$7)*($D$2:$D$501&lt;AX$7)*($E$2:$E$501&gt;=$H28)*($E$2:$E$501&lt;$H27)," ")))</f>
        <v xml:space="preserve"> </v>
      </c>
      <c r="AY27" t="str" cm="1">
        <f t="array" ref="AY27">_xlfn.TEXTJOIN(",",TRUE,(_xlfn._xlws.FILTER($A$2:$A$501,($D$2:$D$501&gt;=AZ$7)*($D$2:$D$501&lt;AY$7)*($E$2:$E$501&gt;=$H28)*($E$2:$E$501&lt;$H27)," ")))</f>
        <v xml:space="preserve"> </v>
      </c>
      <c r="AZ27" t="str" cm="1">
        <f t="array" ref="AZ27">_xlfn.TEXTJOIN(",",TRUE,(_xlfn._xlws.FILTER($A$2:$A$501,($D$2:$D$501&gt;=BA$7)*($D$2:$D$501&lt;AZ$7)*($E$2:$E$501&gt;=$H28)*($E$2:$E$501&lt;$H27)," ")))</f>
        <v xml:space="preserve"> </v>
      </c>
      <c r="BA27" t="str" cm="1">
        <f t="array" ref="BA27">_xlfn.TEXTJOIN(",",TRUE,(_xlfn._xlws.FILTER($A$2:$A$501,($D$2:$D$501&gt;=BB$7)*($D$2:$D$501&lt;BA$7)*($E$2:$E$501&gt;=$H28)*($E$2:$E$501&lt;$H27)," ")))</f>
        <v xml:space="preserve"> </v>
      </c>
      <c r="BB27" t="str" cm="1">
        <f t="array" ref="BB27">_xlfn.TEXTJOIN(",",TRUE,(_xlfn._xlws.FILTER($A$2:$A$501,($D$2:$D$501&gt;=BC$7)*($D$2:$D$501&lt;BB$7)*($E$2:$E$501&gt;=$H28)*($E$2:$E$501&lt;$H27)," ")))</f>
        <v xml:space="preserve"> </v>
      </c>
    </row>
    <row r="28" spans="1:54" x14ac:dyDescent="0.2">
      <c r="A28" s="3" t="s">
        <v>566</v>
      </c>
      <c r="B28" s="3" t="s">
        <v>554</v>
      </c>
      <c r="C28" s="13">
        <v>8409746.3000000007</v>
      </c>
      <c r="D28" s="15">
        <v>141132890.34</v>
      </c>
      <c r="E28" s="22">
        <f>TuitionRates3[[#This Row],[Tuition]]/D28</f>
        <v>5.9587430539686917E-2</v>
      </c>
      <c r="F28"/>
      <c r="H28" s="18">
        <v>0.13</v>
      </c>
      <c r="I28" t="str" cm="1">
        <f t="array" ref="I28">_xlfn.TEXTJOIN(",",TRUE,(_xlfn._xlws.FILTER($A$2:$A$501,($D$2:$D$501&gt;=J$7)*($D$2:$D$501&lt;I$7)*($E$2:$E$501&gt;=$H29)*($E$2:$E$501&lt;$H28)," ")))</f>
        <v xml:space="preserve"> </v>
      </c>
      <c r="J28" t="str" cm="1">
        <f t="array" ref="J28">_xlfn.TEXTJOIN(",",TRUE,(_xlfn._xlws.FILTER($A$2:$A$501,($D$2:$D$501&gt;=K$7)*($D$2:$D$501&lt;J$7)*($E$2:$E$501&gt;=$H29)*($E$2:$E$501&lt;$H28)," ")))</f>
        <v xml:space="preserve"> </v>
      </c>
      <c r="K28" t="str" cm="1">
        <f t="array" ref="K28">_xlfn.TEXTJOIN(",",TRUE,(_xlfn._xlws.FILTER($A$2:$A$501,($D$2:$D$501&gt;=L$7)*($D$2:$D$501&lt;K$7)*($E$2:$E$501&gt;=$H29)*($E$2:$E$501&lt;$H28)," ")))</f>
        <v xml:space="preserve"> </v>
      </c>
      <c r="L28" t="str" cm="1">
        <f t="array" ref="L28">_xlfn.TEXTJOIN(",",TRUE,(_xlfn._xlws.FILTER($A$2:$A$501,($D$2:$D$501&gt;=M$7)*($D$2:$D$501&lt;L$7)*($E$2:$E$501&gt;=$H29)*($E$2:$E$501&lt;$H28)," ")))</f>
        <v xml:space="preserve"> </v>
      </c>
      <c r="M28" t="str" cm="1">
        <f t="array" ref="M28">_xlfn.TEXTJOIN(",",TRUE,(_xlfn._xlws.FILTER($A$2:$A$501,($D$2:$D$501&gt;=N$7)*($D$2:$D$501&lt;M$7)*($E$2:$E$501&gt;=$H29)*($E$2:$E$501&lt;$H28)," ")))</f>
        <v xml:space="preserve"> </v>
      </c>
      <c r="N28" t="str" cm="1">
        <f t="array" ref="N28">_xlfn.TEXTJOIN(",",TRUE,(_xlfn._xlws.FILTER($A$2:$A$501,($D$2:$D$501&gt;=O$7)*($D$2:$D$501&lt;N$7)*($E$2:$E$501&gt;=$H29)*($E$2:$E$501&lt;$H28)," ")))</f>
        <v xml:space="preserve"> </v>
      </c>
      <c r="O28" t="str" cm="1">
        <f t="array" ref="O28">_xlfn.TEXTJOIN(",",TRUE,(_xlfn._xlws.FILTER($A$2:$A$501,($D$2:$D$501&gt;=P$7)*($D$2:$D$501&lt;O$7)*($E$2:$E$501&gt;=$H29)*($E$2:$E$501&lt;$H28)," ")))</f>
        <v xml:space="preserve"> </v>
      </c>
      <c r="P28" t="str" cm="1">
        <f t="array" ref="P28">_xlfn.TEXTJOIN(",",TRUE,(_xlfn._xlws.FILTER($A$2:$A$501,($D$2:$D$501&gt;=Q$7)*($D$2:$D$501&lt;P$7)*($E$2:$E$501&gt;=$H29)*($E$2:$E$501&lt;$H28)," ")))</f>
        <v xml:space="preserve"> </v>
      </c>
      <c r="Q28" t="str" cm="1">
        <f t="array" ref="Q28">_xlfn.TEXTJOIN(",",TRUE,(_xlfn._xlws.FILTER($A$2:$A$501,($D$2:$D$501&gt;=R$7)*($D$2:$D$501&lt;Q$7)*($E$2:$E$501&gt;=$H29)*($E$2:$E$501&lt;$H28)," ")))</f>
        <v xml:space="preserve"> </v>
      </c>
      <c r="R28" t="str" cm="1">
        <f t="array" ref="R28">_xlfn.TEXTJOIN(",",TRUE,(_xlfn._xlws.FILTER($A$2:$A$501,($D$2:$D$501&gt;=S$7)*($D$2:$D$501&lt;R$7)*($E$2:$E$501&gt;=$H29)*($E$2:$E$501&lt;$H28)," ")))</f>
        <v xml:space="preserve"> </v>
      </c>
      <c r="S28" t="str" cm="1">
        <f t="array" ref="S28">_xlfn.TEXTJOIN(",",TRUE,(_xlfn._xlws.FILTER($A$2:$A$501,($D$2:$D$501&gt;=T$7)*($D$2:$D$501&lt;S$7)*($E$2:$E$501&gt;=$H29)*($E$2:$E$501&lt;$H28)," ")))</f>
        <v xml:space="preserve"> </v>
      </c>
      <c r="T28" t="str" cm="1">
        <f t="array" ref="T28">_xlfn.TEXTJOIN(",",TRUE,(_xlfn._xlws.FILTER($A$2:$A$501,($D$2:$D$501&gt;=U$7)*($D$2:$D$501&lt;T$7)*($E$2:$E$501&gt;=$H29)*($E$2:$E$501&lt;$H28)," ")))</f>
        <v xml:space="preserve"> </v>
      </c>
      <c r="U28" t="str" cm="1">
        <f t="array" ref="U28">_xlfn.TEXTJOIN(",",TRUE,(_xlfn._xlws.FILTER($A$2:$A$501,($D$2:$D$501&gt;=V$7)*($D$2:$D$501&lt;U$7)*($E$2:$E$501&gt;=$H29)*($E$2:$E$501&lt;$H28)," ")))</f>
        <v xml:space="preserve"> </v>
      </c>
      <c r="V28" t="str" cm="1">
        <f t="array" ref="V28">_xlfn.TEXTJOIN(",",TRUE,(_xlfn._xlws.FILTER($A$2:$A$501,($D$2:$D$501&gt;=W$7)*($D$2:$D$501&lt;V$7)*($E$2:$E$501&gt;=$H29)*($E$2:$E$501&lt;$H28)," ")))</f>
        <v xml:space="preserve"> </v>
      </c>
      <c r="W28" t="str" cm="1">
        <f t="array" ref="W28">_xlfn.TEXTJOIN(",",TRUE,(_xlfn._xlws.FILTER($A$2:$A$501,($D$2:$D$501&gt;=X$7)*($D$2:$D$501&lt;W$7)*($E$2:$E$501&gt;=$H29)*($E$2:$E$501&lt;$H28)," ")))</f>
        <v xml:space="preserve"> </v>
      </c>
      <c r="X28" t="str" cm="1">
        <f t="array" ref="X28">_xlfn.TEXTJOIN(",",TRUE,(_xlfn._xlws.FILTER($A$2:$A$501,($D$2:$D$501&gt;=Y$7)*($D$2:$D$501&lt;X$7)*($E$2:$E$501&gt;=$H29)*($E$2:$E$501&lt;$H28)," ")))</f>
        <v xml:space="preserve"> </v>
      </c>
      <c r="Y28" t="str" cm="1">
        <f t="array" ref="Y28">_xlfn.TEXTJOIN(",",TRUE,(_xlfn._xlws.FILTER($A$2:$A$501,($D$2:$D$501&gt;=Z$7)*($D$2:$D$501&lt;Y$7)*($E$2:$E$501&gt;=$H29)*($E$2:$E$501&lt;$H28)," ")))</f>
        <v xml:space="preserve"> </v>
      </c>
      <c r="Z28" t="str" cm="1">
        <f t="array" ref="Z28">_xlfn.TEXTJOIN(",",TRUE,(_xlfn._xlws.FILTER($A$2:$A$501,($D$2:$D$501&gt;=AA$7)*($D$2:$D$501&lt;Z$7)*($E$2:$E$501&gt;=$H29)*($E$2:$E$501&lt;$H28)," ")))</f>
        <v xml:space="preserve"> </v>
      </c>
      <c r="AA28" t="str" cm="1">
        <f t="array" ref="AA28">_xlfn.TEXTJOIN(",",TRUE,(_xlfn._xlws.FILTER($A$2:$A$501,($D$2:$D$501&gt;=AB$7)*($D$2:$D$501&lt;AA$7)*($E$2:$E$501&gt;=$H29)*($E$2:$E$501&lt;$H28)," ")))</f>
        <v xml:space="preserve"> </v>
      </c>
      <c r="AB28" t="str" cm="1">
        <f t="array" ref="AB28">_xlfn.TEXTJOIN(",",TRUE,(_xlfn._xlws.FILTER($A$2:$A$501,($D$2:$D$501&gt;=AC$7)*($D$2:$D$501&lt;AB$7)*($E$2:$E$501&gt;=$H29)*($E$2:$E$501&lt;$H28)," ")))</f>
        <v xml:space="preserve"> </v>
      </c>
      <c r="AC28" t="str" cm="1">
        <f t="array" ref="AC28">_xlfn.TEXTJOIN(",",TRUE,(_xlfn._xlws.FILTER($A$2:$A$501,($D$2:$D$501&gt;=AD$7)*($D$2:$D$501&lt;AC$7)*($E$2:$E$501&gt;=$H29)*($E$2:$E$501&lt;$H28)," ")))</f>
        <v xml:space="preserve"> </v>
      </c>
      <c r="AD28" t="str" cm="1">
        <f t="array" ref="AD28">_xlfn.TEXTJOIN(",",TRUE,(_xlfn._xlws.FILTER($A$2:$A$501,($D$2:$D$501&gt;=AE$7)*($D$2:$D$501&lt;AD$7)*($E$2:$E$501&gt;=$H29)*($E$2:$E$501&lt;$H28)," ")))</f>
        <v xml:space="preserve"> </v>
      </c>
      <c r="AE28" t="str" cm="1">
        <f t="array" ref="AE28">_xlfn.TEXTJOIN(",",TRUE,(_xlfn._xlws.FILTER($A$2:$A$501,($D$2:$D$501&gt;=AF$7)*($D$2:$D$501&lt;AE$7)*($E$2:$E$501&gt;=$H29)*($E$2:$E$501&lt;$H28)," ")))</f>
        <v xml:space="preserve"> </v>
      </c>
      <c r="AF28" t="str" cm="1">
        <f t="array" ref="AF28">_xlfn.TEXTJOIN(",",TRUE,(_xlfn._xlws.FILTER($A$2:$A$501,($D$2:$D$501&gt;=AG$7)*($D$2:$D$501&lt;AF$7)*($E$2:$E$501&gt;=$H29)*($E$2:$E$501&lt;$H28)," ")))</f>
        <v xml:space="preserve"> </v>
      </c>
      <c r="AG28" t="str" cm="1">
        <f t="array" ref="AG28">_xlfn.TEXTJOIN(",",TRUE,(_xlfn._xlws.FILTER($A$2:$A$501,($D$2:$D$501&gt;=AH$7)*($D$2:$D$501&lt;AG$7)*($E$2:$E$501&gt;=$H29)*($E$2:$E$501&lt;$H28)," ")))</f>
        <v xml:space="preserve"> </v>
      </c>
      <c r="AH28" t="str" cm="1">
        <f t="array" ref="AH28">_xlfn.TEXTJOIN(",",TRUE,(_xlfn._xlws.FILTER($A$2:$A$501,($D$2:$D$501&gt;=AI$7)*($D$2:$D$501&lt;AH$7)*($E$2:$E$501&gt;=$H29)*($E$2:$E$501&lt;$H28)," ")))</f>
        <v xml:space="preserve"> </v>
      </c>
      <c r="AI28" t="str" cm="1">
        <f t="array" ref="AI28">_xlfn.TEXTJOIN(",",TRUE,(_xlfn._xlws.FILTER($A$2:$A$501,($D$2:$D$501&gt;=AJ$7)*($D$2:$D$501&lt;AI$7)*($E$2:$E$501&gt;=$H29)*($E$2:$E$501&lt;$H28)," ")))</f>
        <v xml:space="preserve"> </v>
      </c>
      <c r="AJ28" t="str" cm="1">
        <f t="array" ref="AJ28">_xlfn.TEXTJOIN(",",TRUE,(_xlfn._xlws.FILTER($A$2:$A$501,($D$2:$D$501&gt;=AK$7)*($D$2:$D$501&lt;AJ$7)*($E$2:$E$501&gt;=$H29)*($E$2:$E$501&lt;$H28)," ")))</f>
        <v xml:space="preserve"> </v>
      </c>
      <c r="AK28" t="str" cm="1">
        <f t="array" ref="AK28">_xlfn.TEXTJOIN(",",TRUE,(_xlfn._xlws.FILTER($A$2:$A$501,($D$2:$D$501&gt;=AL$7)*($D$2:$D$501&lt;AK$7)*($E$2:$E$501&gt;=$H29)*($E$2:$E$501&lt;$H28)," ")))</f>
        <v xml:space="preserve"> </v>
      </c>
      <c r="AL28" t="str" cm="1">
        <f t="array" ref="AL28">_xlfn.TEXTJOIN(",",TRUE,(_xlfn._xlws.FILTER($A$2:$A$501,($D$2:$D$501&gt;=AM$7)*($D$2:$D$501&lt;AL$7)*($E$2:$E$501&gt;=$H29)*($E$2:$E$501&lt;$H28)," ")))</f>
        <v xml:space="preserve"> </v>
      </c>
      <c r="AM28" t="str" cm="1">
        <f t="array" ref="AM28">_xlfn.TEXTJOIN(",",TRUE,(_xlfn._xlws.FILTER($A$2:$A$501,($D$2:$D$501&gt;=AN$7)*($D$2:$D$501&lt;AM$7)*($E$2:$E$501&gt;=$H29)*($E$2:$E$501&lt;$H28)," ")))</f>
        <v xml:space="preserve"> </v>
      </c>
      <c r="AN28" t="str" cm="1">
        <f t="array" ref="AN28">_xlfn.TEXTJOIN(",",TRUE,(_xlfn._xlws.FILTER($A$2:$A$501,($D$2:$D$501&gt;=AO$7)*($D$2:$D$501&lt;AN$7)*($E$2:$E$501&gt;=$H29)*($E$2:$E$501&lt;$H28)," ")))</f>
        <v xml:space="preserve"> </v>
      </c>
      <c r="AO28" t="str" cm="1">
        <f t="array" ref="AO28">_xlfn.TEXTJOIN(",",TRUE,(_xlfn._xlws.FILTER($A$2:$A$501,($D$2:$D$501&gt;=AP$7)*($D$2:$D$501&lt;AO$7)*($E$2:$E$501&gt;=$H29)*($E$2:$E$501&lt;$H28)," ")))</f>
        <v xml:space="preserve"> </v>
      </c>
      <c r="AP28" t="str" cm="1">
        <f t="array" ref="AP28">_xlfn.TEXTJOIN(",",TRUE,(_xlfn._xlws.FILTER($A$2:$A$501,($D$2:$D$501&gt;=AQ$7)*($D$2:$D$501&lt;AP$7)*($E$2:$E$501&gt;=$H29)*($E$2:$E$501&lt;$H28)," ")))</f>
        <v xml:space="preserve"> </v>
      </c>
      <c r="AQ28" t="str" cm="1">
        <f t="array" ref="AQ28">_xlfn.TEXTJOIN(",",TRUE,(_xlfn._xlws.FILTER($A$2:$A$501,($D$2:$D$501&gt;=AR$7)*($D$2:$D$501&lt;AQ$7)*($E$2:$E$501&gt;=$H29)*($E$2:$E$501&lt;$H28)," ")))</f>
        <v xml:space="preserve"> </v>
      </c>
      <c r="AR28" t="str" cm="1">
        <f t="array" ref="AR28">_xlfn.TEXTJOIN(",",TRUE,(_xlfn._xlws.FILTER($A$2:$A$501,($D$2:$D$501&gt;=AS$7)*($D$2:$D$501&lt;AR$7)*($E$2:$E$501&gt;=$H29)*($E$2:$E$501&lt;$H28)," ")))</f>
        <v xml:space="preserve"> </v>
      </c>
      <c r="AS28" t="str" cm="1">
        <f t="array" ref="AS28">_xlfn.TEXTJOIN(",",TRUE,(_xlfn._xlws.FILTER($A$2:$A$501,($D$2:$D$501&gt;=AT$7)*($D$2:$D$501&lt;AS$7)*($E$2:$E$501&gt;=$H29)*($E$2:$E$501&lt;$H28)," ")))</f>
        <v xml:space="preserve"> </v>
      </c>
      <c r="AT28" t="str" cm="1">
        <f t="array" ref="AT28">_xlfn.TEXTJOIN(",",TRUE,(_xlfn._xlws.FILTER($A$2:$A$501,($D$2:$D$501&gt;=AU$7)*($D$2:$D$501&lt;AT$7)*($E$2:$E$501&gt;=$H29)*($E$2:$E$501&lt;$H28)," ")))</f>
        <v xml:space="preserve"> </v>
      </c>
      <c r="AU28" t="str" cm="1">
        <f t="array" ref="AU28">_xlfn.TEXTJOIN(",",TRUE,(_xlfn._xlws.FILTER($A$2:$A$501,($D$2:$D$501&gt;=AV$7)*($D$2:$D$501&lt;AU$7)*($E$2:$E$501&gt;=$H29)*($E$2:$E$501&lt;$H28)," ")))</f>
        <v xml:space="preserve"> </v>
      </c>
      <c r="AV28" t="str" cm="1">
        <f t="array" ref="AV28">_xlfn.TEXTJOIN(",",TRUE,(_xlfn._xlws.FILTER($A$2:$A$501,($D$2:$D$501&gt;=AW$7)*($D$2:$D$501&lt;AV$7)*($E$2:$E$501&gt;=$H29)*($E$2:$E$501&lt;$H28)," ")))</f>
        <v xml:space="preserve"> </v>
      </c>
      <c r="AW28" t="str" cm="1">
        <f t="array" ref="AW28">_xlfn.TEXTJOIN(",",TRUE,(_xlfn._xlws.FILTER($A$2:$A$501,($D$2:$D$501&gt;=AX$7)*($D$2:$D$501&lt;AW$7)*($E$2:$E$501&gt;=$H29)*($E$2:$E$501&lt;$H28)," ")))</f>
        <v xml:space="preserve"> </v>
      </c>
      <c r="AX28" t="str" cm="1">
        <f t="array" ref="AX28">_xlfn.TEXTJOIN(",",TRUE,(_xlfn._xlws.FILTER($A$2:$A$501,($D$2:$D$501&gt;=AY$7)*($D$2:$D$501&lt;AX$7)*($E$2:$E$501&gt;=$H29)*($E$2:$E$501&lt;$H28)," ")))</f>
        <v xml:space="preserve"> </v>
      </c>
      <c r="AY28" t="str" cm="1">
        <f t="array" ref="AY28">_xlfn.TEXTJOIN(",",TRUE,(_xlfn._xlws.FILTER($A$2:$A$501,($D$2:$D$501&gt;=AZ$7)*($D$2:$D$501&lt;AY$7)*($E$2:$E$501&gt;=$H29)*($E$2:$E$501&lt;$H28)," ")))</f>
        <v xml:space="preserve"> </v>
      </c>
      <c r="AZ28" t="str" cm="1">
        <f t="array" ref="AZ28">_xlfn.TEXTJOIN(",",TRUE,(_xlfn._xlws.FILTER($A$2:$A$501,($D$2:$D$501&gt;=BA$7)*($D$2:$D$501&lt;AZ$7)*($E$2:$E$501&gt;=$H29)*($E$2:$E$501&lt;$H28)," ")))</f>
        <v xml:space="preserve"> </v>
      </c>
      <c r="BA28" t="str" cm="1">
        <f t="array" ref="BA28">_xlfn.TEXTJOIN(",",TRUE,(_xlfn._xlws.FILTER($A$2:$A$501,($D$2:$D$501&gt;=BB$7)*($D$2:$D$501&lt;BA$7)*($E$2:$E$501&gt;=$H29)*($E$2:$E$501&lt;$H28)," ")))</f>
        <v xml:space="preserve"> </v>
      </c>
      <c r="BB28" t="str" cm="1">
        <f t="array" ref="BB28">_xlfn.TEXTJOIN(",",TRUE,(_xlfn._xlws.FILTER($A$2:$A$501,($D$2:$D$501&gt;=BC$7)*($D$2:$D$501&lt;BB$7)*($E$2:$E$501&gt;=$H29)*($E$2:$E$501&lt;$H28)," ")))</f>
        <v xml:space="preserve"> </v>
      </c>
    </row>
    <row r="29" spans="1:54" x14ac:dyDescent="0.2">
      <c r="A29" s="3" t="s">
        <v>448</v>
      </c>
      <c r="B29" s="3" t="s">
        <v>447</v>
      </c>
      <c r="C29" s="13">
        <v>1427579.63</v>
      </c>
      <c r="D29" s="15">
        <v>24059985.34</v>
      </c>
      <c r="E29" s="22">
        <f>TuitionRates3[[#This Row],[Tuition]]/D29</f>
        <v>5.9334185363223498E-2</v>
      </c>
      <c r="F29"/>
      <c r="H29" s="18">
        <v>0.129</v>
      </c>
      <c r="I29" t="str" cm="1">
        <f t="array" ref="I29">_xlfn.TEXTJOIN(",",TRUE,(_xlfn._xlws.FILTER($A$2:$A$501,($D$2:$D$501&gt;=J$7)*($D$2:$D$501&lt;I$7)*($E$2:$E$501&gt;=$H30)*($E$2:$E$501&lt;$H29)," ")))</f>
        <v xml:space="preserve"> </v>
      </c>
      <c r="J29" t="str" cm="1">
        <f t="array" ref="J29">_xlfn.TEXTJOIN(",",TRUE,(_xlfn._xlws.FILTER($A$2:$A$501,($D$2:$D$501&gt;=K$7)*($D$2:$D$501&lt;J$7)*($E$2:$E$501&gt;=$H30)*($E$2:$E$501&lt;$H29)," ")))</f>
        <v xml:space="preserve"> </v>
      </c>
      <c r="K29" t="str" cm="1">
        <f t="array" ref="K29">_xlfn.TEXTJOIN(",",TRUE,(_xlfn._xlws.FILTER($A$2:$A$501,($D$2:$D$501&gt;=L$7)*($D$2:$D$501&lt;K$7)*($E$2:$E$501&gt;=$H30)*($E$2:$E$501&lt;$H29)," ")))</f>
        <v xml:space="preserve"> </v>
      </c>
      <c r="L29" t="str" cm="1">
        <f t="array" ref="L29">_xlfn.TEXTJOIN(",",TRUE,(_xlfn._xlws.FILTER($A$2:$A$501,($D$2:$D$501&gt;=M$7)*($D$2:$D$501&lt;L$7)*($E$2:$E$501&gt;=$H30)*($E$2:$E$501&lt;$H29)," ")))</f>
        <v xml:space="preserve"> </v>
      </c>
      <c r="M29" t="str" cm="1">
        <f t="array" ref="M29">_xlfn.TEXTJOIN(",",TRUE,(_xlfn._xlws.FILTER($A$2:$A$501,($D$2:$D$501&gt;=N$7)*($D$2:$D$501&lt;M$7)*($E$2:$E$501&gt;=$H30)*($E$2:$E$501&lt;$H29)," ")))</f>
        <v xml:space="preserve"> </v>
      </c>
      <c r="N29" t="str" cm="1">
        <f t="array" ref="N29">_xlfn.TEXTJOIN(",",TRUE,(_xlfn._xlws.FILTER($A$2:$A$501,($D$2:$D$501&gt;=O$7)*($D$2:$D$501&lt;N$7)*($E$2:$E$501&gt;=$H30)*($E$2:$E$501&lt;$H29)," ")))</f>
        <v xml:space="preserve"> </v>
      </c>
      <c r="O29" t="str" cm="1">
        <f t="array" ref="O29">_xlfn.TEXTJOIN(",",TRUE,(_xlfn._xlws.FILTER($A$2:$A$501,($D$2:$D$501&gt;=P$7)*($D$2:$D$501&lt;O$7)*($E$2:$E$501&gt;=$H30)*($E$2:$E$501&lt;$H29)," ")))</f>
        <v xml:space="preserve"> </v>
      </c>
      <c r="P29" t="str" cm="1">
        <f t="array" ref="P29">_xlfn.TEXTJOIN(",",TRUE,(_xlfn._xlws.FILTER($A$2:$A$501,($D$2:$D$501&gt;=Q$7)*($D$2:$D$501&lt;P$7)*($E$2:$E$501&gt;=$H30)*($E$2:$E$501&lt;$H29)," ")))</f>
        <v xml:space="preserve"> </v>
      </c>
      <c r="Q29" t="str" cm="1">
        <f t="array" ref="Q29">_xlfn.TEXTJOIN(",",TRUE,(_xlfn._xlws.FILTER($A$2:$A$501,($D$2:$D$501&gt;=R$7)*($D$2:$D$501&lt;Q$7)*($E$2:$E$501&gt;=$H30)*($E$2:$E$501&lt;$H29)," ")))</f>
        <v xml:space="preserve"> </v>
      </c>
      <c r="R29" t="str" cm="1">
        <f t="array" ref="R29">_xlfn.TEXTJOIN(",",TRUE,(_xlfn._xlws.FILTER($A$2:$A$501,($D$2:$D$501&gt;=S$7)*($D$2:$D$501&lt;R$7)*($E$2:$E$501&gt;=$H30)*($E$2:$E$501&lt;$H29)," ")))</f>
        <v xml:space="preserve"> </v>
      </c>
      <c r="S29" t="str" cm="1">
        <f t="array" ref="S29">_xlfn.TEXTJOIN(",",TRUE,(_xlfn._xlws.FILTER($A$2:$A$501,($D$2:$D$501&gt;=T$7)*($D$2:$D$501&lt;S$7)*($E$2:$E$501&gt;=$H30)*($E$2:$E$501&lt;$H29)," ")))</f>
        <v xml:space="preserve"> </v>
      </c>
      <c r="T29" t="str" cm="1">
        <f t="array" ref="T29">_xlfn.TEXTJOIN(",",TRUE,(_xlfn._xlws.FILTER($A$2:$A$501,($D$2:$D$501&gt;=U$7)*($D$2:$D$501&lt;T$7)*($E$2:$E$501&gt;=$H30)*($E$2:$E$501&lt;$H29)," ")))</f>
        <v xml:space="preserve"> </v>
      </c>
      <c r="U29" t="str" cm="1">
        <f t="array" ref="U29">_xlfn.TEXTJOIN(",",TRUE,(_xlfn._xlws.FILTER($A$2:$A$501,($D$2:$D$501&gt;=V$7)*($D$2:$D$501&lt;U$7)*($E$2:$E$501&gt;=$H30)*($E$2:$E$501&lt;$H29)," ")))</f>
        <v xml:space="preserve"> </v>
      </c>
      <c r="V29" t="str" cm="1">
        <f t="array" ref="V29">_xlfn.TEXTJOIN(",",TRUE,(_xlfn._xlws.FILTER($A$2:$A$501,($D$2:$D$501&gt;=W$7)*($D$2:$D$501&lt;V$7)*($E$2:$E$501&gt;=$H30)*($E$2:$E$501&lt;$H29)," ")))</f>
        <v xml:space="preserve"> </v>
      </c>
      <c r="W29" t="str" cm="1">
        <f t="array" ref="W29">_xlfn.TEXTJOIN(",",TRUE,(_xlfn._xlws.FILTER($A$2:$A$501,($D$2:$D$501&gt;=X$7)*($D$2:$D$501&lt;W$7)*($E$2:$E$501&gt;=$H30)*($E$2:$E$501&lt;$H29)," ")))</f>
        <v xml:space="preserve"> </v>
      </c>
      <c r="X29" t="str" cm="1">
        <f t="array" ref="X29">_xlfn.TEXTJOIN(",",TRUE,(_xlfn._xlws.FILTER($A$2:$A$501,($D$2:$D$501&gt;=Y$7)*($D$2:$D$501&lt;X$7)*($E$2:$E$501&gt;=$H30)*($E$2:$E$501&lt;$H29)," ")))</f>
        <v xml:space="preserve"> </v>
      </c>
      <c r="Y29" t="str" cm="1">
        <f t="array" ref="Y29">_xlfn.TEXTJOIN(",",TRUE,(_xlfn._xlws.FILTER($A$2:$A$501,($D$2:$D$501&gt;=Z$7)*($D$2:$D$501&lt;Y$7)*($E$2:$E$501&gt;=$H30)*($E$2:$E$501&lt;$H29)," ")))</f>
        <v xml:space="preserve"> </v>
      </c>
      <c r="Z29" t="str" cm="1">
        <f t="array" ref="Z29">_xlfn.TEXTJOIN(",",TRUE,(_xlfn._xlws.FILTER($A$2:$A$501,($D$2:$D$501&gt;=AA$7)*($D$2:$D$501&lt;Z$7)*($E$2:$E$501&gt;=$H30)*($E$2:$E$501&lt;$H29)," ")))</f>
        <v xml:space="preserve"> </v>
      </c>
      <c r="AA29" t="str" cm="1">
        <f t="array" ref="AA29">_xlfn.TEXTJOIN(",",TRUE,(_xlfn._xlws.FILTER($A$2:$A$501,($D$2:$D$501&gt;=AB$7)*($D$2:$D$501&lt;AA$7)*($E$2:$E$501&gt;=$H30)*($E$2:$E$501&lt;$H29)," ")))</f>
        <v xml:space="preserve"> </v>
      </c>
      <c r="AB29" t="str" cm="1">
        <f t="array" ref="AB29">_xlfn.TEXTJOIN(",",TRUE,(_xlfn._xlws.FILTER($A$2:$A$501,($D$2:$D$501&gt;=AC$7)*($D$2:$D$501&lt;AB$7)*($E$2:$E$501&gt;=$H30)*($E$2:$E$501&lt;$H29)," ")))</f>
        <v xml:space="preserve"> </v>
      </c>
      <c r="AC29" t="str" cm="1">
        <f t="array" ref="AC29">_xlfn.TEXTJOIN(",",TRUE,(_xlfn._xlws.FILTER($A$2:$A$501,($D$2:$D$501&gt;=AD$7)*($D$2:$D$501&lt;AC$7)*($E$2:$E$501&gt;=$H30)*($E$2:$E$501&lt;$H29)," ")))</f>
        <v xml:space="preserve"> </v>
      </c>
      <c r="AD29" t="str" cm="1">
        <f t="array" ref="AD29">_xlfn.TEXTJOIN(",",TRUE,(_xlfn._xlws.FILTER($A$2:$A$501,($D$2:$D$501&gt;=AE$7)*($D$2:$D$501&lt;AD$7)*($E$2:$E$501&gt;=$H30)*($E$2:$E$501&lt;$H29)," ")))</f>
        <v xml:space="preserve"> </v>
      </c>
      <c r="AE29" t="str" cm="1">
        <f t="array" ref="AE29">_xlfn.TEXTJOIN(",",TRUE,(_xlfn._xlws.FILTER($A$2:$A$501,($D$2:$D$501&gt;=AF$7)*($D$2:$D$501&lt;AE$7)*($E$2:$E$501&gt;=$H30)*($E$2:$E$501&lt;$H29)," ")))</f>
        <v xml:space="preserve"> </v>
      </c>
      <c r="AF29" t="str" cm="1">
        <f t="array" ref="AF29">_xlfn.TEXTJOIN(",",TRUE,(_xlfn._xlws.FILTER($A$2:$A$501,($D$2:$D$501&gt;=AG$7)*($D$2:$D$501&lt;AF$7)*($E$2:$E$501&gt;=$H30)*($E$2:$E$501&lt;$H29)," ")))</f>
        <v xml:space="preserve"> </v>
      </c>
      <c r="AG29" t="str" cm="1">
        <f t="array" ref="AG29">_xlfn.TEXTJOIN(",",TRUE,(_xlfn._xlws.FILTER($A$2:$A$501,($D$2:$D$501&gt;=AH$7)*($D$2:$D$501&lt;AG$7)*($E$2:$E$501&gt;=$H30)*($E$2:$E$501&lt;$H29)," ")))</f>
        <v xml:space="preserve"> </v>
      </c>
      <c r="AH29" t="str" cm="1">
        <f t="array" ref="AH29">_xlfn.TEXTJOIN(",",TRUE,(_xlfn._xlws.FILTER($A$2:$A$501,($D$2:$D$501&gt;=AI$7)*($D$2:$D$501&lt;AH$7)*($E$2:$E$501&gt;=$H30)*($E$2:$E$501&lt;$H29)," ")))</f>
        <v xml:space="preserve"> </v>
      </c>
      <c r="AI29" t="str" cm="1">
        <f t="array" ref="AI29">_xlfn.TEXTJOIN(",",TRUE,(_xlfn._xlws.FILTER($A$2:$A$501,($D$2:$D$501&gt;=AJ$7)*($D$2:$D$501&lt;AI$7)*($E$2:$E$501&gt;=$H30)*($E$2:$E$501&lt;$H29)," ")))</f>
        <v xml:space="preserve"> </v>
      </c>
      <c r="AJ29" t="str" cm="1">
        <f t="array" ref="AJ29">_xlfn.TEXTJOIN(",",TRUE,(_xlfn._xlws.FILTER($A$2:$A$501,($D$2:$D$501&gt;=AK$7)*($D$2:$D$501&lt;AJ$7)*($E$2:$E$501&gt;=$H30)*($E$2:$E$501&lt;$H29)," ")))</f>
        <v xml:space="preserve"> </v>
      </c>
      <c r="AK29" t="str" cm="1">
        <f t="array" ref="AK29">_xlfn.TEXTJOIN(",",TRUE,(_xlfn._xlws.FILTER($A$2:$A$501,($D$2:$D$501&gt;=AL$7)*($D$2:$D$501&lt;AK$7)*($E$2:$E$501&gt;=$H30)*($E$2:$E$501&lt;$H29)," ")))</f>
        <v xml:space="preserve"> </v>
      </c>
      <c r="AL29" t="str" cm="1">
        <f t="array" ref="AL29">_xlfn.TEXTJOIN(",",TRUE,(_xlfn._xlws.FILTER($A$2:$A$501,($D$2:$D$501&gt;=AM$7)*($D$2:$D$501&lt;AL$7)*($E$2:$E$501&gt;=$H30)*($E$2:$E$501&lt;$H29)," ")))</f>
        <v xml:space="preserve"> </v>
      </c>
      <c r="AM29" t="str" cm="1">
        <f t="array" ref="AM29">_xlfn.TEXTJOIN(",",TRUE,(_xlfn._xlws.FILTER($A$2:$A$501,($D$2:$D$501&gt;=AN$7)*($D$2:$D$501&lt;AM$7)*($E$2:$E$501&gt;=$H30)*($E$2:$E$501&lt;$H29)," ")))</f>
        <v xml:space="preserve"> </v>
      </c>
      <c r="AN29" t="str" cm="1">
        <f t="array" ref="AN29">_xlfn.TEXTJOIN(",",TRUE,(_xlfn._xlws.FILTER($A$2:$A$501,($D$2:$D$501&gt;=AO$7)*($D$2:$D$501&lt;AN$7)*($E$2:$E$501&gt;=$H30)*($E$2:$E$501&lt;$H29)," ")))</f>
        <v xml:space="preserve"> </v>
      </c>
      <c r="AO29" t="str" cm="1">
        <f t="array" ref="AO29">_xlfn.TEXTJOIN(",",TRUE,(_xlfn._xlws.FILTER($A$2:$A$501,($D$2:$D$501&gt;=AP$7)*($D$2:$D$501&lt;AO$7)*($E$2:$E$501&gt;=$H30)*($E$2:$E$501&lt;$H29)," ")))</f>
        <v xml:space="preserve"> </v>
      </c>
      <c r="AP29" t="str" cm="1">
        <f t="array" ref="AP29">_xlfn.TEXTJOIN(",",TRUE,(_xlfn._xlws.FILTER($A$2:$A$501,($D$2:$D$501&gt;=AQ$7)*($D$2:$D$501&lt;AP$7)*($E$2:$E$501&gt;=$H30)*($E$2:$E$501&lt;$H29)," ")))</f>
        <v xml:space="preserve"> </v>
      </c>
      <c r="AQ29" t="str" cm="1">
        <f t="array" ref="AQ29">_xlfn.TEXTJOIN(",",TRUE,(_xlfn._xlws.FILTER($A$2:$A$501,($D$2:$D$501&gt;=AR$7)*($D$2:$D$501&lt;AQ$7)*($E$2:$E$501&gt;=$H30)*($E$2:$E$501&lt;$H29)," ")))</f>
        <v xml:space="preserve"> </v>
      </c>
      <c r="AR29" t="str" cm="1">
        <f t="array" ref="AR29">_xlfn.TEXTJOIN(",",TRUE,(_xlfn._xlws.FILTER($A$2:$A$501,($D$2:$D$501&gt;=AS$7)*($D$2:$D$501&lt;AR$7)*($E$2:$E$501&gt;=$H30)*($E$2:$E$501&lt;$H29)," ")))</f>
        <v xml:space="preserve"> </v>
      </c>
      <c r="AS29" t="str" cm="1">
        <f t="array" ref="AS29">_xlfn.TEXTJOIN(",",TRUE,(_xlfn._xlws.FILTER($A$2:$A$501,($D$2:$D$501&gt;=AT$7)*($D$2:$D$501&lt;AS$7)*($E$2:$E$501&gt;=$H30)*($E$2:$E$501&lt;$H29)," ")))</f>
        <v xml:space="preserve"> </v>
      </c>
      <c r="AT29" t="str" cm="1">
        <f t="array" ref="AT29">_xlfn.TEXTJOIN(",",TRUE,(_xlfn._xlws.FILTER($A$2:$A$501,($D$2:$D$501&gt;=AU$7)*($D$2:$D$501&lt;AT$7)*($E$2:$E$501&gt;=$H30)*($E$2:$E$501&lt;$H29)," ")))</f>
        <v xml:space="preserve"> </v>
      </c>
      <c r="AU29" t="str" cm="1">
        <f t="array" ref="AU29">_xlfn.TEXTJOIN(",",TRUE,(_xlfn._xlws.FILTER($A$2:$A$501,($D$2:$D$501&gt;=AV$7)*($D$2:$D$501&lt;AU$7)*($E$2:$E$501&gt;=$H30)*($E$2:$E$501&lt;$H29)," ")))</f>
        <v xml:space="preserve"> </v>
      </c>
      <c r="AV29" t="str" cm="1">
        <f t="array" ref="AV29">_xlfn.TEXTJOIN(",",TRUE,(_xlfn._xlws.FILTER($A$2:$A$501,($D$2:$D$501&gt;=AW$7)*($D$2:$D$501&lt;AV$7)*($E$2:$E$501&gt;=$H30)*($E$2:$E$501&lt;$H29)," ")))</f>
        <v xml:space="preserve"> </v>
      </c>
      <c r="AW29" t="str" cm="1">
        <f t="array" ref="AW29">_xlfn.TEXTJOIN(",",TRUE,(_xlfn._xlws.FILTER($A$2:$A$501,($D$2:$D$501&gt;=AX$7)*($D$2:$D$501&lt;AW$7)*($E$2:$E$501&gt;=$H30)*($E$2:$E$501&lt;$H29)," ")))</f>
        <v xml:space="preserve"> </v>
      </c>
      <c r="AX29" t="str" cm="1">
        <f t="array" ref="AX29">_xlfn.TEXTJOIN(",",TRUE,(_xlfn._xlws.FILTER($A$2:$A$501,($D$2:$D$501&gt;=AY$7)*($D$2:$D$501&lt;AX$7)*($E$2:$E$501&gt;=$H30)*($E$2:$E$501&lt;$H29)," ")))</f>
        <v xml:space="preserve"> </v>
      </c>
      <c r="AY29" t="str" cm="1">
        <f t="array" ref="AY29">_xlfn.TEXTJOIN(",",TRUE,(_xlfn._xlws.FILTER($A$2:$A$501,($D$2:$D$501&gt;=AZ$7)*($D$2:$D$501&lt;AY$7)*($E$2:$E$501&gt;=$H30)*($E$2:$E$501&lt;$H29)," ")))</f>
        <v xml:space="preserve"> </v>
      </c>
      <c r="AZ29" t="str" cm="1">
        <f t="array" ref="AZ29">_xlfn.TEXTJOIN(",",TRUE,(_xlfn._xlws.FILTER($A$2:$A$501,($D$2:$D$501&gt;=BA$7)*($D$2:$D$501&lt;AZ$7)*($E$2:$E$501&gt;=$H30)*($E$2:$E$501&lt;$H29)," ")))</f>
        <v xml:space="preserve"> </v>
      </c>
      <c r="BA29" t="str" cm="1">
        <f t="array" ref="BA29">_xlfn.TEXTJOIN(",",TRUE,(_xlfn._xlws.FILTER($A$2:$A$501,($D$2:$D$501&gt;=BB$7)*($D$2:$D$501&lt;BA$7)*($E$2:$E$501&gt;=$H30)*($E$2:$E$501&lt;$H29)," ")))</f>
        <v xml:space="preserve"> </v>
      </c>
      <c r="BB29" t="str" cm="1">
        <f t="array" ref="BB29">_xlfn.TEXTJOIN(",",TRUE,(_xlfn._xlws.FILTER($A$2:$A$501,($D$2:$D$501&gt;=BC$7)*($D$2:$D$501&lt;BB$7)*($E$2:$E$501&gt;=$H30)*($E$2:$E$501&lt;$H29)," ")))</f>
        <v xml:space="preserve"> </v>
      </c>
    </row>
    <row r="30" spans="1:54" x14ac:dyDescent="0.2">
      <c r="A30" s="3" t="s">
        <v>275</v>
      </c>
      <c r="B30" s="3" t="s">
        <v>276</v>
      </c>
      <c r="C30" s="13">
        <v>1057581.31</v>
      </c>
      <c r="D30" s="15">
        <v>18173640.93</v>
      </c>
      <c r="E30" s="22">
        <f>TuitionRates3[[#This Row],[Tuition]]/D30</f>
        <v>5.819314434974919E-2</v>
      </c>
      <c r="F30"/>
      <c r="H30" s="18">
        <v>0.128</v>
      </c>
      <c r="I30" t="str" cm="1">
        <f t="array" ref="I30">_xlfn.TEXTJOIN(",",TRUE,(_xlfn._xlws.FILTER($A$2:$A$501,($D$2:$D$501&gt;=J$7)*($D$2:$D$501&lt;I$7)*($E$2:$E$501&gt;=$H31)*($E$2:$E$501&lt;$H30)," ")))</f>
        <v xml:space="preserve"> </v>
      </c>
      <c r="J30" t="str" cm="1">
        <f t="array" ref="J30">_xlfn.TEXTJOIN(",",TRUE,(_xlfn._xlws.FILTER($A$2:$A$501,($D$2:$D$501&gt;=K$7)*($D$2:$D$501&lt;J$7)*($E$2:$E$501&gt;=$H31)*($E$2:$E$501&lt;$H30)," ")))</f>
        <v xml:space="preserve"> </v>
      </c>
      <c r="K30" t="str" cm="1">
        <f t="array" ref="K30">_xlfn.TEXTJOIN(",",TRUE,(_xlfn._xlws.FILTER($A$2:$A$501,($D$2:$D$501&gt;=L$7)*($D$2:$D$501&lt;K$7)*($E$2:$E$501&gt;=$H31)*($E$2:$E$501&lt;$H30)," ")))</f>
        <v xml:space="preserve"> </v>
      </c>
      <c r="L30" t="str" cm="1">
        <f t="array" ref="L30">_xlfn.TEXTJOIN(",",TRUE,(_xlfn._xlws.FILTER($A$2:$A$501,($D$2:$D$501&gt;=M$7)*($D$2:$D$501&lt;L$7)*($E$2:$E$501&gt;=$H31)*($E$2:$E$501&lt;$H30)," ")))</f>
        <v xml:space="preserve"> </v>
      </c>
      <c r="M30" t="str" cm="1">
        <f t="array" ref="M30">_xlfn.TEXTJOIN(",",TRUE,(_xlfn._xlws.FILTER($A$2:$A$501,($D$2:$D$501&gt;=N$7)*($D$2:$D$501&lt;M$7)*($E$2:$E$501&gt;=$H31)*($E$2:$E$501&lt;$H30)," ")))</f>
        <v xml:space="preserve"> </v>
      </c>
      <c r="N30" t="str" cm="1">
        <f t="array" ref="N30">_xlfn.TEXTJOIN(",",TRUE,(_xlfn._xlws.FILTER($A$2:$A$501,($D$2:$D$501&gt;=O$7)*($D$2:$D$501&lt;N$7)*($E$2:$E$501&gt;=$H31)*($E$2:$E$501&lt;$H30)," ")))</f>
        <v xml:space="preserve"> </v>
      </c>
      <c r="O30" t="str" cm="1">
        <f t="array" ref="O30">_xlfn.TEXTJOIN(",",TRUE,(_xlfn._xlws.FILTER($A$2:$A$501,($D$2:$D$501&gt;=P$7)*($D$2:$D$501&lt;O$7)*($E$2:$E$501&gt;=$H31)*($E$2:$E$501&lt;$H30)," ")))</f>
        <v xml:space="preserve"> </v>
      </c>
      <c r="P30" t="str" cm="1">
        <f t="array" ref="P30">_xlfn.TEXTJOIN(",",TRUE,(_xlfn._xlws.FILTER($A$2:$A$501,($D$2:$D$501&gt;=Q$7)*($D$2:$D$501&lt;P$7)*($E$2:$E$501&gt;=$H31)*($E$2:$E$501&lt;$H30)," ")))</f>
        <v xml:space="preserve"> </v>
      </c>
      <c r="Q30" t="str" cm="1">
        <f t="array" ref="Q30">_xlfn.TEXTJOIN(",",TRUE,(_xlfn._xlws.FILTER($A$2:$A$501,($D$2:$D$501&gt;=R$7)*($D$2:$D$501&lt;Q$7)*($E$2:$E$501&gt;=$H31)*($E$2:$E$501&lt;$H30)," ")))</f>
        <v xml:space="preserve"> </v>
      </c>
      <c r="R30" t="str" cm="1">
        <f t="array" ref="R30">_xlfn.TEXTJOIN(",",TRUE,(_xlfn._xlws.FILTER($A$2:$A$501,($D$2:$D$501&gt;=S$7)*($D$2:$D$501&lt;R$7)*($E$2:$E$501&gt;=$H31)*($E$2:$E$501&lt;$H30)," ")))</f>
        <v xml:space="preserve"> </v>
      </c>
      <c r="S30" t="str" cm="1">
        <f t="array" ref="S30">_xlfn.TEXTJOIN(",",TRUE,(_xlfn._xlws.FILTER($A$2:$A$501,($D$2:$D$501&gt;=T$7)*($D$2:$D$501&lt;S$7)*($E$2:$E$501&gt;=$H31)*($E$2:$E$501&lt;$H30)," ")))</f>
        <v xml:space="preserve"> </v>
      </c>
      <c r="T30" t="str" cm="1">
        <f t="array" ref="T30">_xlfn.TEXTJOIN(",",TRUE,(_xlfn._xlws.FILTER($A$2:$A$501,($D$2:$D$501&gt;=U$7)*($D$2:$D$501&lt;T$7)*($E$2:$E$501&gt;=$H31)*($E$2:$E$501&lt;$H30)," ")))</f>
        <v xml:space="preserve"> </v>
      </c>
      <c r="U30" t="str" cm="1">
        <f t="array" ref="U30">_xlfn.TEXTJOIN(",",TRUE,(_xlfn._xlws.FILTER($A$2:$A$501,($D$2:$D$501&gt;=V$7)*($D$2:$D$501&lt;U$7)*($E$2:$E$501&gt;=$H31)*($E$2:$E$501&lt;$H30)," ")))</f>
        <v xml:space="preserve"> </v>
      </c>
      <c r="V30" t="str" cm="1">
        <f t="array" ref="V30">_xlfn.TEXTJOIN(",",TRUE,(_xlfn._xlws.FILTER($A$2:$A$501,($D$2:$D$501&gt;=W$7)*($D$2:$D$501&lt;V$7)*($E$2:$E$501&gt;=$H31)*($E$2:$E$501&lt;$H30)," ")))</f>
        <v xml:space="preserve"> </v>
      </c>
      <c r="W30" t="str" cm="1">
        <f t="array" ref="W30">_xlfn.TEXTJOIN(",",TRUE,(_xlfn._xlws.FILTER($A$2:$A$501,($D$2:$D$501&gt;=X$7)*($D$2:$D$501&lt;W$7)*($E$2:$E$501&gt;=$H31)*($E$2:$E$501&lt;$H30)," ")))</f>
        <v xml:space="preserve"> </v>
      </c>
      <c r="X30" t="str" cm="1">
        <f t="array" ref="X30">_xlfn.TEXTJOIN(",",TRUE,(_xlfn._xlws.FILTER($A$2:$A$501,($D$2:$D$501&gt;=Y$7)*($D$2:$D$501&lt;X$7)*($E$2:$E$501&gt;=$H31)*($E$2:$E$501&lt;$H30)," ")))</f>
        <v xml:space="preserve"> </v>
      </c>
      <c r="Y30" t="str" cm="1">
        <f t="array" ref="Y30">_xlfn.TEXTJOIN(",",TRUE,(_xlfn._xlws.FILTER($A$2:$A$501,($D$2:$D$501&gt;=Z$7)*($D$2:$D$501&lt;Y$7)*($E$2:$E$501&gt;=$H31)*($E$2:$E$501&lt;$H30)," ")))</f>
        <v xml:space="preserve"> </v>
      </c>
      <c r="Z30" t="str" cm="1">
        <f t="array" ref="Z30">_xlfn.TEXTJOIN(",",TRUE,(_xlfn._xlws.FILTER($A$2:$A$501,($D$2:$D$501&gt;=AA$7)*($D$2:$D$501&lt;Z$7)*($E$2:$E$501&gt;=$H31)*($E$2:$E$501&lt;$H30)," ")))</f>
        <v xml:space="preserve"> </v>
      </c>
      <c r="AA30" t="str" cm="1">
        <f t="array" ref="AA30">_xlfn.TEXTJOIN(",",TRUE,(_xlfn._xlws.FILTER($A$2:$A$501,($D$2:$D$501&gt;=AB$7)*($D$2:$D$501&lt;AA$7)*($E$2:$E$501&gt;=$H31)*($E$2:$E$501&lt;$H30)," ")))</f>
        <v xml:space="preserve"> </v>
      </c>
      <c r="AB30" t="str" cm="1">
        <f t="array" ref="AB30">_xlfn.TEXTJOIN(",",TRUE,(_xlfn._xlws.FILTER($A$2:$A$501,($D$2:$D$501&gt;=AC$7)*($D$2:$D$501&lt;AB$7)*($E$2:$E$501&gt;=$H31)*($E$2:$E$501&lt;$H30)," ")))</f>
        <v xml:space="preserve"> </v>
      </c>
      <c r="AC30" t="str" cm="1">
        <f t="array" ref="AC30">_xlfn.TEXTJOIN(",",TRUE,(_xlfn._xlws.FILTER($A$2:$A$501,($D$2:$D$501&gt;=AD$7)*($D$2:$D$501&lt;AC$7)*($E$2:$E$501&gt;=$H31)*($E$2:$E$501&lt;$H30)," ")))</f>
        <v xml:space="preserve"> </v>
      </c>
      <c r="AD30" t="str" cm="1">
        <f t="array" ref="AD30">_xlfn.TEXTJOIN(",",TRUE,(_xlfn._xlws.FILTER($A$2:$A$501,($D$2:$D$501&gt;=AE$7)*($D$2:$D$501&lt;AD$7)*($E$2:$E$501&gt;=$H31)*($E$2:$E$501&lt;$H30)," ")))</f>
        <v xml:space="preserve"> </v>
      </c>
      <c r="AE30" t="str" cm="1">
        <f t="array" ref="AE30">_xlfn.TEXTJOIN(",",TRUE,(_xlfn._xlws.FILTER($A$2:$A$501,($D$2:$D$501&gt;=AF$7)*($D$2:$D$501&lt;AE$7)*($E$2:$E$501&gt;=$H31)*($E$2:$E$501&lt;$H30)," ")))</f>
        <v xml:space="preserve"> </v>
      </c>
      <c r="AF30" t="str" cm="1">
        <f t="array" ref="AF30">_xlfn.TEXTJOIN(",",TRUE,(_xlfn._xlws.FILTER($A$2:$A$501,($D$2:$D$501&gt;=AG$7)*($D$2:$D$501&lt;AF$7)*($E$2:$E$501&gt;=$H31)*($E$2:$E$501&lt;$H30)," ")))</f>
        <v xml:space="preserve"> </v>
      </c>
      <c r="AG30" t="str" cm="1">
        <f t="array" ref="AG30">_xlfn.TEXTJOIN(",",TRUE,(_xlfn._xlws.FILTER($A$2:$A$501,($D$2:$D$501&gt;=AH$7)*($D$2:$D$501&lt;AG$7)*($E$2:$E$501&gt;=$H31)*($E$2:$E$501&lt;$H30)," ")))</f>
        <v xml:space="preserve"> </v>
      </c>
      <c r="AH30" t="str" cm="1">
        <f t="array" ref="AH30">_xlfn.TEXTJOIN(",",TRUE,(_xlfn._xlws.FILTER($A$2:$A$501,($D$2:$D$501&gt;=AI$7)*($D$2:$D$501&lt;AH$7)*($E$2:$E$501&gt;=$H31)*($E$2:$E$501&lt;$H30)," ")))</f>
        <v xml:space="preserve"> </v>
      </c>
      <c r="AI30" t="str" cm="1">
        <f t="array" ref="AI30">_xlfn.TEXTJOIN(",",TRUE,(_xlfn._xlws.FILTER($A$2:$A$501,($D$2:$D$501&gt;=AJ$7)*($D$2:$D$501&lt;AI$7)*($E$2:$E$501&gt;=$H31)*($E$2:$E$501&lt;$H30)," ")))</f>
        <v xml:space="preserve"> </v>
      </c>
      <c r="AJ30" t="str" cm="1">
        <f t="array" ref="AJ30">_xlfn.TEXTJOIN(",",TRUE,(_xlfn._xlws.FILTER($A$2:$A$501,($D$2:$D$501&gt;=AK$7)*($D$2:$D$501&lt;AJ$7)*($E$2:$E$501&gt;=$H31)*($E$2:$E$501&lt;$H30)," ")))</f>
        <v xml:space="preserve"> </v>
      </c>
      <c r="AK30" t="str" cm="1">
        <f t="array" ref="AK30">_xlfn.TEXTJOIN(",",TRUE,(_xlfn._xlws.FILTER($A$2:$A$501,($D$2:$D$501&gt;=AL$7)*($D$2:$D$501&lt;AK$7)*($E$2:$E$501&gt;=$H31)*($E$2:$E$501&lt;$H30)," ")))</f>
        <v xml:space="preserve"> </v>
      </c>
      <c r="AL30" t="str" cm="1">
        <f t="array" ref="AL30">_xlfn.TEXTJOIN(",",TRUE,(_xlfn._xlws.FILTER($A$2:$A$501,($D$2:$D$501&gt;=AM$7)*($D$2:$D$501&lt;AL$7)*($E$2:$E$501&gt;=$H31)*($E$2:$E$501&lt;$H30)," ")))</f>
        <v xml:space="preserve"> </v>
      </c>
      <c r="AM30" t="str" cm="1">
        <f t="array" ref="AM30">_xlfn.TEXTJOIN(",",TRUE,(_xlfn._xlws.FILTER($A$2:$A$501,($D$2:$D$501&gt;=AN$7)*($D$2:$D$501&lt;AM$7)*($E$2:$E$501&gt;=$H31)*($E$2:$E$501&lt;$H30)," ")))</f>
        <v xml:space="preserve"> </v>
      </c>
      <c r="AN30" t="str" cm="1">
        <f t="array" ref="AN30">_xlfn.TEXTJOIN(",",TRUE,(_xlfn._xlws.FILTER($A$2:$A$501,($D$2:$D$501&gt;=AO$7)*($D$2:$D$501&lt;AN$7)*($E$2:$E$501&gt;=$H31)*($E$2:$E$501&lt;$H30)," ")))</f>
        <v xml:space="preserve"> </v>
      </c>
      <c r="AO30" t="str" cm="1">
        <f t="array" ref="AO30">_xlfn.TEXTJOIN(",",TRUE,(_xlfn._xlws.FILTER($A$2:$A$501,($D$2:$D$501&gt;=AP$7)*($D$2:$D$501&lt;AO$7)*($E$2:$E$501&gt;=$H31)*($E$2:$E$501&lt;$H30)," ")))</f>
        <v xml:space="preserve"> </v>
      </c>
      <c r="AP30" t="str" cm="1">
        <f t="array" ref="AP30">_xlfn.TEXTJOIN(",",TRUE,(_xlfn._xlws.FILTER($A$2:$A$501,($D$2:$D$501&gt;=AQ$7)*($D$2:$D$501&lt;AP$7)*($E$2:$E$501&gt;=$H31)*($E$2:$E$501&lt;$H30)," ")))</f>
        <v xml:space="preserve"> </v>
      </c>
      <c r="AQ30" t="str" cm="1">
        <f t="array" ref="AQ30">_xlfn.TEXTJOIN(",",TRUE,(_xlfn._xlws.FILTER($A$2:$A$501,($D$2:$D$501&gt;=AR$7)*($D$2:$D$501&lt;AQ$7)*($E$2:$E$501&gt;=$H31)*($E$2:$E$501&lt;$H30)," ")))</f>
        <v xml:space="preserve"> </v>
      </c>
      <c r="AR30" t="str" cm="1">
        <f t="array" ref="AR30">_xlfn.TEXTJOIN(",",TRUE,(_xlfn._xlws.FILTER($A$2:$A$501,($D$2:$D$501&gt;=AS$7)*($D$2:$D$501&lt;AR$7)*($E$2:$E$501&gt;=$H31)*($E$2:$E$501&lt;$H30)," ")))</f>
        <v xml:space="preserve"> </v>
      </c>
      <c r="AS30" t="str" cm="1">
        <f t="array" ref="AS30">_xlfn.TEXTJOIN(",",TRUE,(_xlfn._xlws.FILTER($A$2:$A$501,($D$2:$D$501&gt;=AT$7)*($D$2:$D$501&lt;AS$7)*($E$2:$E$501&gt;=$H31)*($E$2:$E$501&lt;$H30)," ")))</f>
        <v xml:space="preserve"> </v>
      </c>
      <c r="AT30" t="str" cm="1">
        <f t="array" ref="AT30">_xlfn.TEXTJOIN(",",TRUE,(_xlfn._xlws.FILTER($A$2:$A$501,($D$2:$D$501&gt;=AU$7)*($D$2:$D$501&lt;AT$7)*($E$2:$E$501&gt;=$H31)*($E$2:$E$501&lt;$H30)," ")))</f>
        <v xml:space="preserve"> </v>
      </c>
      <c r="AU30" t="str" cm="1">
        <f t="array" ref="AU30">_xlfn.TEXTJOIN(",",TRUE,(_xlfn._xlws.FILTER($A$2:$A$501,($D$2:$D$501&gt;=AV$7)*($D$2:$D$501&lt;AU$7)*($E$2:$E$501&gt;=$H31)*($E$2:$E$501&lt;$H30)," ")))</f>
        <v xml:space="preserve"> </v>
      </c>
      <c r="AV30" t="str" cm="1">
        <f t="array" ref="AV30">_xlfn.TEXTJOIN(",",TRUE,(_xlfn._xlws.FILTER($A$2:$A$501,($D$2:$D$501&gt;=AW$7)*($D$2:$D$501&lt;AV$7)*($E$2:$E$501&gt;=$H31)*($E$2:$E$501&lt;$H30)," ")))</f>
        <v xml:space="preserve"> </v>
      </c>
      <c r="AW30" t="str" cm="1">
        <f t="array" ref="AW30">_xlfn.TEXTJOIN(",",TRUE,(_xlfn._xlws.FILTER($A$2:$A$501,($D$2:$D$501&gt;=AX$7)*($D$2:$D$501&lt;AW$7)*($E$2:$E$501&gt;=$H31)*($E$2:$E$501&lt;$H30)," ")))</f>
        <v xml:space="preserve"> </v>
      </c>
      <c r="AX30" t="str" cm="1">
        <f t="array" ref="AX30">_xlfn.TEXTJOIN(",",TRUE,(_xlfn._xlws.FILTER($A$2:$A$501,($D$2:$D$501&gt;=AY$7)*($D$2:$D$501&lt;AX$7)*($E$2:$E$501&gt;=$H31)*($E$2:$E$501&lt;$H30)," ")))</f>
        <v xml:space="preserve"> </v>
      </c>
      <c r="AY30" t="str" cm="1">
        <f t="array" ref="AY30">_xlfn.TEXTJOIN(",",TRUE,(_xlfn._xlws.FILTER($A$2:$A$501,($D$2:$D$501&gt;=AZ$7)*($D$2:$D$501&lt;AY$7)*($E$2:$E$501&gt;=$H31)*($E$2:$E$501&lt;$H30)," ")))</f>
        <v xml:space="preserve"> </v>
      </c>
      <c r="AZ30" t="str" cm="1">
        <f t="array" ref="AZ30">_xlfn.TEXTJOIN(",",TRUE,(_xlfn._xlws.FILTER($A$2:$A$501,($D$2:$D$501&gt;=BA$7)*($D$2:$D$501&lt;AZ$7)*($E$2:$E$501&gt;=$H31)*($E$2:$E$501&lt;$H30)," ")))</f>
        <v xml:space="preserve"> </v>
      </c>
      <c r="BA30" t="str" cm="1">
        <f t="array" ref="BA30">_xlfn.TEXTJOIN(",",TRUE,(_xlfn._xlws.FILTER($A$2:$A$501,($D$2:$D$501&gt;=BB$7)*($D$2:$D$501&lt;BA$7)*($E$2:$E$501&gt;=$H31)*($E$2:$E$501&lt;$H30)," ")))</f>
        <v xml:space="preserve"> </v>
      </c>
      <c r="BB30" t="str" cm="1">
        <f t="array" ref="BB30">_xlfn.TEXTJOIN(",",TRUE,(_xlfn._xlws.FILTER($A$2:$A$501,($D$2:$D$501&gt;=BC$7)*($D$2:$D$501&lt;BB$7)*($E$2:$E$501&gt;=$H31)*($E$2:$E$501&lt;$H30)," ")))</f>
        <v xml:space="preserve"> </v>
      </c>
    </row>
    <row r="31" spans="1:54" x14ac:dyDescent="0.2">
      <c r="A31" s="3" t="s">
        <v>362</v>
      </c>
      <c r="B31" s="3" t="s">
        <v>359</v>
      </c>
      <c r="C31" s="13">
        <v>2217452.92</v>
      </c>
      <c r="D31" s="15">
        <v>38154621.32</v>
      </c>
      <c r="E31" s="22">
        <f>TuitionRates3[[#This Row],[Tuition]]/D31</f>
        <v>5.811754496008191E-2</v>
      </c>
      <c r="F31"/>
      <c r="H31" s="18">
        <v>0.127</v>
      </c>
      <c r="I31" t="str" cm="1">
        <f t="array" ref="I31">_xlfn.TEXTJOIN(",",TRUE,(_xlfn._xlws.FILTER($A$2:$A$501,($D$2:$D$501&gt;=J$7)*($D$2:$D$501&lt;I$7)*($E$2:$E$501&gt;=$H32)*($E$2:$E$501&lt;$H31)," ")))</f>
        <v xml:space="preserve"> </v>
      </c>
      <c r="J31" t="str" cm="1">
        <f t="array" ref="J31">_xlfn.TEXTJOIN(",",TRUE,(_xlfn._xlws.FILTER($A$2:$A$501,($D$2:$D$501&gt;=K$7)*($D$2:$D$501&lt;J$7)*($E$2:$E$501&gt;=$H32)*($E$2:$E$501&lt;$H31)," ")))</f>
        <v xml:space="preserve"> </v>
      </c>
      <c r="K31" t="str" cm="1">
        <f t="array" ref="K31">_xlfn.TEXTJOIN(",",TRUE,(_xlfn._xlws.FILTER($A$2:$A$501,($D$2:$D$501&gt;=L$7)*($D$2:$D$501&lt;K$7)*($E$2:$E$501&gt;=$H32)*($E$2:$E$501&lt;$H31)," ")))</f>
        <v xml:space="preserve"> </v>
      </c>
      <c r="L31" t="str" cm="1">
        <f t="array" ref="L31">_xlfn.TEXTJOIN(",",TRUE,(_xlfn._xlws.FILTER($A$2:$A$501,($D$2:$D$501&gt;=M$7)*($D$2:$D$501&lt;L$7)*($E$2:$E$501&gt;=$H32)*($E$2:$E$501&lt;$H31)," ")))</f>
        <v xml:space="preserve"> </v>
      </c>
      <c r="M31" t="str" cm="1">
        <f t="array" ref="M31">_xlfn.TEXTJOIN(",",TRUE,(_xlfn._xlws.FILTER($A$2:$A$501,($D$2:$D$501&gt;=N$7)*($D$2:$D$501&lt;M$7)*($E$2:$E$501&gt;=$H32)*($E$2:$E$501&lt;$H31)," ")))</f>
        <v xml:space="preserve"> </v>
      </c>
      <c r="N31" t="str" cm="1">
        <f t="array" ref="N31">_xlfn.TEXTJOIN(",",TRUE,(_xlfn._xlws.FILTER($A$2:$A$501,($D$2:$D$501&gt;=O$7)*($D$2:$D$501&lt;N$7)*($E$2:$E$501&gt;=$H32)*($E$2:$E$501&lt;$H31)," ")))</f>
        <v xml:space="preserve"> </v>
      </c>
      <c r="O31" t="str" cm="1">
        <f t="array" ref="O31">_xlfn.TEXTJOIN(",",TRUE,(_xlfn._xlws.FILTER($A$2:$A$501,($D$2:$D$501&gt;=P$7)*($D$2:$D$501&lt;O$7)*($E$2:$E$501&gt;=$H32)*($E$2:$E$501&lt;$H31)," ")))</f>
        <v xml:space="preserve"> </v>
      </c>
      <c r="P31" t="str" cm="1">
        <f t="array" ref="P31">_xlfn.TEXTJOIN(",",TRUE,(_xlfn._xlws.FILTER($A$2:$A$501,($D$2:$D$501&gt;=Q$7)*($D$2:$D$501&lt;P$7)*($E$2:$E$501&gt;=$H32)*($E$2:$E$501&lt;$H31)," ")))</f>
        <v xml:space="preserve"> </v>
      </c>
      <c r="Q31" t="str" cm="1">
        <f t="array" ref="Q31">_xlfn.TEXTJOIN(",",TRUE,(_xlfn._xlws.FILTER($A$2:$A$501,($D$2:$D$501&gt;=R$7)*($D$2:$D$501&lt;Q$7)*($E$2:$E$501&gt;=$H32)*($E$2:$E$501&lt;$H31)," ")))</f>
        <v xml:space="preserve"> </v>
      </c>
      <c r="R31" t="str" cm="1">
        <f t="array" ref="R31">_xlfn.TEXTJOIN(",",TRUE,(_xlfn._xlws.FILTER($A$2:$A$501,($D$2:$D$501&gt;=S$7)*($D$2:$D$501&lt;R$7)*($E$2:$E$501&gt;=$H32)*($E$2:$E$501&lt;$H31)," ")))</f>
        <v xml:space="preserve"> </v>
      </c>
      <c r="S31" t="str" cm="1">
        <f t="array" ref="S31">_xlfn.TEXTJOIN(",",TRUE,(_xlfn._xlws.FILTER($A$2:$A$501,($D$2:$D$501&gt;=T$7)*($D$2:$D$501&lt;S$7)*($E$2:$E$501&gt;=$H32)*($E$2:$E$501&lt;$H31)," ")))</f>
        <v xml:space="preserve"> </v>
      </c>
      <c r="T31" t="str" cm="1">
        <f t="array" ref="T31">_xlfn.TEXTJOIN(",",TRUE,(_xlfn._xlws.FILTER($A$2:$A$501,($D$2:$D$501&gt;=U$7)*($D$2:$D$501&lt;T$7)*($E$2:$E$501&gt;=$H32)*($E$2:$E$501&lt;$H31)," ")))</f>
        <v xml:space="preserve"> </v>
      </c>
      <c r="U31" t="str" cm="1">
        <f t="array" ref="U31">_xlfn.TEXTJOIN(",",TRUE,(_xlfn._xlws.FILTER($A$2:$A$501,($D$2:$D$501&gt;=V$7)*($D$2:$D$501&lt;U$7)*($E$2:$E$501&gt;=$H32)*($E$2:$E$501&lt;$H31)," ")))</f>
        <v xml:space="preserve"> </v>
      </c>
      <c r="V31" t="str" cm="1">
        <f t="array" ref="V31">_xlfn.TEXTJOIN(",",TRUE,(_xlfn._xlws.FILTER($A$2:$A$501,($D$2:$D$501&gt;=W$7)*($D$2:$D$501&lt;V$7)*($E$2:$E$501&gt;=$H32)*($E$2:$E$501&lt;$H31)," ")))</f>
        <v xml:space="preserve"> </v>
      </c>
      <c r="W31" t="str" cm="1">
        <f t="array" ref="W31">_xlfn.TEXTJOIN(",",TRUE,(_xlfn._xlws.FILTER($A$2:$A$501,($D$2:$D$501&gt;=X$7)*($D$2:$D$501&lt;W$7)*($E$2:$E$501&gt;=$H32)*($E$2:$E$501&lt;$H31)," ")))</f>
        <v xml:space="preserve"> </v>
      </c>
      <c r="X31" t="str" cm="1">
        <f t="array" ref="X31">_xlfn.TEXTJOIN(",",TRUE,(_xlfn._xlws.FILTER($A$2:$A$501,($D$2:$D$501&gt;=Y$7)*($D$2:$D$501&lt;X$7)*($E$2:$E$501&gt;=$H32)*($E$2:$E$501&lt;$H31)," ")))</f>
        <v xml:space="preserve"> </v>
      </c>
      <c r="Y31" t="str" cm="1">
        <f t="array" ref="Y31">_xlfn.TEXTJOIN(",",TRUE,(_xlfn._xlws.FILTER($A$2:$A$501,($D$2:$D$501&gt;=Z$7)*($D$2:$D$501&lt;Y$7)*($E$2:$E$501&gt;=$H32)*($E$2:$E$501&lt;$H31)," ")))</f>
        <v xml:space="preserve"> </v>
      </c>
      <c r="Z31" t="str" cm="1">
        <f t="array" ref="Z31">_xlfn.TEXTJOIN(",",TRUE,(_xlfn._xlws.FILTER($A$2:$A$501,($D$2:$D$501&gt;=AA$7)*($D$2:$D$501&lt;Z$7)*($E$2:$E$501&gt;=$H32)*($E$2:$E$501&lt;$H31)," ")))</f>
        <v xml:space="preserve"> </v>
      </c>
      <c r="AA31" t="str" cm="1">
        <f t="array" ref="AA31">_xlfn.TEXTJOIN(",",TRUE,(_xlfn._xlws.FILTER($A$2:$A$501,($D$2:$D$501&gt;=AB$7)*($D$2:$D$501&lt;AA$7)*($E$2:$E$501&gt;=$H32)*($E$2:$E$501&lt;$H31)," ")))</f>
        <v xml:space="preserve"> </v>
      </c>
      <c r="AB31" t="str" cm="1">
        <f t="array" ref="AB31">_xlfn.TEXTJOIN(",",TRUE,(_xlfn._xlws.FILTER($A$2:$A$501,($D$2:$D$501&gt;=AC$7)*($D$2:$D$501&lt;AB$7)*($E$2:$E$501&gt;=$H32)*($E$2:$E$501&lt;$H31)," ")))</f>
        <v xml:space="preserve"> </v>
      </c>
      <c r="AC31" t="str" cm="1">
        <f t="array" ref="AC31">_xlfn.TEXTJOIN(",",TRUE,(_xlfn._xlws.FILTER($A$2:$A$501,($D$2:$D$501&gt;=AD$7)*($D$2:$D$501&lt;AC$7)*($E$2:$E$501&gt;=$H32)*($E$2:$E$501&lt;$H31)," ")))</f>
        <v xml:space="preserve"> </v>
      </c>
      <c r="AD31" t="str" cm="1">
        <f t="array" ref="AD31">_xlfn.TEXTJOIN(",",TRUE,(_xlfn._xlws.FILTER($A$2:$A$501,($D$2:$D$501&gt;=AE$7)*($D$2:$D$501&lt;AD$7)*($E$2:$E$501&gt;=$H32)*($E$2:$E$501&lt;$H31)," ")))</f>
        <v xml:space="preserve"> </v>
      </c>
      <c r="AE31" t="str" cm="1">
        <f t="array" ref="AE31">_xlfn.TEXTJOIN(",",TRUE,(_xlfn._xlws.FILTER($A$2:$A$501,($D$2:$D$501&gt;=AF$7)*($D$2:$D$501&lt;AE$7)*($E$2:$E$501&gt;=$H32)*($E$2:$E$501&lt;$H31)," ")))</f>
        <v xml:space="preserve"> </v>
      </c>
      <c r="AF31" t="str" cm="1">
        <f t="array" ref="AF31">_xlfn.TEXTJOIN(",",TRUE,(_xlfn._xlws.FILTER($A$2:$A$501,($D$2:$D$501&gt;=AG$7)*($D$2:$D$501&lt;AF$7)*($E$2:$E$501&gt;=$H32)*($E$2:$E$501&lt;$H31)," ")))</f>
        <v xml:space="preserve"> </v>
      </c>
      <c r="AG31" t="str" cm="1">
        <f t="array" ref="AG31">_xlfn.TEXTJOIN(",",TRUE,(_xlfn._xlws.FILTER($A$2:$A$501,($D$2:$D$501&gt;=AH$7)*($D$2:$D$501&lt;AG$7)*($E$2:$E$501&gt;=$H32)*($E$2:$E$501&lt;$H31)," ")))</f>
        <v xml:space="preserve"> </v>
      </c>
      <c r="AH31" t="str" cm="1">
        <f t="array" ref="AH31">_xlfn.TEXTJOIN(",",TRUE,(_xlfn._xlws.FILTER($A$2:$A$501,($D$2:$D$501&gt;=AI$7)*($D$2:$D$501&lt;AH$7)*($E$2:$E$501&gt;=$H32)*($E$2:$E$501&lt;$H31)," ")))</f>
        <v xml:space="preserve"> </v>
      </c>
      <c r="AI31" t="str" cm="1">
        <f t="array" ref="AI31">_xlfn.TEXTJOIN(",",TRUE,(_xlfn._xlws.FILTER($A$2:$A$501,($D$2:$D$501&gt;=AJ$7)*($D$2:$D$501&lt;AI$7)*($E$2:$E$501&gt;=$H32)*($E$2:$E$501&lt;$H31)," ")))</f>
        <v xml:space="preserve"> </v>
      </c>
      <c r="AJ31" t="str" cm="1">
        <f t="array" ref="AJ31">_xlfn.TEXTJOIN(",",TRUE,(_xlfn._xlws.FILTER($A$2:$A$501,($D$2:$D$501&gt;=AK$7)*($D$2:$D$501&lt;AJ$7)*($E$2:$E$501&gt;=$H32)*($E$2:$E$501&lt;$H31)," ")))</f>
        <v xml:space="preserve"> </v>
      </c>
      <c r="AK31" t="str" cm="1">
        <f t="array" ref="AK31">_xlfn.TEXTJOIN(",",TRUE,(_xlfn._xlws.FILTER($A$2:$A$501,($D$2:$D$501&gt;=AL$7)*($D$2:$D$501&lt;AK$7)*($E$2:$E$501&gt;=$H32)*($E$2:$E$501&lt;$H31)," ")))</f>
        <v xml:space="preserve"> </v>
      </c>
      <c r="AL31" t="str" cm="1">
        <f t="array" ref="AL31">_xlfn.TEXTJOIN(",",TRUE,(_xlfn._xlws.FILTER($A$2:$A$501,($D$2:$D$501&gt;=AM$7)*($D$2:$D$501&lt;AL$7)*($E$2:$E$501&gt;=$H32)*($E$2:$E$501&lt;$H31)," ")))</f>
        <v xml:space="preserve"> </v>
      </c>
      <c r="AM31" t="str" cm="1">
        <f t="array" ref="AM31">_xlfn.TEXTJOIN(",",TRUE,(_xlfn._xlws.FILTER($A$2:$A$501,($D$2:$D$501&gt;=AN$7)*($D$2:$D$501&lt;AM$7)*($E$2:$E$501&gt;=$H32)*($E$2:$E$501&lt;$H31)," ")))</f>
        <v xml:space="preserve"> </v>
      </c>
      <c r="AN31" t="str" cm="1">
        <f t="array" ref="AN31">_xlfn.TEXTJOIN(",",TRUE,(_xlfn._xlws.FILTER($A$2:$A$501,($D$2:$D$501&gt;=AO$7)*($D$2:$D$501&lt;AN$7)*($E$2:$E$501&gt;=$H32)*($E$2:$E$501&lt;$H31)," ")))</f>
        <v xml:space="preserve"> </v>
      </c>
      <c r="AO31" t="str" cm="1">
        <f t="array" ref="AO31">_xlfn.TEXTJOIN(",",TRUE,(_xlfn._xlws.FILTER($A$2:$A$501,($D$2:$D$501&gt;=AP$7)*($D$2:$D$501&lt;AO$7)*($E$2:$E$501&gt;=$H32)*($E$2:$E$501&lt;$H31)," ")))</f>
        <v xml:space="preserve"> </v>
      </c>
      <c r="AP31" t="str" cm="1">
        <f t="array" ref="AP31">_xlfn.TEXTJOIN(",",TRUE,(_xlfn._xlws.FILTER($A$2:$A$501,($D$2:$D$501&gt;=AQ$7)*($D$2:$D$501&lt;AP$7)*($E$2:$E$501&gt;=$H32)*($E$2:$E$501&lt;$H31)," ")))</f>
        <v xml:space="preserve"> </v>
      </c>
      <c r="AQ31" t="str" cm="1">
        <f t="array" ref="AQ31">_xlfn.TEXTJOIN(",",TRUE,(_xlfn._xlws.FILTER($A$2:$A$501,($D$2:$D$501&gt;=AR$7)*($D$2:$D$501&lt;AQ$7)*($E$2:$E$501&gt;=$H32)*($E$2:$E$501&lt;$H31)," ")))</f>
        <v xml:space="preserve"> </v>
      </c>
      <c r="AR31" t="str" cm="1">
        <f t="array" ref="AR31">_xlfn.TEXTJOIN(",",TRUE,(_xlfn._xlws.FILTER($A$2:$A$501,($D$2:$D$501&gt;=AS$7)*($D$2:$D$501&lt;AR$7)*($E$2:$E$501&gt;=$H32)*($E$2:$E$501&lt;$H31)," ")))</f>
        <v xml:space="preserve"> </v>
      </c>
      <c r="AS31" t="str" cm="1">
        <f t="array" ref="AS31">_xlfn.TEXTJOIN(",",TRUE,(_xlfn._xlws.FILTER($A$2:$A$501,($D$2:$D$501&gt;=AT$7)*($D$2:$D$501&lt;AS$7)*($E$2:$E$501&gt;=$H32)*($E$2:$E$501&lt;$H31)," ")))</f>
        <v xml:space="preserve"> </v>
      </c>
      <c r="AT31" t="str" cm="1">
        <f t="array" ref="AT31">_xlfn.TEXTJOIN(",",TRUE,(_xlfn._xlws.FILTER($A$2:$A$501,($D$2:$D$501&gt;=AU$7)*($D$2:$D$501&lt;AT$7)*($E$2:$E$501&gt;=$H32)*($E$2:$E$501&lt;$H31)," ")))</f>
        <v xml:space="preserve"> </v>
      </c>
      <c r="AU31" t="str" cm="1">
        <f t="array" ref="AU31">_xlfn.TEXTJOIN(",",TRUE,(_xlfn._xlws.FILTER($A$2:$A$501,($D$2:$D$501&gt;=AV$7)*($D$2:$D$501&lt;AU$7)*($E$2:$E$501&gt;=$H32)*($E$2:$E$501&lt;$H31)," ")))</f>
        <v xml:space="preserve"> </v>
      </c>
      <c r="AV31" t="str" cm="1">
        <f t="array" ref="AV31">_xlfn.TEXTJOIN(",",TRUE,(_xlfn._xlws.FILTER($A$2:$A$501,($D$2:$D$501&gt;=AW$7)*($D$2:$D$501&lt;AV$7)*($E$2:$E$501&gt;=$H32)*($E$2:$E$501&lt;$H31)," ")))</f>
        <v xml:space="preserve"> </v>
      </c>
      <c r="AW31" t="str" cm="1">
        <f t="array" ref="AW31">_xlfn.TEXTJOIN(",",TRUE,(_xlfn._xlws.FILTER($A$2:$A$501,($D$2:$D$501&gt;=AX$7)*($D$2:$D$501&lt;AW$7)*($E$2:$E$501&gt;=$H32)*($E$2:$E$501&lt;$H31)," ")))</f>
        <v xml:space="preserve"> </v>
      </c>
      <c r="AX31" t="str" cm="1">
        <f t="array" ref="AX31">_xlfn.TEXTJOIN(",",TRUE,(_xlfn._xlws.FILTER($A$2:$A$501,($D$2:$D$501&gt;=AY$7)*($D$2:$D$501&lt;AX$7)*($E$2:$E$501&gt;=$H32)*($E$2:$E$501&lt;$H31)," ")))</f>
        <v xml:space="preserve"> </v>
      </c>
      <c r="AY31" t="str" cm="1">
        <f t="array" ref="AY31">_xlfn.TEXTJOIN(",",TRUE,(_xlfn._xlws.FILTER($A$2:$A$501,($D$2:$D$501&gt;=AZ$7)*($D$2:$D$501&lt;AY$7)*($E$2:$E$501&gt;=$H32)*($E$2:$E$501&lt;$H31)," ")))</f>
        <v xml:space="preserve"> </v>
      </c>
      <c r="AZ31" t="str" cm="1">
        <f t="array" ref="AZ31">_xlfn.TEXTJOIN(",",TRUE,(_xlfn._xlws.FILTER($A$2:$A$501,($D$2:$D$501&gt;=BA$7)*($D$2:$D$501&lt;AZ$7)*($E$2:$E$501&gt;=$H32)*($E$2:$E$501&lt;$H31)," ")))</f>
        <v xml:space="preserve"> </v>
      </c>
      <c r="BA31" t="str" cm="1">
        <f t="array" ref="BA31">_xlfn.TEXTJOIN(",",TRUE,(_xlfn._xlws.FILTER($A$2:$A$501,($D$2:$D$501&gt;=BB$7)*($D$2:$D$501&lt;BA$7)*($E$2:$E$501&gt;=$H32)*($E$2:$E$501&lt;$H31)," ")))</f>
        <v xml:space="preserve"> </v>
      </c>
      <c r="BB31" t="str" cm="1">
        <f t="array" ref="BB31">_xlfn.TEXTJOIN(",",TRUE,(_xlfn._xlws.FILTER($A$2:$A$501,($D$2:$D$501&gt;=BC$7)*($D$2:$D$501&lt;BB$7)*($E$2:$E$501&gt;=$H32)*($E$2:$E$501&lt;$H31)," ")))</f>
        <v xml:space="preserve"> </v>
      </c>
    </row>
    <row r="32" spans="1:54" x14ac:dyDescent="0.2">
      <c r="A32" s="3" t="s">
        <v>301</v>
      </c>
      <c r="B32" s="3" t="s">
        <v>299</v>
      </c>
      <c r="C32" s="13">
        <v>2557663.9500000002</v>
      </c>
      <c r="D32" s="15">
        <v>44236822.109999999</v>
      </c>
      <c r="E32" s="22">
        <f>TuitionRates3[[#This Row],[Tuition]]/D32</f>
        <v>5.7817533629338731E-2</v>
      </c>
      <c r="F32"/>
      <c r="H32" s="18">
        <v>0.126</v>
      </c>
      <c r="I32" t="str" cm="1">
        <f t="array" ref="I32">_xlfn.TEXTJOIN(",",TRUE,(_xlfn._xlws.FILTER($A$2:$A$501,($D$2:$D$501&gt;=J$7)*($D$2:$D$501&lt;I$7)*($E$2:$E$501&gt;=$H33)*($E$2:$E$501&lt;$H32)," ")))</f>
        <v xml:space="preserve"> </v>
      </c>
      <c r="J32" t="str" cm="1">
        <f t="array" ref="J32">_xlfn.TEXTJOIN(",",TRUE,(_xlfn._xlws.FILTER($A$2:$A$501,($D$2:$D$501&gt;=K$7)*($D$2:$D$501&lt;J$7)*($E$2:$E$501&gt;=$H33)*($E$2:$E$501&lt;$H32)," ")))</f>
        <v xml:space="preserve"> </v>
      </c>
      <c r="K32" t="str" cm="1">
        <f t="array" ref="K32">_xlfn.TEXTJOIN(",",TRUE,(_xlfn._xlws.FILTER($A$2:$A$501,($D$2:$D$501&gt;=L$7)*($D$2:$D$501&lt;K$7)*($E$2:$E$501&gt;=$H33)*($E$2:$E$501&lt;$H32)," ")))</f>
        <v xml:space="preserve"> </v>
      </c>
      <c r="L32" t="str" cm="1">
        <f t="array" ref="L32">_xlfn.TEXTJOIN(",",TRUE,(_xlfn._xlws.FILTER($A$2:$A$501,($D$2:$D$501&gt;=M$7)*($D$2:$D$501&lt;L$7)*($E$2:$E$501&gt;=$H33)*($E$2:$E$501&lt;$H32)," ")))</f>
        <v xml:space="preserve"> </v>
      </c>
      <c r="M32" t="str" cm="1">
        <f t="array" ref="M32">_xlfn.TEXTJOIN(",",TRUE,(_xlfn._xlws.FILTER($A$2:$A$501,($D$2:$D$501&gt;=N$7)*($D$2:$D$501&lt;M$7)*($E$2:$E$501&gt;=$H33)*($E$2:$E$501&lt;$H32)," ")))</f>
        <v xml:space="preserve"> </v>
      </c>
      <c r="N32" t="str" cm="1">
        <f t="array" ref="N32">_xlfn.TEXTJOIN(",",TRUE,(_xlfn._xlws.FILTER($A$2:$A$501,($D$2:$D$501&gt;=O$7)*($D$2:$D$501&lt;N$7)*($E$2:$E$501&gt;=$H33)*($E$2:$E$501&lt;$H32)," ")))</f>
        <v xml:space="preserve"> </v>
      </c>
      <c r="O32" t="str" cm="1">
        <f t="array" ref="O32">_xlfn.TEXTJOIN(",",TRUE,(_xlfn._xlws.FILTER($A$2:$A$501,($D$2:$D$501&gt;=P$7)*($D$2:$D$501&lt;O$7)*($E$2:$E$501&gt;=$H33)*($E$2:$E$501&lt;$H32)," ")))</f>
        <v xml:space="preserve"> </v>
      </c>
      <c r="P32" t="str" cm="1">
        <f t="array" ref="P32">_xlfn.TEXTJOIN(",",TRUE,(_xlfn._xlws.FILTER($A$2:$A$501,($D$2:$D$501&gt;=Q$7)*($D$2:$D$501&lt;P$7)*($E$2:$E$501&gt;=$H33)*($E$2:$E$501&lt;$H32)," ")))</f>
        <v xml:space="preserve"> </v>
      </c>
      <c r="Q32" t="str" cm="1">
        <f t="array" ref="Q32">_xlfn.TEXTJOIN(",",TRUE,(_xlfn._xlws.FILTER($A$2:$A$501,($D$2:$D$501&gt;=R$7)*($D$2:$D$501&lt;Q$7)*($E$2:$E$501&gt;=$H33)*($E$2:$E$501&lt;$H32)," ")))</f>
        <v xml:space="preserve"> </v>
      </c>
      <c r="R32" t="str" cm="1">
        <f t="array" ref="R32">_xlfn.TEXTJOIN(",",TRUE,(_xlfn._xlws.FILTER($A$2:$A$501,($D$2:$D$501&gt;=S$7)*($D$2:$D$501&lt;R$7)*($E$2:$E$501&gt;=$H33)*($E$2:$E$501&lt;$H32)," ")))</f>
        <v xml:space="preserve"> </v>
      </c>
      <c r="S32" t="str" cm="1">
        <f t="array" ref="S32">_xlfn.TEXTJOIN(",",TRUE,(_xlfn._xlws.FILTER($A$2:$A$501,($D$2:$D$501&gt;=T$7)*($D$2:$D$501&lt;S$7)*($E$2:$E$501&gt;=$H33)*($E$2:$E$501&lt;$H32)," ")))</f>
        <v xml:space="preserve"> </v>
      </c>
      <c r="T32" t="str" cm="1">
        <f t="array" ref="T32">_xlfn.TEXTJOIN(",",TRUE,(_xlfn._xlws.FILTER($A$2:$A$501,($D$2:$D$501&gt;=U$7)*($D$2:$D$501&lt;T$7)*($E$2:$E$501&gt;=$H33)*($E$2:$E$501&lt;$H32)," ")))</f>
        <v xml:space="preserve"> </v>
      </c>
      <c r="U32" t="str" cm="1">
        <f t="array" ref="U32">_xlfn.TEXTJOIN(",",TRUE,(_xlfn._xlws.FILTER($A$2:$A$501,($D$2:$D$501&gt;=V$7)*($D$2:$D$501&lt;U$7)*($E$2:$E$501&gt;=$H33)*($E$2:$E$501&lt;$H32)," ")))</f>
        <v xml:space="preserve"> </v>
      </c>
      <c r="V32" t="str" cm="1">
        <f t="array" ref="V32">_xlfn.TEXTJOIN(",",TRUE,(_xlfn._xlws.FILTER($A$2:$A$501,($D$2:$D$501&gt;=W$7)*($D$2:$D$501&lt;V$7)*($E$2:$E$501&gt;=$H33)*($E$2:$E$501&lt;$H32)," ")))</f>
        <v xml:space="preserve"> </v>
      </c>
      <c r="W32" t="str" cm="1">
        <f t="array" ref="W32">_xlfn.TEXTJOIN(",",TRUE,(_xlfn._xlws.FILTER($A$2:$A$501,($D$2:$D$501&gt;=X$7)*($D$2:$D$501&lt;W$7)*($E$2:$E$501&gt;=$H33)*($E$2:$E$501&lt;$H32)," ")))</f>
        <v xml:space="preserve"> </v>
      </c>
      <c r="X32" t="str" cm="1">
        <f t="array" ref="X32">_xlfn.TEXTJOIN(",",TRUE,(_xlfn._xlws.FILTER($A$2:$A$501,($D$2:$D$501&gt;=Y$7)*($D$2:$D$501&lt;X$7)*($E$2:$E$501&gt;=$H33)*($E$2:$E$501&lt;$H32)," ")))</f>
        <v xml:space="preserve"> </v>
      </c>
      <c r="Y32" t="str" cm="1">
        <f t="array" ref="Y32">_xlfn.TEXTJOIN(",",TRUE,(_xlfn._xlws.FILTER($A$2:$A$501,($D$2:$D$501&gt;=Z$7)*($D$2:$D$501&lt;Y$7)*($E$2:$E$501&gt;=$H33)*($E$2:$E$501&lt;$H32)," ")))</f>
        <v xml:space="preserve"> </v>
      </c>
      <c r="Z32" t="str" cm="1">
        <f t="array" ref="Z32">_xlfn.TEXTJOIN(",",TRUE,(_xlfn._xlws.FILTER($A$2:$A$501,($D$2:$D$501&gt;=AA$7)*($D$2:$D$501&lt;Z$7)*($E$2:$E$501&gt;=$H33)*($E$2:$E$501&lt;$H32)," ")))</f>
        <v xml:space="preserve"> </v>
      </c>
      <c r="AA32" t="str" cm="1">
        <f t="array" ref="AA32">_xlfn.TEXTJOIN(",",TRUE,(_xlfn._xlws.FILTER($A$2:$A$501,($D$2:$D$501&gt;=AB$7)*($D$2:$D$501&lt;AA$7)*($E$2:$E$501&gt;=$H33)*($E$2:$E$501&lt;$H32)," ")))</f>
        <v xml:space="preserve"> </v>
      </c>
      <c r="AB32" t="str" cm="1">
        <f t="array" ref="AB32">_xlfn.TEXTJOIN(",",TRUE,(_xlfn._xlws.FILTER($A$2:$A$501,($D$2:$D$501&gt;=AC$7)*($D$2:$D$501&lt;AB$7)*($E$2:$E$501&gt;=$H33)*($E$2:$E$501&lt;$H32)," ")))</f>
        <v xml:space="preserve"> </v>
      </c>
      <c r="AC32" t="str" cm="1">
        <f t="array" ref="AC32">_xlfn.TEXTJOIN(",",TRUE,(_xlfn._xlws.FILTER($A$2:$A$501,($D$2:$D$501&gt;=AD$7)*($D$2:$D$501&lt;AC$7)*($E$2:$E$501&gt;=$H33)*($E$2:$E$501&lt;$H32)," ")))</f>
        <v xml:space="preserve"> </v>
      </c>
      <c r="AD32" t="str" cm="1">
        <f t="array" ref="AD32">_xlfn.TEXTJOIN(",",TRUE,(_xlfn._xlws.FILTER($A$2:$A$501,($D$2:$D$501&gt;=AE$7)*($D$2:$D$501&lt;AD$7)*($E$2:$E$501&gt;=$H33)*($E$2:$E$501&lt;$H32)," ")))</f>
        <v xml:space="preserve"> </v>
      </c>
      <c r="AE32" t="str" cm="1">
        <f t="array" ref="AE32">_xlfn.TEXTJOIN(",",TRUE,(_xlfn._xlws.FILTER($A$2:$A$501,($D$2:$D$501&gt;=AF$7)*($D$2:$D$501&lt;AE$7)*($E$2:$E$501&gt;=$H33)*($E$2:$E$501&lt;$H32)," ")))</f>
        <v xml:space="preserve"> </v>
      </c>
      <c r="AF32" t="str" cm="1">
        <f t="array" ref="AF32">_xlfn.TEXTJOIN(",",TRUE,(_xlfn._xlws.FILTER($A$2:$A$501,($D$2:$D$501&gt;=AG$7)*($D$2:$D$501&lt;AF$7)*($E$2:$E$501&gt;=$H33)*($E$2:$E$501&lt;$H32)," ")))</f>
        <v xml:space="preserve"> </v>
      </c>
      <c r="AG32" t="str" cm="1">
        <f t="array" ref="AG32">_xlfn.TEXTJOIN(",",TRUE,(_xlfn._xlws.FILTER($A$2:$A$501,($D$2:$D$501&gt;=AH$7)*($D$2:$D$501&lt;AG$7)*($E$2:$E$501&gt;=$H33)*($E$2:$E$501&lt;$H32)," ")))</f>
        <v xml:space="preserve"> </v>
      </c>
      <c r="AH32" t="str" cm="1">
        <f t="array" ref="AH32">_xlfn.TEXTJOIN(",",TRUE,(_xlfn._xlws.FILTER($A$2:$A$501,($D$2:$D$501&gt;=AI$7)*($D$2:$D$501&lt;AH$7)*($E$2:$E$501&gt;=$H33)*($E$2:$E$501&lt;$H32)," ")))</f>
        <v xml:space="preserve"> </v>
      </c>
      <c r="AI32" t="str" cm="1">
        <f t="array" ref="AI32">_xlfn.TEXTJOIN(",",TRUE,(_xlfn._xlws.FILTER($A$2:$A$501,($D$2:$D$501&gt;=AJ$7)*($D$2:$D$501&lt;AI$7)*($E$2:$E$501&gt;=$H33)*($E$2:$E$501&lt;$H32)," ")))</f>
        <v xml:space="preserve"> </v>
      </c>
      <c r="AJ32" t="str" cm="1">
        <f t="array" ref="AJ32">_xlfn.TEXTJOIN(",",TRUE,(_xlfn._xlws.FILTER($A$2:$A$501,($D$2:$D$501&gt;=AK$7)*($D$2:$D$501&lt;AJ$7)*($E$2:$E$501&gt;=$H33)*($E$2:$E$501&lt;$H32)," ")))</f>
        <v xml:space="preserve"> </v>
      </c>
      <c r="AK32" t="str" cm="1">
        <f t="array" ref="AK32">_xlfn.TEXTJOIN(",",TRUE,(_xlfn._xlws.FILTER($A$2:$A$501,($D$2:$D$501&gt;=AL$7)*($D$2:$D$501&lt;AK$7)*($E$2:$E$501&gt;=$H33)*($E$2:$E$501&lt;$H32)," ")))</f>
        <v xml:space="preserve"> </v>
      </c>
      <c r="AL32" t="str" cm="1">
        <f t="array" ref="AL32">_xlfn.TEXTJOIN(",",TRUE,(_xlfn._xlws.FILTER($A$2:$A$501,($D$2:$D$501&gt;=AM$7)*($D$2:$D$501&lt;AL$7)*($E$2:$E$501&gt;=$H33)*($E$2:$E$501&lt;$H32)," ")))</f>
        <v xml:space="preserve"> </v>
      </c>
      <c r="AM32" t="str" cm="1">
        <f t="array" ref="AM32">_xlfn.TEXTJOIN(",",TRUE,(_xlfn._xlws.FILTER($A$2:$A$501,($D$2:$D$501&gt;=AN$7)*($D$2:$D$501&lt;AM$7)*($E$2:$E$501&gt;=$H33)*($E$2:$E$501&lt;$H32)," ")))</f>
        <v xml:space="preserve"> </v>
      </c>
      <c r="AN32" t="str" cm="1">
        <f t="array" ref="AN32">_xlfn.TEXTJOIN(",",TRUE,(_xlfn._xlws.FILTER($A$2:$A$501,($D$2:$D$501&gt;=AO$7)*($D$2:$D$501&lt;AN$7)*($E$2:$E$501&gt;=$H33)*($E$2:$E$501&lt;$H32)," ")))</f>
        <v xml:space="preserve"> </v>
      </c>
      <c r="AO32" t="str" cm="1">
        <f t="array" ref="AO32">_xlfn.TEXTJOIN(",",TRUE,(_xlfn._xlws.FILTER($A$2:$A$501,($D$2:$D$501&gt;=AP$7)*($D$2:$D$501&lt;AO$7)*($E$2:$E$501&gt;=$H33)*($E$2:$E$501&lt;$H32)," ")))</f>
        <v xml:space="preserve"> </v>
      </c>
      <c r="AP32" t="str" cm="1">
        <f t="array" ref="AP32">_xlfn.TEXTJOIN(",",TRUE,(_xlfn._xlws.FILTER($A$2:$A$501,($D$2:$D$501&gt;=AQ$7)*($D$2:$D$501&lt;AP$7)*($E$2:$E$501&gt;=$H33)*($E$2:$E$501&lt;$H32)," ")))</f>
        <v xml:space="preserve"> </v>
      </c>
      <c r="AQ32" t="str" cm="1">
        <f t="array" ref="AQ32">_xlfn.TEXTJOIN(",",TRUE,(_xlfn._xlws.FILTER($A$2:$A$501,($D$2:$D$501&gt;=AR$7)*($D$2:$D$501&lt;AQ$7)*($E$2:$E$501&gt;=$H33)*($E$2:$E$501&lt;$H32)," ")))</f>
        <v xml:space="preserve"> </v>
      </c>
      <c r="AR32" t="str" cm="1">
        <f t="array" ref="AR32">_xlfn.TEXTJOIN(",",TRUE,(_xlfn._xlws.FILTER($A$2:$A$501,($D$2:$D$501&gt;=AS$7)*($D$2:$D$501&lt;AR$7)*($E$2:$E$501&gt;=$H33)*($E$2:$E$501&lt;$H32)," ")))</f>
        <v xml:space="preserve"> </v>
      </c>
      <c r="AS32" t="str" cm="1">
        <f t="array" ref="AS32">_xlfn.TEXTJOIN(",",TRUE,(_xlfn._xlws.FILTER($A$2:$A$501,($D$2:$D$501&gt;=AT$7)*($D$2:$D$501&lt;AS$7)*($E$2:$E$501&gt;=$H33)*($E$2:$E$501&lt;$H32)," ")))</f>
        <v xml:space="preserve"> </v>
      </c>
      <c r="AT32" t="str" cm="1">
        <f t="array" ref="AT32">_xlfn.TEXTJOIN(",",TRUE,(_xlfn._xlws.FILTER($A$2:$A$501,($D$2:$D$501&gt;=AU$7)*($D$2:$D$501&lt;AT$7)*($E$2:$E$501&gt;=$H33)*($E$2:$E$501&lt;$H32)," ")))</f>
        <v xml:space="preserve"> </v>
      </c>
      <c r="AU32" t="str" cm="1">
        <f t="array" ref="AU32">_xlfn.TEXTJOIN(",",TRUE,(_xlfn._xlws.FILTER($A$2:$A$501,($D$2:$D$501&gt;=AV$7)*($D$2:$D$501&lt;AU$7)*($E$2:$E$501&gt;=$H33)*($E$2:$E$501&lt;$H32)," ")))</f>
        <v xml:space="preserve"> </v>
      </c>
      <c r="AV32" t="str" cm="1">
        <f t="array" ref="AV32">_xlfn.TEXTJOIN(",",TRUE,(_xlfn._xlws.FILTER($A$2:$A$501,($D$2:$D$501&gt;=AW$7)*($D$2:$D$501&lt;AV$7)*($E$2:$E$501&gt;=$H33)*($E$2:$E$501&lt;$H32)," ")))</f>
        <v xml:space="preserve"> </v>
      </c>
      <c r="AW32" t="str" cm="1">
        <f t="array" ref="AW32">_xlfn.TEXTJOIN(",",TRUE,(_xlfn._xlws.FILTER($A$2:$A$501,($D$2:$D$501&gt;=AX$7)*($D$2:$D$501&lt;AW$7)*($E$2:$E$501&gt;=$H33)*($E$2:$E$501&lt;$H32)," ")))</f>
        <v xml:space="preserve"> </v>
      </c>
      <c r="AX32" t="str" cm="1">
        <f t="array" ref="AX32">_xlfn.TEXTJOIN(",",TRUE,(_xlfn._xlws.FILTER($A$2:$A$501,($D$2:$D$501&gt;=AY$7)*($D$2:$D$501&lt;AX$7)*($E$2:$E$501&gt;=$H33)*($E$2:$E$501&lt;$H32)," ")))</f>
        <v xml:space="preserve"> </v>
      </c>
      <c r="AY32" t="str" cm="1">
        <f t="array" ref="AY32">_xlfn.TEXTJOIN(",",TRUE,(_xlfn._xlws.FILTER($A$2:$A$501,($D$2:$D$501&gt;=AZ$7)*($D$2:$D$501&lt;AY$7)*($E$2:$E$501&gt;=$H33)*($E$2:$E$501&lt;$H32)," ")))</f>
        <v xml:space="preserve"> </v>
      </c>
      <c r="AZ32" t="str" cm="1">
        <f t="array" ref="AZ32">_xlfn.TEXTJOIN(",",TRUE,(_xlfn._xlws.FILTER($A$2:$A$501,($D$2:$D$501&gt;=BA$7)*($D$2:$D$501&lt;AZ$7)*($E$2:$E$501&gt;=$H33)*($E$2:$E$501&lt;$H32)," ")))</f>
        <v xml:space="preserve"> </v>
      </c>
      <c r="BA32" t="str" cm="1">
        <f t="array" ref="BA32">_xlfn.TEXTJOIN(",",TRUE,(_xlfn._xlws.FILTER($A$2:$A$501,($D$2:$D$501&gt;=BB$7)*($D$2:$D$501&lt;BA$7)*($E$2:$E$501&gt;=$H33)*($E$2:$E$501&lt;$H32)," ")))</f>
        <v xml:space="preserve"> </v>
      </c>
      <c r="BB32" t="str" cm="1">
        <f t="array" ref="BB32">_xlfn.TEXTJOIN(",",TRUE,(_xlfn._xlws.FILTER($A$2:$A$501,($D$2:$D$501&gt;=BC$7)*($D$2:$D$501&lt;BB$7)*($E$2:$E$501&gt;=$H33)*($E$2:$E$501&lt;$H32)," ")))</f>
        <v xml:space="preserve"> </v>
      </c>
    </row>
    <row r="33" spans="1:54" x14ac:dyDescent="0.2">
      <c r="A33" s="3" t="s">
        <v>71</v>
      </c>
      <c r="B33" s="3" t="s">
        <v>60</v>
      </c>
      <c r="C33" s="13">
        <v>1196098.6499999999</v>
      </c>
      <c r="D33" s="15">
        <v>20770956</v>
      </c>
      <c r="E33" s="22">
        <f>TuitionRates3[[#This Row],[Tuition]]/D33</f>
        <v>5.7585151593407637E-2</v>
      </c>
      <c r="F33"/>
      <c r="H33" s="18">
        <v>0.125</v>
      </c>
      <c r="I33" t="str" cm="1">
        <f t="array" ref="I33">_xlfn.TEXTJOIN(",",TRUE,(_xlfn._xlws.FILTER($A$2:$A$501,($D$2:$D$501&gt;=J$7)*($D$2:$D$501&lt;I$7)*($E$2:$E$501&gt;=$H34)*($E$2:$E$501&lt;$H33)," ")))</f>
        <v xml:space="preserve"> </v>
      </c>
      <c r="J33" t="str" cm="1">
        <f t="array" ref="J33">_xlfn.TEXTJOIN(",",TRUE,(_xlfn._xlws.FILTER($A$2:$A$501,($D$2:$D$501&gt;=K$7)*($D$2:$D$501&lt;J$7)*($E$2:$E$501&gt;=$H34)*($E$2:$E$501&lt;$H33)," ")))</f>
        <v xml:space="preserve"> </v>
      </c>
      <c r="K33" t="str" cm="1">
        <f t="array" ref="K33">_xlfn.TEXTJOIN(",",TRUE,(_xlfn._xlws.FILTER($A$2:$A$501,($D$2:$D$501&gt;=L$7)*($D$2:$D$501&lt;K$7)*($E$2:$E$501&gt;=$H34)*($E$2:$E$501&lt;$H33)," ")))</f>
        <v xml:space="preserve"> </v>
      </c>
      <c r="L33" t="str" cm="1">
        <f t="array" ref="L33">_xlfn.TEXTJOIN(",",TRUE,(_xlfn._xlws.FILTER($A$2:$A$501,($D$2:$D$501&gt;=M$7)*($D$2:$D$501&lt;L$7)*($E$2:$E$501&gt;=$H34)*($E$2:$E$501&lt;$H33)," ")))</f>
        <v xml:space="preserve"> </v>
      </c>
      <c r="M33" t="str" cm="1">
        <f t="array" ref="M33">_xlfn.TEXTJOIN(",",TRUE,(_xlfn._xlws.FILTER($A$2:$A$501,($D$2:$D$501&gt;=N$7)*($D$2:$D$501&lt;M$7)*($E$2:$E$501&gt;=$H34)*($E$2:$E$501&lt;$H33)," ")))</f>
        <v xml:space="preserve"> </v>
      </c>
      <c r="N33" t="str" cm="1">
        <f t="array" ref="N33">_xlfn.TEXTJOIN(",",TRUE,(_xlfn._xlws.FILTER($A$2:$A$501,($D$2:$D$501&gt;=O$7)*($D$2:$D$501&lt;N$7)*($E$2:$E$501&gt;=$H34)*($E$2:$E$501&lt;$H33)," ")))</f>
        <v xml:space="preserve"> </v>
      </c>
      <c r="O33" t="str" cm="1">
        <f t="array" ref="O33">_xlfn.TEXTJOIN(",",TRUE,(_xlfn._xlws.FILTER($A$2:$A$501,($D$2:$D$501&gt;=P$7)*($D$2:$D$501&lt;O$7)*($E$2:$E$501&gt;=$H34)*($E$2:$E$501&lt;$H33)," ")))</f>
        <v xml:space="preserve"> </v>
      </c>
      <c r="P33" t="str" cm="1">
        <f t="array" ref="P33">_xlfn.TEXTJOIN(",",TRUE,(_xlfn._xlws.FILTER($A$2:$A$501,($D$2:$D$501&gt;=Q$7)*($D$2:$D$501&lt;P$7)*($E$2:$E$501&gt;=$H34)*($E$2:$E$501&lt;$H33)," ")))</f>
        <v xml:space="preserve"> </v>
      </c>
      <c r="Q33" t="str" cm="1">
        <f t="array" ref="Q33">_xlfn.TEXTJOIN(",",TRUE,(_xlfn._xlws.FILTER($A$2:$A$501,($D$2:$D$501&gt;=R$7)*($D$2:$D$501&lt;Q$7)*($E$2:$E$501&gt;=$H34)*($E$2:$E$501&lt;$H33)," ")))</f>
        <v xml:space="preserve"> </v>
      </c>
      <c r="R33" t="str" cm="1">
        <f t="array" ref="R33">_xlfn.TEXTJOIN(",",TRUE,(_xlfn._xlws.FILTER($A$2:$A$501,($D$2:$D$501&gt;=S$7)*($D$2:$D$501&lt;R$7)*($E$2:$E$501&gt;=$H34)*($E$2:$E$501&lt;$H33)," ")))</f>
        <v xml:space="preserve"> </v>
      </c>
      <c r="S33" t="str" cm="1">
        <f t="array" ref="S33">_xlfn.TEXTJOIN(",",TRUE,(_xlfn._xlws.FILTER($A$2:$A$501,($D$2:$D$501&gt;=T$7)*($D$2:$D$501&lt;S$7)*($E$2:$E$501&gt;=$H34)*($E$2:$E$501&lt;$H33)," ")))</f>
        <v xml:space="preserve"> </v>
      </c>
      <c r="T33" t="str" cm="1">
        <f t="array" ref="T33">_xlfn.TEXTJOIN(",",TRUE,(_xlfn._xlws.FILTER($A$2:$A$501,($D$2:$D$501&gt;=U$7)*($D$2:$D$501&lt;T$7)*($E$2:$E$501&gt;=$H34)*($E$2:$E$501&lt;$H33)," ")))</f>
        <v xml:space="preserve"> </v>
      </c>
      <c r="U33" t="str" cm="1">
        <f t="array" ref="U33">_xlfn.TEXTJOIN(",",TRUE,(_xlfn._xlws.FILTER($A$2:$A$501,($D$2:$D$501&gt;=V$7)*($D$2:$D$501&lt;U$7)*($E$2:$E$501&gt;=$H34)*($E$2:$E$501&lt;$H33)," ")))</f>
        <v xml:space="preserve"> </v>
      </c>
      <c r="V33" t="str" cm="1">
        <f t="array" ref="V33">_xlfn.TEXTJOIN(",",TRUE,(_xlfn._xlws.FILTER($A$2:$A$501,($D$2:$D$501&gt;=W$7)*($D$2:$D$501&lt;V$7)*($E$2:$E$501&gt;=$H34)*($E$2:$E$501&lt;$H33)," ")))</f>
        <v xml:space="preserve"> </v>
      </c>
      <c r="W33" t="str" cm="1">
        <f t="array" ref="W33">_xlfn.TEXTJOIN(",",TRUE,(_xlfn._xlws.FILTER($A$2:$A$501,($D$2:$D$501&gt;=X$7)*($D$2:$D$501&lt;W$7)*($E$2:$E$501&gt;=$H34)*($E$2:$E$501&lt;$H33)," ")))</f>
        <v xml:space="preserve"> </v>
      </c>
      <c r="X33" t="str" cm="1">
        <f t="array" ref="X33">_xlfn.TEXTJOIN(",",TRUE,(_xlfn._xlws.FILTER($A$2:$A$501,($D$2:$D$501&gt;=Y$7)*($D$2:$D$501&lt;X$7)*($E$2:$E$501&gt;=$H34)*($E$2:$E$501&lt;$H33)," ")))</f>
        <v xml:space="preserve"> </v>
      </c>
      <c r="Y33" t="str" cm="1">
        <f t="array" ref="Y33">_xlfn.TEXTJOIN(",",TRUE,(_xlfn._xlws.FILTER($A$2:$A$501,($D$2:$D$501&gt;=Z$7)*($D$2:$D$501&lt;Y$7)*($E$2:$E$501&gt;=$H34)*($E$2:$E$501&lt;$H33)," ")))</f>
        <v xml:space="preserve"> </v>
      </c>
      <c r="Z33" t="str" cm="1">
        <f t="array" ref="Z33">_xlfn.TEXTJOIN(",",TRUE,(_xlfn._xlws.FILTER($A$2:$A$501,($D$2:$D$501&gt;=AA$7)*($D$2:$D$501&lt;Z$7)*($E$2:$E$501&gt;=$H34)*($E$2:$E$501&lt;$H33)," ")))</f>
        <v xml:space="preserve"> </v>
      </c>
      <c r="AA33" t="str" cm="1">
        <f t="array" ref="AA33">_xlfn.TEXTJOIN(",",TRUE,(_xlfn._xlws.FILTER($A$2:$A$501,($D$2:$D$501&gt;=AB$7)*($D$2:$D$501&lt;AA$7)*($E$2:$E$501&gt;=$H34)*($E$2:$E$501&lt;$H33)," ")))</f>
        <v xml:space="preserve"> </v>
      </c>
      <c r="AB33" t="str" cm="1">
        <f t="array" ref="AB33">_xlfn.TEXTJOIN(",",TRUE,(_xlfn._xlws.FILTER($A$2:$A$501,($D$2:$D$501&gt;=AC$7)*($D$2:$D$501&lt;AB$7)*($E$2:$E$501&gt;=$H34)*($E$2:$E$501&lt;$H33)," ")))</f>
        <v xml:space="preserve"> </v>
      </c>
      <c r="AC33" t="str" cm="1">
        <f t="array" ref="AC33">_xlfn.TEXTJOIN(",",TRUE,(_xlfn._xlws.FILTER($A$2:$A$501,($D$2:$D$501&gt;=AD$7)*($D$2:$D$501&lt;AC$7)*($E$2:$E$501&gt;=$H34)*($E$2:$E$501&lt;$H33)," ")))</f>
        <v xml:space="preserve"> </v>
      </c>
      <c r="AD33" t="str" cm="1">
        <f t="array" ref="AD33">_xlfn.TEXTJOIN(",",TRUE,(_xlfn._xlws.FILTER($A$2:$A$501,($D$2:$D$501&gt;=AE$7)*($D$2:$D$501&lt;AD$7)*($E$2:$E$501&gt;=$H34)*($E$2:$E$501&lt;$H33)," ")))</f>
        <v xml:space="preserve"> </v>
      </c>
      <c r="AE33" t="str" cm="1">
        <f t="array" ref="AE33">_xlfn.TEXTJOIN(",",TRUE,(_xlfn._xlws.FILTER($A$2:$A$501,($D$2:$D$501&gt;=AF$7)*($D$2:$D$501&lt;AE$7)*($E$2:$E$501&gt;=$H34)*($E$2:$E$501&lt;$H33)," ")))</f>
        <v xml:space="preserve"> </v>
      </c>
      <c r="AF33" t="str" cm="1">
        <f t="array" ref="AF33">_xlfn.TEXTJOIN(",",TRUE,(_xlfn._xlws.FILTER($A$2:$A$501,($D$2:$D$501&gt;=AG$7)*($D$2:$D$501&lt;AF$7)*($E$2:$E$501&gt;=$H34)*($E$2:$E$501&lt;$H33)," ")))</f>
        <v xml:space="preserve"> </v>
      </c>
      <c r="AG33" t="str" cm="1">
        <f t="array" ref="AG33">_xlfn.TEXTJOIN(",",TRUE,(_xlfn._xlws.FILTER($A$2:$A$501,($D$2:$D$501&gt;=AH$7)*($D$2:$D$501&lt;AG$7)*($E$2:$E$501&gt;=$H34)*($E$2:$E$501&lt;$H33)," ")))</f>
        <v xml:space="preserve"> </v>
      </c>
      <c r="AH33" t="str" cm="1">
        <f t="array" ref="AH33">_xlfn.TEXTJOIN(",",TRUE,(_xlfn._xlws.FILTER($A$2:$A$501,($D$2:$D$501&gt;=AI$7)*($D$2:$D$501&lt;AH$7)*($E$2:$E$501&gt;=$H34)*($E$2:$E$501&lt;$H33)," ")))</f>
        <v xml:space="preserve"> </v>
      </c>
      <c r="AI33" t="str" cm="1">
        <f t="array" ref="AI33">_xlfn.TEXTJOIN(",",TRUE,(_xlfn._xlws.FILTER($A$2:$A$501,($D$2:$D$501&gt;=AJ$7)*($D$2:$D$501&lt;AI$7)*($E$2:$E$501&gt;=$H34)*($E$2:$E$501&lt;$H33)," ")))</f>
        <v xml:space="preserve"> </v>
      </c>
      <c r="AJ33" t="str" cm="1">
        <f t="array" ref="AJ33">_xlfn.TEXTJOIN(",",TRUE,(_xlfn._xlws.FILTER($A$2:$A$501,($D$2:$D$501&gt;=AK$7)*($D$2:$D$501&lt;AJ$7)*($E$2:$E$501&gt;=$H34)*($E$2:$E$501&lt;$H33)," ")))</f>
        <v xml:space="preserve"> </v>
      </c>
      <c r="AK33" t="str" cm="1">
        <f t="array" ref="AK33">_xlfn.TEXTJOIN(",",TRUE,(_xlfn._xlws.FILTER($A$2:$A$501,($D$2:$D$501&gt;=AL$7)*($D$2:$D$501&lt;AK$7)*($E$2:$E$501&gt;=$H34)*($E$2:$E$501&lt;$H33)," ")))</f>
        <v xml:space="preserve"> </v>
      </c>
      <c r="AL33" t="str" cm="1">
        <f t="array" ref="AL33">_xlfn.TEXTJOIN(",",TRUE,(_xlfn._xlws.FILTER($A$2:$A$501,($D$2:$D$501&gt;=AM$7)*($D$2:$D$501&lt;AL$7)*($E$2:$E$501&gt;=$H34)*($E$2:$E$501&lt;$H33)," ")))</f>
        <v xml:space="preserve"> </v>
      </c>
      <c r="AM33" t="str" cm="1">
        <f t="array" ref="AM33">_xlfn.TEXTJOIN(",",TRUE,(_xlfn._xlws.FILTER($A$2:$A$501,($D$2:$D$501&gt;=AN$7)*($D$2:$D$501&lt;AM$7)*($E$2:$E$501&gt;=$H34)*($E$2:$E$501&lt;$H33)," ")))</f>
        <v xml:space="preserve"> </v>
      </c>
      <c r="AN33" t="str" cm="1">
        <f t="array" ref="AN33">_xlfn.TEXTJOIN(",",TRUE,(_xlfn._xlws.FILTER($A$2:$A$501,($D$2:$D$501&gt;=AO$7)*($D$2:$D$501&lt;AN$7)*($E$2:$E$501&gt;=$H34)*($E$2:$E$501&lt;$H33)," ")))</f>
        <v xml:space="preserve"> </v>
      </c>
      <c r="AO33" t="str" cm="1">
        <f t="array" ref="AO33">_xlfn.TEXTJOIN(",",TRUE,(_xlfn._xlws.FILTER($A$2:$A$501,($D$2:$D$501&gt;=AP$7)*($D$2:$D$501&lt;AO$7)*($E$2:$E$501&gt;=$H34)*($E$2:$E$501&lt;$H33)," ")))</f>
        <v xml:space="preserve"> </v>
      </c>
      <c r="AP33" t="str" cm="1">
        <f t="array" ref="AP33">_xlfn.TEXTJOIN(",",TRUE,(_xlfn._xlws.FILTER($A$2:$A$501,($D$2:$D$501&gt;=AQ$7)*($D$2:$D$501&lt;AP$7)*($E$2:$E$501&gt;=$H34)*($E$2:$E$501&lt;$H33)," ")))</f>
        <v xml:space="preserve"> </v>
      </c>
      <c r="AQ33" t="str" cm="1">
        <f t="array" ref="AQ33">_xlfn.TEXTJOIN(",",TRUE,(_xlfn._xlws.FILTER($A$2:$A$501,($D$2:$D$501&gt;=AR$7)*($D$2:$D$501&lt;AQ$7)*($E$2:$E$501&gt;=$H34)*($E$2:$E$501&lt;$H33)," ")))</f>
        <v xml:space="preserve"> </v>
      </c>
      <c r="AR33" t="str" cm="1">
        <f t="array" ref="AR33">_xlfn.TEXTJOIN(",",TRUE,(_xlfn._xlws.FILTER($A$2:$A$501,($D$2:$D$501&gt;=AS$7)*($D$2:$D$501&lt;AR$7)*($E$2:$E$501&gt;=$H34)*($E$2:$E$501&lt;$H33)," ")))</f>
        <v xml:space="preserve"> </v>
      </c>
      <c r="AS33" t="str" cm="1">
        <f t="array" ref="AS33">_xlfn.TEXTJOIN(",",TRUE,(_xlfn._xlws.FILTER($A$2:$A$501,($D$2:$D$501&gt;=AT$7)*($D$2:$D$501&lt;AS$7)*($E$2:$E$501&gt;=$H34)*($E$2:$E$501&lt;$H33)," ")))</f>
        <v xml:space="preserve"> </v>
      </c>
      <c r="AT33" t="str" cm="1">
        <f t="array" ref="AT33">_xlfn.TEXTJOIN(",",TRUE,(_xlfn._xlws.FILTER($A$2:$A$501,($D$2:$D$501&gt;=AU$7)*($D$2:$D$501&lt;AT$7)*($E$2:$E$501&gt;=$H34)*($E$2:$E$501&lt;$H33)," ")))</f>
        <v xml:space="preserve"> </v>
      </c>
      <c r="AU33" t="str" cm="1">
        <f t="array" ref="AU33">_xlfn.TEXTJOIN(",",TRUE,(_xlfn._xlws.FILTER($A$2:$A$501,($D$2:$D$501&gt;=AV$7)*($D$2:$D$501&lt;AU$7)*($E$2:$E$501&gt;=$H34)*($E$2:$E$501&lt;$H33)," ")))</f>
        <v xml:space="preserve"> </v>
      </c>
      <c r="AV33" t="str" cm="1">
        <f t="array" ref="AV33">_xlfn.TEXTJOIN(",",TRUE,(_xlfn._xlws.FILTER($A$2:$A$501,($D$2:$D$501&gt;=AW$7)*($D$2:$D$501&lt;AV$7)*($E$2:$E$501&gt;=$H34)*($E$2:$E$501&lt;$H33)," ")))</f>
        <v xml:space="preserve"> </v>
      </c>
      <c r="AW33" t="str" cm="1">
        <f t="array" ref="AW33">_xlfn.TEXTJOIN(",",TRUE,(_xlfn._xlws.FILTER($A$2:$A$501,($D$2:$D$501&gt;=AX$7)*($D$2:$D$501&lt;AW$7)*($E$2:$E$501&gt;=$H34)*($E$2:$E$501&lt;$H33)," ")))</f>
        <v xml:space="preserve"> </v>
      </c>
      <c r="AX33" t="str" cm="1">
        <f t="array" ref="AX33">_xlfn.TEXTJOIN(",",TRUE,(_xlfn._xlws.FILTER($A$2:$A$501,($D$2:$D$501&gt;=AY$7)*($D$2:$D$501&lt;AX$7)*($E$2:$E$501&gt;=$H34)*($E$2:$E$501&lt;$H33)," ")))</f>
        <v xml:space="preserve"> </v>
      </c>
      <c r="AY33" t="str" cm="1">
        <f t="array" ref="AY33">_xlfn.TEXTJOIN(",",TRUE,(_xlfn._xlws.FILTER($A$2:$A$501,($D$2:$D$501&gt;=AZ$7)*($D$2:$D$501&lt;AY$7)*($E$2:$E$501&gt;=$H34)*($E$2:$E$501&lt;$H33)," ")))</f>
        <v xml:space="preserve"> </v>
      </c>
      <c r="AZ33" t="str" cm="1">
        <f t="array" ref="AZ33">_xlfn.TEXTJOIN(",",TRUE,(_xlfn._xlws.FILTER($A$2:$A$501,($D$2:$D$501&gt;=BA$7)*($D$2:$D$501&lt;AZ$7)*($E$2:$E$501&gt;=$H34)*($E$2:$E$501&lt;$H33)," ")))</f>
        <v xml:space="preserve"> </v>
      </c>
      <c r="BA33" t="str" cm="1">
        <f t="array" ref="BA33">_xlfn.TEXTJOIN(",",TRUE,(_xlfn._xlws.FILTER($A$2:$A$501,($D$2:$D$501&gt;=BB$7)*($D$2:$D$501&lt;BA$7)*($E$2:$E$501&gt;=$H34)*($E$2:$E$501&lt;$H33)," ")))</f>
        <v xml:space="preserve"> </v>
      </c>
      <c r="BB33" t="str" cm="1">
        <f t="array" ref="BB33">_xlfn.TEXTJOIN(",",TRUE,(_xlfn._xlws.FILTER($A$2:$A$501,($D$2:$D$501&gt;=BC$7)*($D$2:$D$501&lt;BB$7)*($E$2:$E$501&gt;=$H34)*($E$2:$E$501&lt;$H33)," ")))</f>
        <v xml:space="preserve"> </v>
      </c>
    </row>
    <row r="34" spans="1:54" x14ac:dyDescent="0.2">
      <c r="A34" s="3" t="s">
        <v>154</v>
      </c>
      <c r="B34" s="3" t="s">
        <v>153</v>
      </c>
      <c r="C34" s="13">
        <v>2525626.0499999998</v>
      </c>
      <c r="D34" s="15">
        <v>43862476.909999996</v>
      </c>
      <c r="E34" s="22">
        <f>TuitionRates3[[#This Row],[Tuition]]/D34</f>
        <v>5.7580561516903175E-2</v>
      </c>
      <c r="F34"/>
      <c r="H34" s="18">
        <v>0.124</v>
      </c>
      <c r="I34" t="str" cm="1">
        <f t="array" ref="I34">_xlfn.TEXTJOIN(",",TRUE,(_xlfn._xlws.FILTER($A$2:$A$501,($D$2:$D$501&gt;=J$7)*($D$2:$D$501&lt;I$7)*($E$2:$E$501&gt;=$H35)*($E$2:$E$501&lt;$H34)," ")))</f>
        <v xml:space="preserve"> </v>
      </c>
      <c r="J34" t="str" cm="1">
        <f t="array" ref="J34">_xlfn.TEXTJOIN(",",TRUE,(_xlfn._xlws.FILTER($A$2:$A$501,($D$2:$D$501&gt;=K$7)*($D$2:$D$501&lt;J$7)*($E$2:$E$501&gt;=$H35)*($E$2:$E$501&lt;$H34)," ")))</f>
        <v xml:space="preserve"> </v>
      </c>
      <c r="K34" t="str" cm="1">
        <f t="array" ref="K34">_xlfn.TEXTJOIN(",",TRUE,(_xlfn._xlws.FILTER($A$2:$A$501,($D$2:$D$501&gt;=L$7)*($D$2:$D$501&lt;K$7)*($E$2:$E$501&gt;=$H35)*($E$2:$E$501&lt;$H34)," ")))</f>
        <v xml:space="preserve"> </v>
      </c>
      <c r="L34" t="str" cm="1">
        <f t="array" ref="L34">_xlfn.TEXTJOIN(",",TRUE,(_xlfn._xlws.FILTER($A$2:$A$501,($D$2:$D$501&gt;=M$7)*($D$2:$D$501&lt;L$7)*($E$2:$E$501&gt;=$H35)*($E$2:$E$501&lt;$H34)," ")))</f>
        <v xml:space="preserve"> </v>
      </c>
      <c r="M34" t="str" cm="1">
        <f t="array" ref="M34">_xlfn.TEXTJOIN(",",TRUE,(_xlfn._xlws.FILTER($A$2:$A$501,($D$2:$D$501&gt;=N$7)*($D$2:$D$501&lt;M$7)*($E$2:$E$501&gt;=$H35)*($E$2:$E$501&lt;$H34)," ")))</f>
        <v xml:space="preserve"> </v>
      </c>
      <c r="N34" t="str" cm="1">
        <f t="array" ref="N34">_xlfn.TEXTJOIN(",",TRUE,(_xlfn._xlws.FILTER($A$2:$A$501,($D$2:$D$501&gt;=O$7)*($D$2:$D$501&lt;N$7)*($E$2:$E$501&gt;=$H35)*($E$2:$E$501&lt;$H34)," ")))</f>
        <v xml:space="preserve"> </v>
      </c>
      <c r="O34" t="str" cm="1">
        <f t="array" ref="O34">_xlfn.TEXTJOIN(",",TRUE,(_xlfn._xlws.FILTER($A$2:$A$501,($D$2:$D$501&gt;=P$7)*($D$2:$D$501&lt;O$7)*($E$2:$E$501&gt;=$H35)*($E$2:$E$501&lt;$H34)," ")))</f>
        <v xml:space="preserve"> </v>
      </c>
      <c r="P34" t="str" cm="1">
        <f t="array" ref="P34">_xlfn.TEXTJOIN(",",TRUE,(_xlfn._xlws.FILTER($A$2:$A$501,($D$2:$D$501&gt;=Q$7)*($D$2:$D$501&lt;P$7)*($E$2:$E$501&gt;=$H35)*($E$2:$E$501&lt;$H34)," ")))</f>
        <v xml:space="preserve"> </v>
      </c>
      <c r="Q34" t="str" cm="1">
        <f t="array" ref="Q34">_xlfn.TEXTJOIN(",",TRUE,(_xlfn._xlws.FILTER($A$2:$A$501,($D$2:$D$501&gt;=R$7)*($D$2:$D$501&lt;Q$7)*($E$2:$E$501&gt;=$H35)*($E$2:$E$501&lt;$H34)," ")))</f>
        <v xml:space="preserve"> </v>
      </c>
      <c r="R34" t="str" cm="1">
        <f t="array" ref="R34">_xlfn.TEXTJOIN(",",TRUE,(_xlfn._xlws.FILTER($A$2:$A$501,($D$2:$D$501&gt;=S$7)*($D$2:$D$501&lt;R$7)*($E$2:$E$501&gt;=$H35)*($E$2:$E$501&lt;$H34)," ")))</f>
        <v xml:space="preserve"> </v>
      </c>
      <c r="S34" t="str" cm="1">
        <f t="array" ref="S34">_xlfn.TEXTJOIN(",",TRUE,(_xlfn._xlws.FILTER($A$2:$A$501,($D$2:$D$501&gt;=T$7)*($D$2:$D$501&lt;S$7)*($E$2:$E$501&gt;=$H35)*($E$2:$E$501&lt;$H34)," ")))</f>
        <v xml:space="preserve"> </v>
      </c>
      <c r="T34" t="str" cm="1">
        <f t="array" ref="T34">_xlfn.TEXTJOIN(",",TRUE,(_xlfn._xlws.FILTER($A$2:$A$501,($D$2:$D$501&gt;=U$7)*($D$2:$D$501&lt;T$7)*($E$2:$E$501&gt;=$H35)*($E$2:$E$501&lt;$H34)," ")))</f>
        <v xml:space="preserve"> </v>
      </c>
      <c r="U34" t="str" cm="1">
        <f t="array" ref="U34">_xlfn.TEXTJOIN(",",TRUE,(_xlfn._xlws.FILTER($A$2:$A$501,($D$2:$D$501&gt;=V$7)*($D$2:$D$501&lt;U$7)*($E$2:$E$501&gt;=$H35)*($E$2:$E$501&lt;$H34)," ")))</f>
        <v xml:space="preserve"> </v>
      </c>
      <c r="V34" t="str" cm="1">
        <f t="array" ref="V34">_xlfn.TEXTJOIN(",",TRUE,(_xlfn._xlws.FILTER($A$2:$A$501,($D$2:$D$501&gt;=W$7)*($D$2:$D$501&lt;V$7)*($E$2:$E$501&gt;=$H35)*($E$2:$E$501&lt;$H34)," ")))</f>
        <v xml:space="preserve"> </v>
      </c>
      <c r="W34" t="str" cm="1">
        <f t="array" ref="W34">_xlfn.TEXTJOIN(",",TRUE,(_xlfn._xlws.FILTER($A$2:$A$501,($D$2:$D$501&gt;=X$7)*($D$2:$D$501&lt;W$7)*($E$2:$E$501&gt;=$H35)*($E$2:$E$501&lt;$H34)," ")))</f>
        <v xml:space="preserve"> </v>
      </c>
      <c r="X34" t="str" cm="1">
        <f t="array" ref="X34">_xlfn.TEXTJOIN(",",TRUE,(_xlfn._xlws.FILTER($A$2:$A$501,($D$2:$D$501&gt;=Y$7)*($D$2:$D$501&lt;X$7)*($E$2:$E$501&gt;=$H35)*($E$2:$E$501&lt;$H34)," ")))</f>
        <v xml:space="preserve"> </v>
      </c>
      <c r="Y34" t="str" cm="1">
        <f t="array" ref="Y34">_xlfn.TEXTJOIN(",",TRUE,(_xlfn._xlws.FILTER($A$2:$A$501,($D$2:$D$501&gt;=Z$7)*($D$2:$D$501&lt;Y$7)*($E$2:$E$501&gt;=$H35)*($E$2:$E$501&lt;$H34)," ")))</f>
        <v xml:space="preserve"> </v>
      </c>
      <c r="Z34" t="str" cm="1">
        <f t="array" ref="Z34">_xlfn.TEXTJOIN(",",TRUE,(_xlfn._xlws.FILTER($A$2:$A$501,($D$2:$D$501&gt;=AA$7)*($D$2:$D$501&lt;Z$7)*($E$2:$E$501&gt;=$H35)*($E$2:$E$501&lt;$H34)," ")))</f>
        <v xml:space="preserve"> </v>
      </c>
      <c r="AA34" t="str" cm="1">
        <f t="array" ref="AA34">_xlfn.TEXTJOIN(",",TRUE,(_xlfn._xlws.FILTER($A$2:$A$501,($D$2:$D$501&gt;=AB$7)*($D$2:$D$501&lt;AA$7)*($E$2:$E$501&gt;=$H35)*($E$2:$E$501&lt;$H34)," ")))</f>
        <v xml:space="preserve"> </v>
      </c>
      <c r="AB34" t="str" cm="1">
        <f t="array" ref="AB34">_xlfn.TEXTJOIN(",",TRUE,(_xlfn._xlws.FILTER($A$2:$A$501,($D$2:$D$501&gt;=AC$7)*($D$2:$D$501&lt;AB$7)*($E$2:$E$501&gt;=$H35)*($E$2:$E$501&lt;$H34)," ")))</f>
        <v>Steelton-Highspire SD</v>
      </c>
      <c r="AC34" t="str" cm="1">
        <f t="array" ref="AC34">_xlfn.TEXTJOIN(",",TRUE,(_xlfn._xlws.FILTER($A$2:$A$501,($D$2:$D$501&gt;=AD$7)*($D$2:$D$501&lt;AC$7)*($E$2:$E$501&gt;=$H35)*($E$2:$E$501&lt;$H34)," ")))</f>
        <v xml:space="preserve"> </v>
      </c>
      <c r="AD34" t="str" cm="1">
        <f t="array" ref="AD34">_xlfn.TEXTJOIN(",",TRUE,(_xlfn._xlws.FILTER($A$2:$A$501,($D$2:$D$501&gt;=AE$7)*($D$2:$D$501&lt;AD$7)*($E$2:$E$501&gt;=$H35)*($E$2:$E$501&lt;$H34)," ")))</f>
        <v xml:space="preserve"> </v>
      </c>
      <c r="AE34" t="str" cm="1">
        <f t="array" ref="AE34">_xlfn.TEXTJOIN(",",TRUE,(_xlfn._xlws.FILTER($A$2:$A$501,($D$2:$D$501&gt;=AF$7)*($D$2:$D$501&lt;AE$7)*($E$2:$E$501&gt;=$H35)*($E$2:$E$501&lt;$H34)," ")))</f>
        <v xml:space="preserve"> </v>
      </c>
      <c r="AF34" t="str" cm="1">
        <f t="array" ref="AF34">_xlfn.TEXTJOIN(",",TRUE,(_xlfn._xlws.FILTER($A$2:$A$501,($D$2:$D$501&gt;=AG$7)*($D$2:$D$501&lt;AF$7)*($E$2:$E$501&gt;=$H35)*($E$2:$E$501&lt;$H34)," ")))</f>
        <v xml:space="preserve"> </v>
      </c>
      <c r="AG34" t="str" cm="1">
        <f t="array" ref="AG34">_xlfn.TEXTJOIN(",",TRUE,(_xlfn._xlws.FILTER($A$2:$A$501,($D$2:$D$501&gt;=AH$7)*($D$2:$D$501&lt;AG$7)*($E$2:$E$501&gt;=$H35)*($E$2:$E$501&lt;$H34)," ")))</f>
        <v xml:space="preserve"> </v>
      </c>
      <c r="AH34" t="str" cm="1">
        <f t="array" ref="AH34">_xlfn.TEXTJOIN(",",TRUE,(_xlfn._xlws.FILTER($A$2:$A$501,($D$2:$D$501&gt;=AI$7)*($D$2:$D$501&lt;AH$7)*($E$2:$E$501&gt;=$H35)*($E$2:$E$501&lt;$H34)," ")))</f>
        <v xml:space="preserve"> </v>
      </c>
      <c r="AI34" t="str" cm="1">
        <f t="array" ref="AI34">_xlfn.TEXTJOIN(",",TRUE,(_xlfn._xlws.FILTER($A$2:$A$501,($D$2:$D$501&gt;=AJ$7)*($D$2:$D$501&lt;AI$7)*($E$2:$E$501&gt;=$H35)*($E$2:$E$501&lt;$H34)," ")))</f>
        <v xml:space="preserve"> </v>
      </c>
      <c r="AJ34" t="str" cm="1">
        <f t="array" ref="AJ34">_xlfn.TEXTJOIN(",",TRUE,(_xlfn._xlws.FILTER($A$2:$A$501,($D$2:$D$501&gt;=AK$7)*($D$2:$D$501&lt;AJ$7)*($E$2:$E$501&gt;=$H35)*($E$2:$E$501&lt;$H34)," ")))</f>
        <v xml:space="preserve"> </v>
      </c>
      <c r="AK34" t="str" cm="1">
        <f t="array" ref="AK34">_xlfn.TEXTJOIN(",",TRUE,(_xlfn._xlws.FILTER($A$2:$A$501,($D$2:$D$501&gt;=AL$7)*($D$2:$D$501&lt;AK$7)*($E$2:$E$501&gt;=$H35)*($E$2:$E$501&lt;$H34)," ")))</f>
        <v xml:space="preserve"> </v>
      </c>
      <c r="AL34" t="str" cm="1">
        <f t="array" ref="AL34">_xlfn.TEXTJOIN(",",TRUE,(_xlfn._xlws.FILTER($A$2:$A$501,($D$2:$D$501&gt;=AM$7)*($D$2:$D$501&lt;AL$7)*($E$2:$E$501&gt;=$H35)*($E$2:$E$501&lt;$H34)," ")))</f>
        <v xml:space="preserve"> </v>
      </c>
      <c r="AM34" t="str" cm="1">
        <f t="array" ref="AM34">_xlfn.TEXTJOIN(",",TRUE,(_xlfn._xlws.FILTER($A$2:$A$501,($D$2:$D$501&gt;=AN$7)*($D$2:$D$501&lt;AM$7)*($E$2:$E$501&gt;=$H35)*($E$2:$E$501&lt;$H34)," ")))</f>
        <v xml:space="preserve"> </v>
      </c>
      <c r="AN34" t="str" cm="1">
        <f t="array" ref="AN34">_xlfn.TEXTJOIN(",",TRUE,(_xlfn._xlws.FILTER($A$2:$A$501,($D$2:$D$501&gt;=AO$7)*($D$2:$D$501&lt;AN$7)*($E$2:$E$501&gt;=$H35)*($E$2:$E$501&lt;$H34)," ")))</f>
        <v xml:space="preserve"> </v>
      </c>
      <c r="AO34" t="str" cm="1">
        <f t="array" ref="AO34">_xlfn.TEXTJOIN(",",TRUE,(_xlfn._xlws.FILTER($A$2:$A$501,($D$2:$D$501&gt;=AP$7)*($D$2:$D$501&lt;AO$7)*($E$2:$E$501&gt;=$H35)*($E$2:$E$501&lt;$H34)," ")))</f>
        <v xml:space="preserve"> </v>
      </c>
      <c r="AP34" t="str" cm="1">
        <f t="array" ref="AP34">_xlfn.TEXTJOIN(",",TRUE,(_xlfn._xlws.FILTER($A$2:$A$501,($D$2:$D$501&gt;=AQ$7)*($D$2:$D$501&lt;AP$7)*($E$2:$E$501&gt;=$H35)*($E$2:$E$501&lt;$H34)," ")))</f>
        <v xml:space="preserve"> </v>
      </c>
      <c r="AQ34" t="str" cm="1">
        <f t="array" ref="AQ34">_xlfn.TEXTJOIN(",",TRUE,(_xlfn._xlws.FILTER($A$2:$A$501,($D$2:$D$501&gt;=AR$7)*($D$2:$D$501&lt;AQ$7)*($E$2:$E$501&gt;=$H35)*($E$2:$E$501&lt;$H34)," ")))</f>
        <v xml:space="preserve"> </v>
      </c>
      <c r="AR34" t="str" cm="1">
        <f t="array" ref="AR34">_xlfn.TEXTJOIN(",",TRUE,(_xlfn._xlws.FILTER($A$2:$A$501,($D$2:$D$501&gt;=AS$7)*($D$2:$D$501&lt;AR$7)*($E$2:$E$501&gt;=$H35)*($E$2:$E$501&lt;$H34)," ")))</f>
        <v xml:space="preserve"> </v>
      </c>
      <c r="AS34" t="str" cm="1">
        <f t="array" ref="AS34">_xlfn.TEXTJOIN(",",TRUE,(_xlfn._xlws.FILTER($A$2:$A$501,($D$2:$D$501&gt;=AT$7)*($D$2:$D$501&lt;AS$7)*($E$2:$E$501&gt;=$H35)*($E$2:$E$501&lt;$H34)," ")))</f>
        <v xml:space="preserve"> </v>
      </c>
      <c r="AT34" t="str" cm="1">
        <f t="array" ref="AT34">_xlfn.TEXTJOIN(",",TRUE,(_xlfn._xlws.FILTER($A$2:$A$501,($D$2:$D$501&gt;=AU$7)*($D$2:$D$501&lt;AT$7)*($E$2:$E$501&gt;=$H35)*($E$2:$E$501&lt;$H34)," ")))</f>
        <v xml:space="preserve"> </v>
      </c>
      <c r="AU34" t="str" cm="1">
        <f t="array" ref="AU34">_xlfn.TEXTJOIN(",",TRUE,(_xlfn._xlws.FILTER($A$2:$A$501,($D$2:$D$501&gt;=AV$7)*($D$2:$D$501&lt;AU$7)*($E$2:$E$501&gt;=$H35)*($E$2:$E$501&lt;$H34)," ")))</f>
        <v xml:space="preserve"> </v>
      </c>
      <c r="AV34" t="str" cm="1">
        <f t="array" ref="AV34">_xlfn.TEXTJOIN(",",TRUE,(_xlfn._xlws.FILTER($A$2:$A$501,($D$2:$D$501&gt;=AW$7)*($D$2:$D$501&lt;AV$7)*($E$2:$E$501&gt;=$H35)*($E$2:$E$501&lt;$H34)," ")))</f>
        <v xml:space="preserve"> </v>
      </c>
      <c r="AW34" t="str" cm="1">
        <f t="array" ref="AW34">_xlfn.TEXTJOIN(",",TRUE,(_xlfn._xlws.FILTER($A$2:$A$501,($D$2:$D$501&gt;=AX$7)*($D$2:$D$501&lt;AW$7)*($E$2:$E$501&gt;=$H35)*($E$2:$E$501&lt;$H34)," ")))</f>
        <v xml:space="preserve"> </v>
      </c>
      <c r="AX34" t="str" cm="1">
        <f t="array" ref="AX34">_xlfn.TEXTJOIN(",",TRUE,(_xlfn._xlws.FILTER($A$2:$A$501,($D$2:$D$501&gt;=AY$7)*($D$2:$D$501&lt;AX$7)*($E$2:$E$501&gt;=$H35)*($E$2:$E$501&lt;$H34)," ")))</f>
        <v xml:space="preserve"> </v>
      </c>
      <c r="AY34" t="str" cm="1">
        <f t="array" ref="AY34">_xlfn.TEXTJOIN(",",TRUE,(_xlfn._xlws.FILTER($A$2:$A$501,($D$2:$D$501&gt;=AZ$7)*($D$2:$D$501&lt;AY$7)*($E$2:$E$501&gt;=$H35)*($E$2:$E$501&lt;$H34)," ")))</f>
        <v xml:space="preserve"> </v>
      </c>
      <c r="AZ34" t="str" cm="1">
        <f t="array" ref="AZ34">_xlfn.TEXTJOIN(",",TRUE,(_xlfn._xlws.FILTER($A$2:$A$501,($D$2:$D$501&gt;=BA$7)*($D$2:$D$501&lt;AZ$7)*($E$2:$E$501&gt;=$H35)*($E$2:$E$501&lt;$H34)," ")))</f>
        <v xml:space="preserve"> </v>
      </c>
      <c r="BA34" t="str" cm="1">
        <f t="array" ref="BA34">_xlfn.TEXTJOIN(",",TRUE,(_xlfn._xlws.FILTER($A$2:$A$501,($D$2:$D$501&gt;=BB$7)*($D$2:$D$501&lt;BA$7)*($E$2:$E$501&gt;=$H35)*($E$2:$E$501&lt;$H34)," ")))</f>
        <v xml:space="preserve"> </v>
      </c>
      <c r="BB34" t="str" cm="1">
        <f t="array" ref="BB34">_xlfn.TEXTJOIN(",",TRUE,(_xlfn._xlws.FILTER($A$2:$A$501,($D$2:$D$501&gt;=BC$7)*($D$2:$D$501&lt;BB$7)*($E$2:$E$501&gt;=$H35)*($E$2:$E$501&lt;$H34)," ")))</f>
        <v xml:space="preserve"> </v>
      </c>
    </row>
    <row r="35" spans="1:54" x14ac:dyDescent="0.2">
      <c r="A35" s="3" t="s">
        <v>464</v>
      </c>
      <c r="B35" s="3" t="s">
        <v>463</v>
      </c>
      <c r="C35" s="13">
        <v>1454394.36</v>
      </c>
      <c r="D35" s="15">
        <v>25340867.84</v>
      </c>
      <c r="E35" s="22">
        <f>TuitionRates3[[#This Row],[Tuition]]/D35</f>
        <v>5.7393234090596962E-2</v>
      </c>
      <c r="F35"/>
      <c r="H35" s="18">
        <v>0.123</v>
      </c>
      <c r="I35" t="str" cm="1">
        <f t="array" ref="I35">_xlfn.TEXTJOIN(",",TRUE,(_xlfn._xlws.FILTER($A$2:$A$501,($D$2:$D$501&gt;=J$7)*($D$2:$D$501&lt;I$7)*($E$2:$E$501&gt;=$H36)*($E$2:$E$501&lt;$H35)," ")))</f>
        <v xml:space="preserve"> </v>
      </c>
      <c r="J35" t="str" cm="1">
        <f t="array" ref="J35">_xlfn.TEXTJOIN(",",TRUE,(_xlfn._xlws.FILTER($A$2:$A$501,($D$2:$D$501&gt;=K$7)*($D$2:$D$501&lt;J$7)*($E$2:$E$501&gt;=$H36)*($E$2:$E$501&lt;$H35)," ")))</f>
        <v xml:space="preserve"> </v>
      </c>
      <c r="K35" t="str" cm="1">
        <f t="array" ref="K35">_xlfn.TEXTJOIN(",",TRUE,(_xlfn._xlws.FILTER($A$2:$A$501,($D$2:$D$501&gt;=L$7)*($D$2:$D$501&lt;K$7)*($E$2:$E$501&gt;=$H36)*($E$2:$E$501&lt;$H35)," ")))</f>
        <v xml:space="preserve"> </v>
      </c>
      <c r="L35" t="str" cm="1">
        <f t="array" ref="L35">_xlfn.TEXTJOIN(",",TRUE,(_xlfn._xlws.FILTER($A$2:$A$501,($D$2:$D$501&gt;=M$7)*($D$2:$D$501&lt;L$7)*($E$2:$E$501&gt;=$H36)*($E$2:$E$501&lt;$H35)," ")))</f>
        <v xml:space="preserve"> </v>
      </c>
      <c r="M35" t="str" cm="1">
        <f t="array" ref="M35">_xlfn.TEXTJOIN(",",TRUE,(_xlfn._xlws.FILTER($A$2:$A$501,($D$2:$D$501&gt;=N$7)*($D$2:$D$501&lt;M$7)*($E$2:$E$501&gt;=$H36)*($E$2:$E$501&lt;$H35)," ")))</f>
        <v xml:space="preserve"> </v>
      </c>
      <c r="N35" t="str" cm="1">
        <f t="array" ref="N35">_xlfn.TEXTJOIN(",",TRUE,(_xlfn._xlws.FILTER($A$2:$A$501,($D$2:$D$501&gt;=O$7)*($D$2:$D$501&lt;N$7)*($E$2:$E$501&gt;=$H36)*($E$2:$E$501&lt;$H35)," ")))</f>
        <v xml:space="preserve"> </v>
      </c>
      <c r="O35" t="str" cm="1">
        <f t="array" ref="O35">_xlfn.TEXTJOIN(",",TRUE,(_xlfn._xlws.FILTER($A$2:$A$501,($D$2:$D$501&gt;=P$7)*($D$2:$D$501&lt;O$7)*($E$2:$E$501&gt;=$H36)*($E$2:$E$501&lt;$H35)," ")))</f>
        <v xml:space="preserve"> </v>
      </c>
      <c r="P35" t="str" cm="1">
        <f t="array" ref="P35">_xlfn.TEXTJOIN(",",TRUE,(_xlfn._xlws.FILTER($A$2:$A$501,($D$2:$D$501&gt;=Q$7)*($D$2:$D$501&lt;P$7)*($E$2:$E$501&gt;=$H36)*($E$2:$E$501&lt;$H35)," ")))</f>
        <v xml:space="preserve"> </v>
      </c>
      <c r="Q35" t="str" cm="1">
        <f t="array" ref="Q35">_xlfn.TEXTJOIN(",",TRUE,(_xlfn._xlws.FILTER($A$2:$A$501,($D$2:$D$501&gt;=R$7)*($D$2:$D$501&lt;Q$7)*($E$2:$E$501&gt;=$H36)*($E$2:$E$501&lt;$H35)," ")))</f>
        <v xml:space="preserve"> </v>
      </c>
      <c r="R35" t="str" cm="1">
        <f t="array" ref="R35">_xlfn.TEXTJOIN(",",TRUE,(_xlfn._xlws.FILTER($A$2:$A$501,($D$2:$D$501&gt;=S$7)*($D$2:$D$501&lt;R$7)*($E$2:$E$501&gt;=$H36)*($E$2:$E$501&lt;$H35)," ")))</f>
        <v xml:space="preserve"> </v>
      </c>
      <c r="S35" t="str" cm="1">
        <f t="array" ref="S35">_xlfn.TEXTJOIN(",",TRUE,(_xlfn._xlws.FILTER($A$2:$A$501,($D$2:$D$501&gt;=T$7)*($D$2:$D$501&lt;S$7)*($E$2:$E$501&gt;=$H36)*($E$2:$E$501&lt;$H35)," ")))</f>
        <v xml:space="preserve"> </v>
      </c>
      <c r="T35" t="str" cm="1">
        <f t="array" ref="T35">_xlfn.TEXTJOIN(",",TRUE,(_xlfn._xlws.FILTER($A$2:$A$501,($D$2:$D$501&gt;=U$7)*($D$2:$D$501&lt;T$7)*($E$2:$E$501&gt;=$H36)*($E$2:$E$501&lt;$H35)," ")))</f>
        <v xml:space="preserve"> </v>
      </c>
      <c r="U35" t="str" cm="1">
        <f t="array" ref="U35">_xlfn.TEXTJOIN(",",TRUE,(_xlfn._xlws.FILTER($A$2:$A$501,($D$2:$D$501&gt;=V$7)*($D$2:$D$501&lt;U$7)*($E$2:$E$501&gt;=$H36)*($E$2:$E$501&lt;$H35)," ")))</f>
        <v xml:space="preserve"> </v>
      </c>
      <c r="V35" t="str" cm="1">
        <f t="array" ref="V35">_xlfn.TEXTJOIN(",",TRUE,(_xlfn._xlws.FILTER($A$2:$A$501,($D$2:$D$501&gt;=W$7)*($D$2:$D$501&lt;V$7)*($E$2:$E$501&gt;=$H36)*($E$2:$E$501&lt;$H35)," ")))</f>
        <v xml:space="preserve"> </v>
      </c>
      <c r="W35" t="str" cm="1">
        <f t="array" ref="W35">_xlfn.TEXTJOIN(",",TRUE,(_xlfn._xlws.FILTER($A$2:$A$501,($D$2:$D$501&gt;=X$7)*($D$2:$D$501&lt;W$7)*($E$2:$E$501&gt;=$H36)*($E$2:$E$501&lt;$H35)," ")))</f>
        <v xml:space="preserve"> </v>
      </c>
      <c r="X35" t="str" cm="1">
        <f t="array" ref="X35">_xlfn.TEXTJOIN(",",TRUE,(_xlfn._xlws.FILTER($A$2:$A$501,($D$2:$D$501&gt;=Y$7)*($D$2:$D$501&lt;X$7)*($E$2:$E$501&gt;=$H36)*($E$2:$E$501&lt;$H35)," ")))</f>
        <v xml:space="preserve"> </v>
      </c>
      <c r="Y35" t="str" cm="1">
        <f t="array" ref="Y35">_xlfn.TEXTJOIN(",",TRUE,(_xlfn._xlws.FILTER($A$2:$A$501,($D$2:$D$501&gt;=Z$7)*($D$2:$D$501&lt;Y$7)*($E$2:$E$501&gt;=$H36)*($E$2:$E$501&lt;$H35)," ")))</f>
        <v xml:space="preserve"> </v>
      </c>
      <c r="Z35" t="str" cm="1">
        <f t="array" ref="Z35">_xlfn.TEXTJOIN(",",TRUE,(_xlfn._xlws.FILTER($A$2:$A$501,($D$2:$D$501&gt;=AA$7)*($D$2:$D$501&lt;Z$7)*($E$2:$E$501&gt;=$H36)*($E$2:$E$501&lt;$H35)," ")))</f>
        <v xml:space="preserve"> </v>
      </c>
      <c r="AA35" t="str" cm="1">
        <f t="array" ref="AA35">_xlfn.TEXTJOIN(",",TRUE,(_xlfn._xlws.FILTER($A$2:$A$501,($D$2:$D$501&gt;=AB$7)*($D$2:$D$501&lt;AA$7)*($E$2:$E$501&gt;=$H36)*($E$2:$E$501&lt;$H35)," ")))</f>
        <v xml:space="preserve"> </v>
      </c>
      <c r="AB35" t="str" cm="1">
        <f t="array" ref="AB35">_xlfn.TEXTJOIN(",",TRUE,(_xlfn._xlws.FILTER($A$2:$A$501,($D$2:$D$501&gt;=AC$7)*($D$2:$D$501&lt;AB$7)*($E$2:$E$501&gt;=$H36)*($E$2:$E$501&lt;$H35)," ")))</f>
        <v xml:space="preserve"> </v>
      </c>
      <c r="AC35" t="str" cm="1">
        <f t="array" ref="AC35">_xlfn.TEXTJOIN(",",TRUE,(_xlfn._xlws.FILTER($A$2:$A$501,($D$2:$D$501&gt;=AD$7)*($D$2:$D$501&lt;AC$7)*($E$2:$E$501&gt;=$H36)*($E$2:$E$501&lt;$H35)," ")))</f>
        <v xml:space="preserve"> </v>
      </c>
      <c r="AD35" t="str" cm="1">
        <f t="array" ref="AD35">_xlfn.TEXTJOIN(",",TRUE,(_xlfn._xlws.FILTER($A$2:$A$501,($D$2:$D$501&gt;=AE$7)*($D$2:$D$501&lt;AD$7)*($E$2:$E$501&gt;=$H36)*($E$2:$E$501&lt;$H35)," ")))</f>
        <v xml:space="preserve"> </v>
      </c>
      <c r="AE35" t="str" cm="1">
        <f t="array" ref="AE35">_xlfn.TEXTJOIN(",",TRUE,(_xlfn._xlws.FILTER($A$2:$A$501,($D$2:$D$501&gt;=AF$7)*($D$2:$D$501&lt;AE$7)*($E$2:$E$501&gt;=$H36)*($E$2:$E$501&lt;$H35)," ")))</f>
        <v xml:space="preserve"> </v>
      </c>
      <c r="AF35" t="str" cm="1">
        <f t="array" ref="AF35">_xlfn.TEXTJOIN(",",TRUE,(_xlfn._xlws.FILTER($A$2:$A$501,($D$2:$D$501&gt;=AG$7)*($D$2:$D$501&lt;AF$7)*($E$2:$E$501&gt;=$H36)*($E$2:$E$501&lt;$H35)," ")))</f>
        <v xml:space="preserve"> </v>
      </c>
      <c r="AG35" t="str" cm="1">
        <f t="array" ref="AG35">_xlfn.TEXTJOIN(",",TRUE,(_xlfn._xlws.FILTER($A$2:$A$501,($D$2:$D$501&gt;=AH$7)*($D$2:$D$501&lt;AG$7)*($E$2:$E$501&gt;=$H36)*($E$2:$E$501&lt;$H35)," ")))</f>
        <v xml:space="preserve"> </v>
      </c>
      <c r="AH35" t="str" cm="1">
        <f t="array" ref="AH35">_xlfn.TEXTJOIN(",",TRUE,(_xlfn._xlws.FILTER($A$2:$A$501,($D$2:$D$501&gt;=AI$7)*($D$2:$D$501&lt;AH$7)*($E$2:$E$501&gt;=$H36)*($E$2:$E$501&lt;$H35)," ")))</f>
        <v xml:space="preserve"> </v>
      </c>
      <c r="AI35" t="str" cm="1">
        <f t="array" ref="AI35">_xlfn.TEXTJOIN(",",TRUE,(_xlfn._xlws.FILTER($A$2:$A$501,($D$2:$D$501&gt;=AJ$7)*($D$2:$D$501&lt;AI$7)*($E$2:$E$501&gt;=$H36)*($E$2:$E$501&lt;$H35)," ")))</f>
        <v xml:space="preserve"> </v>
      </c>
      <c r="AJ35" t="str" cm="1">
        <f t="array" ref="AJ35">_xlfn.TEXTJOIN(",",TRUE,(_xlfn._xlws.FILTER($A$2:$A$501,($D$2:$D$501&gt;=AK$7)*($D$2:$D$501&lt;AJ$7)*($E$2:$E$501&gt;=$H36)*($E$2:$E$501&lt;$H35)," ")))</f>
        <v xml:space="preserve"> </v>
      </c>
      <c r="AK35" t="str" cm="1">
        <f t="array" ref="AK35">_xlfn.TEXTJOIN(",",TRUE,(_xlfn._xlws.FILTER($A$2:$A$501,($D$2:$D$501&gt;=AL$7)*($D$2:$D$501&lt;AK$7)*($E$2:$E$501&gt;=$H36)*($E$2:$E$501&lt;$H35)," ")))</f>
        <v xml:space="preserve"> </v>
      </c>
      <c r="AL35" t="str" cm="1">
        <f t="array" ref="AL35">_xlfn.TEXTJOIN(",",TRUE,(_xlfn._xlws.FILTER($A$2:$A$501,($D$2:$D$501&gt;=AM$7)*($D$2:$D$501&lt;AL$7)*($E$2:$E$501&gt;=$H36)*($E$2:$E$501&lt;$H35)," ")))</f>
        <v xml:space="preserve"> </v>
      </c>
      <c r="AM35" t="str" cm="1">
        <f t="array" ref="AM35">_xlfn.TEXTJOIN(",",TRUE,(_xlfn._xlws.FILTER($A$2:$A$501,($D$2:$D$501&gt;=AN$7)*($D$2:$D$501&lt;AM$7)*($E$2:$E$501&gt;=$H36)*($E$2:$E$501&lt;$H35)," ")))</f>
        <v xml:space="preserve"> </v>
      </c>
      <c r="AN35" t="str" cm="1">
        <f t="array" ref="AN35">_xlfn.TEXTJOIN(",",TRUE,(_xlfn._xlws.FILTER($A$2:$A$501,($D$2:$D$501&gt;=AO$7)*($D$2:$D$501&lt;AN$7)*($E$2:$E$501&gt;=$H36)*($E$2:$E$501&lt;$H35)," ")))</f>
        <v xml:space="preserve"> </v>
      </c>
      <c r="AO35" t="str" cm="1">
        <f t="array" ref="AO35">_xlfn.TEXTJOIN(",",TRUE,(_xlfn._xlws.FILTER($A$2:$A$501,($D$2:$D$501&gt;=AP$7)*($D$2:$D$501&lt;AO$7)*($E$2:$E$501&gt;=$H36)*($E$2:$E$501&lt;$H35)," ")))</f>
        <v xml:space="preserve"> </v>
      </c>
      <c r="AP35" t="str" cm="1">
        <f t="array" ref="AP35">_xlfn.TEXTJOIN(",",TRUE,(_xlfn._xlws.FILTER($A$2:$A$501,($D$2:$D$501&gt;=AQ$7)*($D$2:$D$501&lt;AP$7)*($E$2:$E$501&gt;=$H36)*($E$2:$E$501&lt;$H35)," ")))</f>
        <v xml:space="preserve"> </v>
      </c>
      <c r="AQ35" t="str" cm="1">
        <f t="array" ref="AQ35">_xlfn.TEXTJOIN(",",TRUE,(_xlfn._xlws.FILTER($A$2:$A$501,($D$2:$D$501&gt;=AR$7)*($D$2:$D$501&lt;AQ$7)*($E$2:$E$501&gt;=$H36)*($E$2:$E$501&lt;$H35)," ")))</f>
        <v xml:space="preserve"> </v>
      </c>
      <c r="AR35" t="str" cm="1">
        <f t="array" ref="AR35">_xlfn.TEXTJOIN(",",TRUE,(_xlfn._xlws.FILTER($A$2:$A$501,($D$2:$D$501&gt;=AS$7)*($D$2:$D$501&lt;AR$7)*($E$2:$E$501&gt;=$H36)*($E$2:$E$501&lt;$H35)," ")))</f>
        <v xml:space="preserve"> </v>
      </c>
      <c r="AS35" t="str" cm="1">
        <f t="array" ref="AS35">_xlfn.TEXTJOIN(",",TRUE,(_xlfn._xlws.FILTER($A$2:$A$501,($D$2:$D$501&gt;=AT$7)*($D$2:$D$501&lt;AS$7)*($E$2:$E$501&gt;=$H36)*($E$2:$E$501&lt;$H35)," ")))</f>
        <v xml:space="preserve"> </v>
      </c>
      <c r="AT35" t="str" cm="1">
        <f t="array" ref="AT35">_xlfn.TEXTJOIN(",",TRUE,(_xlfn._xlws.FILTER($A$2:$A$501,($D$2:$D$501&gt;=AU$7)*($D$2:$D$501&lt;AT$7)*($E$2:$E$501&gt;=$H36)*($E$2:$E$501&lt;$H35)," ")))</f>
        <v xml:space="preserve"> </v>
      </c>
      <c r="AU35" t="str" cm="1">
        <f t="array" ref="AU35">_xlfn.TEXTJOIN(",",TRUE,(_xlfn._xlws.FILTER($A$2:$A$501,($D$2:$D$501&gt;=AV$7)*($D$2:$D$501&lt;AU$7)*($E$2:$E$501&gt;=$H36)*($E$2:$E$501&lt;$H35)," ")))</f>
        <v xml:space="preserve"> </v>
      </c>
      <c r="AV35" t="str" cm="1">
        <f t="array" ref="AV35">_xlfn.TEXTJOIN(",",TRUE,(_xlfn._xlws.FILTER($A$2:$A$501,($D$2:$D$501&gt;=AW$7)*($D$2:$D$501&lt;AV$7)*($E$2:$E$501&gt;=$H36)*($E$2:$E$501&lt;$H35)," ")))</f>
        <v xml:space="preserve"> </v>
      </c>
      <c r="AW35" t="str" cm="1">
        <f t="array" ref="AW35">_xlfn.TEXTJOIN(",",TRUE,(_xlfn._xlws.FILTER($A$2:$A$501,($D$2:$D$501&gt;=AX$7)*($D$2:$D$501&lt;AW$7)*($E$2:$E$501&gt;=$H36)*($E$2:$E$501&lt;$H35)," ")))</f>
        <v xml:space="preserve"> </v>
      </c>
      <c r="AX35" t="str" cm="1">
        <f t="array" ref="AX35">_xlfn.TEXTJOIN(",",TRUE,(_xlfn._xlws.FILTER($A$2:$A$501,($D$2:$D$501&gt;=AY$7)*($D$2:$D$501&lt;AX$7)*($E$2:$E$501&gt;=$H36)*($E$2:$E$501&lt;$H35)," ")))</f>
        <v xml:space="preserve"> </v>
      </c>
      <c r="AY35" t="str" cm="1">
        <f t="array" ref="AY35">_xlfn.TEXTJOIN(",",TRUE,(_xlfn._xlws.FILTER($A$2:$A$501,($D$2:$D$501&gt;=AZ$7)*($D$2:$D$501&lt;AY$7)*($E$2:$E$501&gt;=$H36)*($E$2:$E$501&lt;$H35)," ")))</f>
        <v xml:space="preserve"> </v>
      </c>
      <c r="AZ35" t="str" cm="1">
        <f t="array" ref="AZ35">_xlfn.TEXTJOIN(",",TRUE,(_xlfn._xlws.FILTER($A$2:$A$501,($D$2:$D$501&gt;=BA$7)*($D$2:$D$501&lt;AZ$7)*($E$2:$E$501&gt;=$H36)*($E$2:$E$501&lt;$H35)," ")))</f>
        <v xml:space="preserve"> </v>
      </c>
      <c r="BA35" t="str" cm="1">
        <f t="array" ref="BA35">_xlfn.TEXTJOIN(",",TRUE,(_xlfn._xlws.FILTER($A$2:$A$501,($D$2:$D$501&gt;=BB$7)*($D$2:$D$501&lt;BA$7)*($E$2:$E$501&gt;=$H36)*($E$2:$E$501&lt;$H35)," ")))</f>
        <v xml:space="preserve"> </v>
      </c>
      <c r="BB35" t="str" cm="1">
        <f t="array" ref="BB35">_xlfn.TEXTJOIN(",",TRUE,(_xlfn._xlws.FILTER($A$2:$A$501,($D$2:$D$501&gt;=BC$7)*($D$2:$D$501&lt;BB$7)*($E$2:$E$501&gt;=$H36)*($E$2:$E$501&lt;$H35)," ")))</f>
        <v xml:space="preserve"> </v>
      </c>
    </row>
    <row r="36" spans="1:54" x14ac:dyDescent="0.2">
      <c r="A36" s="3" t="s">
        <v>517</v>
      </c>
      <c r="B36" s="3" t="s">
        <v>515</v>
      </c>
      <c r="C36" s="13">
        <v>1202284.19</v>
      </c>
      <c r="D36" s="15">
        <v>21113701.010000002</v>
      </c>
      <c r="E36" s="22">
        <f>TuitionRates3[[#This Row],[Tuition]]/D36</f>
        <v>5.6943317963561516E-2</v>
      </c>
      <c r="F36"/>
      <c r="H36" s="18">
        <v>0.122</v>
      </c>
      <c r="I36" t="str" cm="1">
        <f t="array" ref="I36">_xlfn.TEXTJOIN(",",TRUE,(_xlfn._xlws.FILTER($A$2:$A$501,($D$2:$D$501&gt;=J$7)*($D$2:$D$501&lt;I$7)*($E$2:$E$501&gt;=$H37)*($E$2:$E$501&lt;$H36)," ")))</f>
        <v xml:space="preserve"> </v>
      </c>
      <c r="J36" t="str" cm="1">
        <f t="array" ref="J36">_xlfn.TEXTJOIN(",",TRUE,(_xlfn._xlws.FILTER($A$2:$A$501,($D$2:$D$501&gt;=K$7)*($D$2:$D$501&lt;J$7)*($E$2:$E$501&gt;=$H37)*($E$2:$E$501&lt;$H36)," ")))</f>
        <v xml:space="preserve"> </v>
      </c>
      <c r="K36" t="str" cm="1">
        <f t="array" ref="K36">_xlfn.TEXTJOIN(",",TRUE,(_xlfn._xlws.FILTER($A$2:$A$501,($D$2:$D$501&gt;=L$7)*($D$2:$D$501&lt;K$7)*($E$2:$E$501&gt;=$H37)*($E$2:$E$501&lt;$H36)," ")))</f>
        <v xml:space="preserve"> </v>
      </c>
      <c r="L36" t="str" cm="1">
        <f t="array" ref="L36">_xlfn.TEXTJOIN(",",TRUE,(_xlfn._xlws.FILTER($A$2:$A$501,($D$2:$D$501&gt;=M$7)*($D$2:$D$501&lt;L$7)*($E$2:$E$501&gt;=$H37)*($E$2:$E$501&lt;$H36)," ")))</f>
        <v xml:space="preserve"> </v>
      </c>
      <c r="M36" t="str" cm="1">
        <f t="array" ref="M36">_xlfn.TEXTJOIN(",",TRUE,(_xlfn._xlws.FILTER($A$2:$A$501,($D$2:$D$501&gt;=N$7)*($D$2:$D$501&lt;M$7)*($E$2:$E$501&gt;=$H37)*($E$2:$E$501&lt;$H36)," ")))</f>
        <v xml:space="preserve"> </v>
      </c>
      <c r="N36" t="str" cm="1">
        <f t="array" ref="N36">_xlfn.TEXTJOIN(",",TRUE,(_xlfn._xlws.FILTER($A$2:$A$501,($D$2:$D$501&gt;=O$7)*($D$2:$D$501&lt;N$7)*($E$2:$E$501&gt;=$H37)*($E$2:$E$501&lt;$H36)," ")))</f>
        <v xml:space="preserve"> </v>
      </c>
      <c r="O36" t="str" cm="1">
        <f t="array" ref="O36">_xlfn.TEXTJOIN(",",TRUE,(_xlfn._xlws.FILTER($A$2:$A$501,($D$2:$D$501&gt;=P$7)*($D$2:$D$501&lt;O$7)*($E$2:$E$501&gt;=$H37)*($E$2:$E$501&lt;$H36)," ")))</f>
        <v xml:space="preserve"> </v>
      </c>
      <c r="P36" t="str" cm="1">
        <f t="array" ref="P36">_xlfn.TEXTJOIN(",",TRUE,(_xlfn._xlws.FILTER($A$2:$A$501,($D$2:$D$501&gt;=Q$7)*($D$2:$D$501&lt;P$7)*($E$2:$E$501&gt;=$H37)*($E$2:$E$501&lt;$H36)," ")))</f>
        <v xml:space="preserve"> </v>
      </c>
      <c r="Q36" t="str" cm="1">
        <f t="array" ref="Q36">_xlfn.TEXTJOIN(",",TRUE,(_xlfn._xlws.FILTER($A$2:$A$501,($D$2:$D$501&gt;=R$7)*($D$2:$D$501&lt;Q$7)*($E$2:$E$501&gt;=$H37)*($E$2:$E$501&lt;$H36)," ")))</f>
        <v xml:space="preserve"> </v>
      </c>
      <c r="R36" t="str" cm="1">
        <f t="array" ref="R36">_xlfn.TEXTJOIN(",",TRUE,(_xlfn._xlws.FILTER($A$2:$A$501,($D$2:$D$501&gt;=S$7)*($D$2:$D$501&lt;R$7)*($E$2:$E$501&gt;=$H37)*($E$2:$E$501&lt;$H36)," ")))</f>
        <v xml:space="preserve"> </v>
      </c>
      <c r="S36" t="str" cm="1">
        <f t="array" ref="S36">_xlfn.TEXTJOIN(",",TRUE,(_xlfn._xlws.FILTER($A$2:$A$501,($D$2:$D$501&gt;=T$7)*($D$2:$D$501&lt;S$7)*($E$2:$E$501&gt;=$H37)*($E$2:$E$501&lt;$H36)," ")))</f>
        <v xml:space="preserve"> </v>
      </c>
      <c r="T36" t="str" cm="1">
        <f t="array" ref="T36">_xlfn.TEXTJOIN(",",TRUE,(_xlfn._xlws.FILTER($A$2:$A$501,($D$2:$D$501&gt;=U$7)*($D$2:$D$501&lt;T$7)*($E$2:$E$501&gt;=$H37)*($E$2:$E$501&lt;$H36)," ")))</f>
        <v xml:space="preserve"> </v>
      </c>
      <c r="U36" t="str" cm="1">
        <f t="array" ref="U36">_xlfn.TEXTJOIN(",",TRUE,(_xlfn._xlws.FILTER($A$2:$A$501,($D$2:$D$501&gt;=V$7)*($D$2:$D$501&lt;U$7)*($E$2:$E$501&gt;=$H37)*($E$2:$E$501&lt;$H36)," ")))</f>
        <v xml:space="preserve"> </v>
      </c>
      <c r="V36" t="str" cm="1">
        <f t="array" ref="V36">_xlfn.TEXTJOIN(",",TRUE,(_xlfn._xlws.FILTER($A$2:$A$501,($D$2:$D$501&gt;=W$7)*($D$2:$D$501&lt;V$7)*($E$2:$E$501&gt;=$H37)*($E$2:$E$501&lt;$H36)," ")))</f>
        <v xml:space="preserve"> </v>
      </c>
      <c r="W36" t="str" cm="1">
        <f t="array" ref="W36">_xlfn.TEXTJOIN(",",TRUE,(_xlfn._xlws.FILTER($A$2:$A$501,($D$2:$D$501&gt;=X$7)*($D$2:$D$501&lt;W$7)*($E$2:$E$501&gt;=$H37)*($E$2:$E$501&lt;$H36)," ")))</f>
        <v xml:space="preserve"> </v>
      </c>
      <c r="X36" t="str" cm="1">
        <f t="array" ref="X36">_xlfn.TEXTJOIN(",",TRUE,(_xlfn._xlws.FILTER($A$2:$A$501,($D$2:$D$501&gt;=Y$7)*($D$2:$D$501&lt;X$7)*($E$2:$E$501&gt;=$H37)*($E$2:$E$501&lt;$H36)," ")))</f>
        <v xml:space="preserve"> </v>
      </c>
      <c r="Y36" t="str" cm="1">
        <f t="array" ref="Y36">_xlfn.TEXTJOIN(",",TRUE,(_xlfn._xlws.FILTER($A$2:$A$501,($D$2:$D$501&gt;=Z$7)*($D$2:$D$501&lt;Y$7)*($E$2:$E$501&gt;=$H37)*($E$2:$E$501&lt;$H36)," ")))</f>
        <v xml:space="preserve"> </v>
      </c>
      <c r="Z36" t="str" cm="1">
        <f t="array" ref="Z36">_xlfn.TEXTJOIN(",",TRUE,(_xlfn._xlws.FILTER($A$2:$A$501,($D$2:$D$501&gt;=AA$7)*($D$2:$D$501&lt;Z$7)*($E$2:$E$501&gt;=$H37)*($E$2:$E$501&lt;$H36)," ")))</f>
        <v xml:space="preserve"> </v>
      </c>
      <c r="AA36" t="str" cm="1">
        <f t="array" ref="AA36">_xlfn.TEXTJOIN(",",TRUE,(_xlfn._xlws.FILTER($A$2:$A$501,($D$2:$D$501&gt;=AB$7)*($D$2:$D$501&lt;AA$7)*($E$2:$E$501&gt;=$H37)*($E$2:$E$501&lt;$H36)," ")))</f>
        <v xml:space="preserve"> </v>
      </c>
      <c r="AB36" t="str" cm="1">
        <f t="array" ref="AB36">_xlfn.TEXTJOIN(",",TRUE,(_xlfn._xlws.FILTER($A$2:$A$501,($D$2:$D$501&gt;=AC$7)*($D$2:$D$501&lt;AB$7)*($E$2:$E$501&gt;=$H37)*($E$2:$E$501&lt;$H36)," ")))</f>
        <v xml:space="preserve"> </v>
      </c>
      <c r="AC36" t="str" cm="1">
        <f t="array" ref="AC36">_xlfn.TEXTJOIN(",",TRUE,(_xlfn._xlws.FILTER($A$2:$A$501,($D$2:$D$501&gt;=AD$7)*($D$2:$D$501&lt;AC$7)*($E$2:$E$501&gt;=$H37)*($E$2:$E$501&lt;$H36)," ")))</f>
        <v xml:space="preserve"> </v>
      </c>
      <c r="AD36" t="str" cm="1">
        <f t="array" ref="AD36">_xlfn.TEXTJOIN(",",TRUE,(_xlfn._xlws.FILTER($A$2:$A$501,($D$2:$D$501&gt;=AE$7)*($D$2:$D$501&lt;AD$7)*($E$2:$E$501&gt;=$H37)*($E$2:$E$501&lt;$H36)," ")))</f>
        <v xml:space="preserve"> </v>
      </c>
      <c r="AE36" t="str" cm="1">
        <f t="array" ref="AE36">_xlfn.TEXTJOIN(",",TRUE,(_xlfn._xlws.FILTER($A$2:$A$501,($D$2:$D$501&gt;=AF$7)*($D$2:$D$501&lt;AE$7)*($E$2:$E$501&gt;=$H37)*($E$2:$E$501&lt;$H36)," ")))</f>
        <v xml:space="preserve"> </v>
      </c>
      <c r="AF36" t="str" cm="1">
        <f t="array" ref="AF36">_xlfn.TEXTJOIN(",",TRUE,(_xlfn._xlws.FILTER($A$2:$A$501,($D$2:$D$501&gt;=AG$7)*($D$2:$D$501&lt;AF$7)*($E$2:$E$501&gt;=$H37)*($E$2:$E$501&lt;$H36)," ")))</f>
        <v xml:space="preserve"> </v>
      </c>
      <c r="AG36" t="str" cm="1">
        <f t="array" ref="AG36">_xlfn.TEXTJOIN(",",TRUE,(_xlfn._xlws.FILTER($A$2:$A$501,($D$2:$D$501&gt;=AH$7)*($D$2:$D$501&lt;AG$7)*($E$2:$E$501&gt;=$H37)*($E$2:$E$501&lt;$H36)," ")))</f>
        <v xml:space="preserve"> </v>
      </c>
      <c r="AH36" t="str" cm="1">
        <f t="array" ref="AH36">_xlfn.TEXTJOIN(",",TRUE,(_xlfn._xlws.FILTER($A$2:$A$501,($D$2:$D$501&gt;=AI$7)*($D$2:$D$501&lt;AH$7)*($E$2:$E$501&gt;=$H37)*($E$2:$E$501&lt;$H36)," ")))</f>
        <v xml:space="preserve"> </v>
      </c>
      <c r="AI36" t="str" cm="1">
        <f t="array" ref="AI36">_xlfn.TEXTJOIN(",",TRUE,(_xlfn._xlws.FILTER($A$2:$A$501,($D$2:$D$501&gt;=AJ$7)*($D$2:$D$501&lt;AI$7)*($E$2:$E$501&gt;=$H37)*($E$2:$E$501&lt;$H36)," ")))</f>
        <v xml:space="preserve"> </v>
      </c>
      <c r="AJ36" t="str" cm="1">
        <f t="array" ref="AJ36">_xlfn.TEXTJOIN(",",TRUE,(_xlfn._xlws.FILTER($A$2:$A$501,($D$2:$D$501&gt;=AK$7)*($D$2:$D$501&lt;AJ$7)*($E$2:$E$501&gt;=$H37)*($E$2:$E$501&lt;$H36)," ")))</f>
        <v xml:space="preserve"> </v>
      </c>
      <c r="AK36" t="str" cm="1">
        <f t="array" ref="AK36">_xlfn.TEXTJOIN(",",TRUE,(_xlfn._xlws.FILTER($A$2:$A$501,($D$2:$D$501&gt;=AL$7)*($D$2:$D$501&lt;AK$7)*($E$2:$E$501&gt;=$H37)*($E$2:$E$501&lt;$H36)," ")))</f>
        <v xml:space="preserve"> </v>
      </c>
      <c r="AL36" t="str" cm="1">
        <f t="array" ref="AL36">_xlfn.TEXTJOIN(",",TRUE,(_xlfn._xlws.FILTER($A$2:$A$501,($D$2:$D$501&gt;=AM$7)*($D$2:$D$501&lt;AL$7)*($E$2:$E$501&gt;=$H37)*($E$2:$E$501&lt;$H36)," ")))</f>
        <v xml:space="preserve"> </v>
      </c>
      <c r="AM36" t="str" cm="1">
        <f t="array" ref="AM36">_xlfn.TEXTJOIN(",",TRUE,(_xlfn._xlws.FILTER($A$2:$A$501,($D$2:$D$501&gt;=AN$7)*($D$2:$D$501&lt;AM$7)*($E$2:$E$501&gt;=$H37)*($E$2:$E$501&lt;$H36)," ")))</f>
        <v xml:space="preserve"> </v>
      </c>
      <c r="AN36" t="str" cm="1">
        <f t="array" ref="AN36">_xlfn.TEXTJOIN(",",TRUE,(_xlfn._xlws.FILTER($A$2:$A$501,($D$2:$D$501&gt;=AO$7)*($D$2:$D$501&lt;AN$7)*($E$2:$E$501&gt;=$H37)*($E$2:$E$501&lt;$H36)," ")))</f>
        <v xml:space="preserve"> </v>
      </c>
      <c r="AO36" t="str" cm="1">
        <f t="array" ref="AO36">_xlfn.TEXTJOIN(",",TRUE,(_xlfn._xlws.FILTER($A$2:$A$501,($D$2:$D$501&gt;=AP$7)*($D$2:$D$501&lt;AO$7)*($E$2:$E$501&gt;=$H37)*($E$2:$E$501&lt;$H36)," ")))</f>
        <v xml:space="preserve"> </v>
      </c>
      <c r="AP36" t="str" cm="1">
        <f t="array" ref="AP36">_xlfn.TEXTJOIN(",",TRUE,(_xlfn._xlws.FILTER($A$2:$A$501,($D$2:$D$501&gt;=AQ$7)*($D$2:$D$501&lt;AP$7)*($E$2:$E$501&gt;=$H37)*($E$2:$E$501&lt;$H36)," ")))</f>
        <v xml:space="preserve"> </v>
      </c>
      <c r="AQ36" t="str" cm="1">
        <f t="array" ref="AQ36">_xlfn.TEXTJOIN(",",TRUE,(_xlfn._xlws.FILTER($A$2:$A$501,($D$2:$D$501&gt;=AR$7)*($D$2:$D$501&lt;AQ$7)*($E$2:$E$501&gt;=$H37)*($E$2:$E$501&lt;$H36)," ")))</f>
        <v xml:space="preserve"> </v>
      </c>
      <c r="AR36" t="str" cm="1">
        <f t="array" ref="AR36">_xlfn.TEXTJOIN(",",TRUE,(_xlfn._xlws.FILTER($A$2:$A$501,($D$2:$D$501&gt;=AS$7)*($D$2:$D$501&lt;AR$7)*($E$2:$E$501&gt;=$H37)*($E$2:$E$501&lt;$H36)," ")))</f>
        <v xml:space="preserve"> </v>
      </c>
      <c r="AS36" t="str" cm="1">
        <f t="array" ref="AS36">_xlfn.TEXTJOIN(",",TRUE,(_xlfn._xlws.FILTER($A$2:$A$501,($D$2:$D$501&gt;=AT$7)*($D$2:$D$501&lt;AS$7)*($E$2:$E$501&gt;=$H37)*($E$2:$E$501&lt;$H36)," ")))</f>
        <v xml:space="preserve"> </v>
      </c>
      <c r="AT36" t="str" cm="1">
        <f t="array" ref="AT36">_xlfn.TEXTJOIN(",",TRUE,(_xlfn._xlws.FILTER($A$2:$A$501,($D$2:$D$501&gt;=AU$7)*($D$2:$D$501&lt;AT$7)*($E$2:$E$501&gt;=$H37)*($E$2:$E$501&lt;$H36)," ")))</f>
        <v xml:space="preserve"> </v>
      </c>
      <c r="AU36" t="str" cm="1">
        <f t="array" ref="AU36">_xlfn.TEXTJOIN(",",TRUE,(_xlfn._xlws.FILTER($A$2:$A$501,($D$2:$D$501&gt;=AV$7)*($D$2:$D$501&lt;AU$7)*($E$2:$E$501&gt;=$H37)*($E$2:$E$501&lt;$H36)," ")))</f>
        <v xml:space="preserve"> </v>
      </c>
      <c r="AV36" t="str" cm="1">
        <f t="array" ref="AV36">_xlfn.TEXTJOIN(",",TRUE,(_xlfn._xlws.FILTER($A$2:$A$501,($D$2:$D$501&gt;=AW$7)*($D$2:$D$501&lt;AV$7)*($E$2:$E$501&gt;=$H37)*($E$2:$E$501&lt;$H36)," ")))</f>
        <v xml:space="preserve"> </v>
      </c>
      <c r="AW36" t="str" cm="1">
        <f t="array" ref="AW36">_xlfn.TEXTJOIN(",",TRUE,(_xlfn._xlws.FILTER($A$2:$A$501,($D$2:$D$501&gt;=AX$7)*($D$2:$D$501&lt;AW$7)*($E$2:$E$501&gt;=$H37)*($E$2:$E$501&lt;$H36)," ")))</f>
        <v xml:space="preserve"> </v>
      </c>
      <c r="AX36" t="str" cm="1">
        <f t="array" ref="AX36">_xlfn.TEXTJOIN(",",TRUE,(_xlfn._xlws.FILTER($A$2:$A$501,($D$2:$D$501&gt;=AY$7)*($D$2:$D$501&lt;AX$7)*($E$2:$E$501&gt;=$H37)*($E$2:$E$501&lt;$H36)," ")))</f>
        <v xml:space="preserve"> </v>
      </c>
      <c r="AY36" t="str" cm="1">
        <f t="array" ref="AY36">_xlfn.TEXTJOIN(",",TRUE,(_xlfn._xlws.FILTER($A$2:$A$501,($D$2:$D$501&gt;=AZ$7)*($D$2:$D$501&lt;AY$7)*($E$2:$E$501&gt;=$H37)*($E$2:$E$501&lt;$H36)," ")))</f>
        <v xml:space="preserve"> </v>
      </c>
      <c r="AZ36" t="str" cm="1">
        <f t="array" ref="AZ36">_xlfn.TEXTJOIN(",",TRUE,(_xlfn._xlws.FILTER($A$2:$A$501,($D$2:$D$501&gt;=BA$7)*($D$2:$D$501&lt;AZ$7)*($E$2:$E$501&gt;=$H37)*($E$2:$E$501&lt;$H36)," ")))</f>
        <v xml:space="preserve"> </v>
      </c>
      <c r="BA36" t="str" cm="1">
        <f t="array" ref="BA36">_xlfn.TEXTJOIN(",",TRUE,(_xlfn._xlws.FILTER($A$2:$A$501,($D$2:$D$501&gt;=BB$7)*($D$2:$D$501&lt;BA$7)*($E$2:$E$501&gt;=$H37)*($E$2:$E$501&lt;$H36)," ")))</f>
        <v xml:space="preserve"> </v>
      </c>
      <c r="BB36" t="str" cm="1">
        <f t="array" ref="BB36">_xlfn.TEXTJOIN(",",TRUE,(_xlfn._xlws.FILTER($A$2:$A$501,($D$2:$D$501&gt;=BC$7)*($D$2:$D$501&lt;BB$7)*($E$2:$E$501&gt;=$H37)*($E$2:$E$501&lt;$H36)," ")))</f>
        <v xml:space="preserve"> </v>
      </c>
    </row>
    <row r="37" spans="1:54" x14ac:dyDescent="0.2">
      <c r="A37" s="3" t="s">
        <v>219</v>
      </c>
      <c r="B37" s="3" t="s">
        <v>216</v>
      </c>
      <c r="C37" s="13">
        <v>11561973.949999999</v>
      </c>
      <c r="D37" s="15">
        <v>203999880.27000001</v>
      </c>
      <c r="E37" s="22">
        <f>TuitionRates3[[#This Row],[Tuition]]/D37</f>
        <v>5.6676376156188805E-2</v>
      </c>
      <c r="F37"/>
      <c r="H37" s="18">
        <v>0.121</v>
      </c>
      <c r="I37" t="str" cm="1">
        <f t="array" ref="I37">_xlfn.TEXTJOIN(",",TRUE,(_xlfn._xlws.FILTER($A$2:$A$501,($D$2:$D$501&gt;=J$7)*($D$2:$D$501&lt;I$7)*($E$2:$E$501&gt;=$H38)*($E$2:$E$501&lt;$H37)," ")))</f>
        <v xml:space="preserve"> </v>
      </c>
      <c r="J37" t="str" cm="1">
        <f t="array" ref="J37">_xlfn.TEXTJOIN(",",TRUE,(_xlfn._xlws.FILTER($A$2:$A$501,($D$2:$D$501&gt;=K$7)*($D$2:$D$501&lt;J$7)*($E$2:$E$501&gt;=$H38)*($E$2:$E$501&lt;$H37)," ")))</f>
        <v xml:space="preserve"> </v>
      </c>
      <c r="K37" t="str" cm="1">
        <f t="array" ref="K37">_xlfn.TEXTJOIN(",",TRUE,(_xlfn._xlws.FILTER($A$2:$A$501,($D$2:$D$501&gt;=L$7)*($D$2:$D$501&lt;K$7)*($E$2:$E$501&gt;=$H38)*($E$2:$E$501&lt;$H37)," ")))</f>
        <v xml:space="preserve"> </v>
      </c>
      <c r="L37" t="str" cm="1">
        <f t="array" ref="L37">_xlfn.TEXTJOIN(",",TRUE,(_xlfn._xlws.FILTER($A$2:$A$501,($D$2:$D$501&gt;=M$7)*($D$2:$D$501&lt;L$7)*($E$2:$E$501&gt;=$H38)*($E$2:$E$501&lt;$H37)," ")))</f>
        <v xml:space="preserve"> </v>
      </c>
      <c r="M37" t="str" cm="1">
        <f t="array" ref="M37">_xlfn.TEXTJOIN(",",TRUE,(_xlfn._xlws.FILTER($A$2:$A$501,($D$2:$D$501&gt;=N$7)*($D$2:$D$501&lt;M$7)*($E$2:$E$501&gt;=$H38)*($E$2:$E$501&lt;$H37)," ")))</f>
        <v xml:space="preserve"> </v>
      </c>
      <c r="N37" t="str" cm="1">
        <f t="array" ref="N37">_xlfn.TEXTJOIN(",",TRUE,(_xlfn._xlws.FILTER($A$2:$A$501,($D$2:$D$501&gt;=O$7)*($D$2:$D$501&lt;N$7)*($E$2:$E$501&gt;=$H38)*($E$2:$E$501&lt;$H37)," ")))</f>
        <v xml:space="preserve"> </v>
      </c>
      <c r="O37" t="str" cm="1">
        <f t="array" ref="O37">_xlfn.TEXTJOIN(",",TRUE,(_xlfn._xlws.FILTER($A$2:$A$501,($D$2:$D$501&gt;=P$7)*($D$2:$D$501&lt;O$7)*($E$2:$E$501&gt;=$H38)*($E$2:$E$501&lt;$H37)," ")))</f>
        <v xml:space="preserve"> </v>
      </c>
      <c r="P37" t="str" cm="1">
        <f t="array" ref="P37">_xlfn.TEXTJOIN(",",TRUE,(_xlfn._xlws.FILTER($A$2:$A$501,($D$2:$D$501&gt;=Q$7)*($D$2:$D$501&lt;P$7)*($E$2:$E$501&gt;=$H38)*($E$2:$E$501&lt;$H37)," ")))</f>
        <v xml:space="preserve"> </v>
      </c>
      <c r="Q37" t="str" cm="1">
        <f t="array" ref="Q37">_xlfn.TEXTJOIN(",",TRUE,(_xlfn._xlws.FILTER($A$2:$A$501,($D$2:$D$501&gt;=R$7)*($D$2:$D$501&lt;Q$7)*($E$2:$E$501&gt;=$H38)*($E$2:$E$501&lt;$H37)," ")))</f>
        <v xml:space="preserve"> </v>
      </c>
      <c r="R37" t="str" cm="1">
        <f t="array" ref="R37">_xlfn.TEXTJOIN(",",TRUE,(_xlfn._xlws.FILTER($A$2:$A$501,($D$2:$D$501&gt;=S$7)*($D$2:$D$501&lt;R$7)*($E$2:$E$501&gt;=$H38)*($E$2:$E$501&lt;$H37)," ")))</f>
        <v xml:space="preserve"> </v>
      </c>
      <c r="S37" t="str" cm="1">
        <f t="array" ref="S37">_xlfn.TEXTJOIN(",",TRUE,(_xlfn._xlws.FILTER($A$2:$A$501,($D$2:$D$501&gt;=T$7)*($D$2:$D$501&lt;S$7)*($E$2:$E$501&gt;=$H38)*($E$2:$E$501&lt;$H37)," ")))</f>
        <v xml:space="preserve"> </v>
      </c>
      <c r="T37" t="str" cm="1">
        <f t="array" ref="T37">_xlfn.TEXTJOIN(",",TRUE,(_xlfn._xlws.FILTER($A$2:$A$501,($D$2:$D$501&gt;=U$7)*($D$2:$D$501&lt;T$7)*($E$2:$E$501&gt;=$H38)*($E$2:$E$501&lt;$H37)," ")))</f>
        <v xml:space="preserve"> </v>
      </c>
      <c r="U37" t="str" cm="1">
        <f t="array" ref="U37">_xlfn.TEXTJOIN(",",TRUE,(_xlfn._xlws.FILTER($A$2:$A$501,($D$2:$D$501&gt;=V$7)*($D$2:$D$501&lt;U$7)*($E$2:$E$501&gt;=$H38)*($E$2:$E$501&lt;$H37)," ")))</f>
        <v xml:space="preserve"> </v>
      </c>
      <c r="V37" t="str" cm="1">
        <f t="array" ref="V37">_xlfn.TEXTJOIN(",",TRUE,(_xlfn._xlws.FILTER($A$2:$A$501,($D$2:$D$501&gt;=W$7)*($D$2:$D$501&lt;V$7)*($E$2:$E$501&gt;=$H38)*($E$2:$E$501&lt;$H37)," ")))</f>
        <v xml:space="preserve"> </v>
      </c>
      <c r="W37" t="str" cm="1">
        <f t="array" ref="W37">_xlfn.TEXTJOIN(",",TRUE,(_xlfn._xlws.FILTER($A$2:$A$501,($D$2:$D$501&gt;=X$7)*($D$2:$D$501&lt;W$7)*($E$2:$E$501&gt;=$H38)*($E$2:$E$501&lt;$H37)," ")))</f>
        <v xml:space="preserve"> </v>
      </c>
      <c r="X37" t="str" cm="1">
        <f t="array" ref="X37">_xlfn.TEXTJOIN(",",TRUE,(_xlfn._xlws.FILTER($A$2:$A$501,($D$2:$D$501&gt;=Y$7)*($D$2:$D$501&lt;X$7)*($E$2:$E$501&gt;=$H38)*($E$2:$E$501&lt;$H37)," ")))</f>
        <v xml:space="preserve"> </v>
      </c>
      <c r="Y37" t="str" cm="1">
        <f t="array" ref="Y37">_xlfn.TEXTJOIN(",",TRUE,(_xlfn._xlws.FILTER($A$2:$A$501,($D$2:$D$501&gt;=Z$7)*($D$2:$D$501&lt;Y$7)*($E$2:$E$501&gt;=$H38)*($E$2:$E$501&lt;$H37)," ")))</f>
        <v xml:space="preserve"> </v>
      </c>
      <c r="Z37" t="str" cm="1">
        <f t="array" ref="Z37">_xlfn.TEXTJOIN(",",TRUE,(_xlfn._xlws.FILTER($A$2:$A$501,($D$2:$D$501&gt;=AA$7)*($D$2:$D$501&lt;Z$7)*($E$2:$E$501&gt;=$H38)*($E$2:$E$501&lt;$H37)," ")))</f>
        <v xml:space="preserve"> </v>
      </c>
      <c r="AA37" t="str" cm="1">
        <f t="array" ref="AA37">_xlfn.TEXTJOIN(",",TRUE,(_xlfn._xlws.FILTER($A$2:$A$501,($D$2:$D$501&gt;=AB$7)*($D$2:$D$501&lt;AA$7)*($E$2:$E$501&gt;=$H38)*($E$2:$E$501&lt;$H37)," ")))</f>
        <v xml:space="preserve"> </v>
      </c>
      <c r="AB37" t="str" cm="1">
        <f t="array" ref="AB37">_xlfn.TEXTJOIN(",",TRUE,(_xlfn._xlws.FILTER($A$2:$A$501,($D$2:$D$501&gt;=AC$7)*($D$2:$D$501&lt;AB$7)*($E$2:$E$501&gt;=$H38)*($E$2:$E$501&lt;$H37)," ")))</f>
        <v xml:space="preserve"> </v>
      </c>
      <c r="AC37" t="str" cm="1">
        <f t="array" ref="AC37">_xlfn.TEXTJOIN(",",TRUE,(_xlfn._xlws.FILTER($A$2:$A$501,($D$2:$D$501&gt;=AD$7)*($D$2:$D$501&lt;AC$7)*($E$2:$E$501&gt;=$H38)*($E$2:$E$501&lt;$H37)," ")))</f>
        <v xml:space="preserve"> </v>
      </c>
      <c r="AD37" t="str" cm="1">
        <f t="array" ref="AD37">_xlfn.TEXTJOIN(",",TRUE,(_xlfn._xlws.FILTER($A$2:$A$501,($D$2:$D$501&gt;=AE$7)*($D$2:$D$501&lt;AD$7)*($E$2:$E$501&gt;=$H38)*($E$2:$E$501&lt;$H37)," ")))</f>
        <v xml:space="preserve"> </v>
      </c>
      <c r="AE37" t="str" cm="1">
        <f t="array" ref="AE37">_xlfn.TEXTJOIN(",",TRUE,(_xlfn._xlws.FILTER($A$2:$A$501,($D$2:$D$501&gt;=AF$7)*($D$2:$D$501&lt;AE$7)*($E$2:$E$501&gt;=$H38)*($E$2:$E$501&lt;$H37)," ")))</f>
        <v xml:space="preserve"> </v>
      </c>
      <c r="AF37" t="str" cm="1">
        <f t="array" ref="AF37">_xlfn.TEXTJOIN(",",TRUE,(_xlfn._xlws.FILTER($A$2:$A$501,($D$2:$D$501&gt;=AG$7)*($D$2:$D$501&lt;AF$7)*($E$2:$E$501&gt;=$H38)*($E$2:$E$501&lt;$H37)," ")))</f>
        <v xml:space="preserve"> </v>
      </c>
      <c r="AG37" t="str" cm="1">
        <f t="array" ref="AG37">_xlfn.TEXTJOIN(",",TRUE,(_xlfn._xlws.FILTER($A$2:$A$501,($D$2:$D$501&gt;=AH$7)*($D$2:$D$501&lt;AG$7)*($E$2:$E$501&gt;=$H38)*($E$2:$E$501&lt;$H37)," ")))</f>
        <v xml:space="preserve"> </v>
      </c>
      <c r="AH37" t="str" cm="1">
        <f t="array" ref="AH37">_xlfn.TEXTJOIN(",",TRUE,(_xlfn._xlws.FILTER($A$2:$A$501,($D$2:$D$501&gt;=AI$7)*($D$2:$D$501&lt;AH$7)*($E$2:$E$501&gt;=$H38)*($E$2:$E$501&lt;$H37)," ")))</f>
        <v xml:space="preserve"> </v>
      </c>
      <c r="AI37" t="str" cm="1">
        <f t="array" ref="AI37">_xlfn.TEXTJOIN(",",TRUE,(_xlfn._xlws.FILTER($A$2:$A$501,($D$2:$D$501&gt;=AJ$7)*($D$2:$D$501&lt;AI$7)*($E$2:$E$501&gt;=$H38)*($E$2:$E$501&lt;$H37)," ")))</f>
        <v xml:space="preserve"> </v>
      </c>
      <c r="AJ37" t="str" cm="1">
        <f t="array" ref="AJ37">_xlfn.TEXTJOIN(",",TRUE,(_xlfn._xlws.FILTER($A$2:$A$501,($D$2:$D$501&gt;=AK$7)*($D$2:$D$501&lt;AJ$7)*($E$2:$E$501&gt;=$H38)*($E$2:$E$501&lt;$H37)," ")))</f>
        <v xml:space="preserve"> </v>
      </c>
      <c r="AK37" t="str" cm="1">
        <f t="array" ref="AK37">_xlfn.TEXTJOIN(",",TRUE,(_xlfn._xlws.FILTER($A$2:$A$501,($D$2:$D$501&gt;=AL$7)*($D$2:$D$501&lt;AK$7)*($E$2:$E$501&gt;=$H38)*($E$2:$E$501&lt;$H37)," ")))</f>
        <v xml:space="preserve"> </v>
      </c>
      <c r="AL37" t="str" cm="1">
        <f t="array" ref="AL37">_xlfn.TEXTJOIN(",",TRUE,(_xlfn._xlws.FILTER($A$2:$A$501,($D$2:$D$501&gt;=AM$7)*($D$2:$D$501&lt;AL$7)*($E$2:$E$501&gt;=$H38)*($E$2:$E$501&lt;$H37)," ")))</f>
        <v xml:space="preserve"> </v>
      </c>
      <c r="AM37" t="str" cm="1">
        <f t="array" ref="AM37">_xlfn.TEXTJOIN(",",TRUE,(_xlfn._xlws.FILTER($A$2:$A$501,($D$2:$D$501&gt;=AN$7)*($D$2:$D$501&lt;AM$7)*($E$2:$E$501&gt;=$H38)*($E$2:$E$501&lt;$H37)," ")))</f>
        <v xml:space="preserve"> </v>
      </c>
      <c r="AN37" t="str" cm="1">
        <f t="array" ref="AN37">_xlfn.TEXTJOIN(",",TRUE,(_xlfn._xlws.FILTER($A$2:$A$501,($D$2:$D$501&gt;=AO$7)*($D$2:$D$501&lt;AN$7)*($E$2:$E$501&gt;=$H38)*($E$2:$E$501&lt;$H37)," ")))</f>
        <v xml:space="preserve"> </v>
      </c>
      <c r="AO37" t="str" cm="1">
        <f t="array" ref="AO37">_xlfn.TEXTJOIN(",",TRUE,(_xlfn._xlws.FILTER($A$2:$A$501,($D$2:$D$501&gt;=AP$7)*($D$2:$D$501&lt;AO$7)*($E$2:$E$501&gt;=$H38)*($E$2:$E$501&lt;$H37)," ")))</f>
        <v xml:space="preserve"> </v>
      </c>
      <c r="AP37" t="str" cm="1">
        <f t="array" ref="AP37">_xlfn.TEXTJOIN(",",TRUE,(_xlfn._xlws.FILTER($A$2:$A$501,($D$2:$D$501&gt;=AQ$7)*($D$2:$D$501&lt;AP$7)*($E$2:$E$501&gt;=$H38)*($E$2:$E$501&lt;$H37)," ")))</f>
        <v xml:space="preserve"> </v>
      </c>
      <c r="AQ37" t="str" cm="1">
        <f t="array" ref="AQ37">_xlfn.TEXTJOIN(",",TRUE,(_xlfn._xlws.FILTER($A$2:$A$501,($D$2:$D$501&gt;=AR$7)*($D$2:$D$501&lt;AQ$7)*($E$2:$E$501&gt;=$H38)*($E$2:$E$501&lt;$H37)," ")))</f>
        <v xml:space="preserve"> </v>
      </c>
      <c r="AR37" t="str" cm="1">
        <f t="array" ref="AR37">_xlfn.TEXTJOIN(",",TRUE,(_xlfn._xlws.FILTER($A$2:$A$501,($D$2:$D$501&gt;=AS$7)*($D$2:$D$501&lt;AR$7)*($E$2:$E$501&gt;=$H38)*($E$2:$E$501&lt;$H37)," ")))</f>
        <v xml:space="preserve"> </v>
      </c>
      <c r="AS37" t="str" cm="1">
        <f t="array" ref="AS37">_xlfn.TEXTJOIN(",",TRUE,(_xlfn._xlws.FILTER($A$2:$A$501,($D$2:$D$501&gt;=AT$7)*($D$2:$D$501&lt;AS$7)*($E$2:$E$501&gt;=$H38)*($E$2:$E$501&lt;$H37)," ")))</f>
        <v xml:space="preserve"> </v>
      </c>
      <c r="AT37" t="str" cm="1">
        <f t="array" ref="AT37">_xlfn.TEXTJOIN(",",TRUE,(_xlfn._xlws.FILTER($A$2:$A$501,($D$2:$D$501&gt;=AU$7)*($D$2:$D$501&lt;AT$7)*($E$2:$E$501&gt;=$H38)*($E$2:$E$501&lt;$H37)," ")))</f>
        <v xml:space="preserve"> </v>
      </c>
      <c r="AU37" t="str" cm="1">
        <f t="array" ref="AU37">_xlfn.TEXTJOIN(",",TRUE,(_xlfn._xlws.FILTER($A$2:$A$501,($D$2:$D$501&gt;=AV$7)*($D$2:$D$501&lt;AU$7)*($E$2:$E$501&gt;=$H38)*($E$2:$E$501&lt;$H37)," ")))</f>
        <v xml:space="preserve"> </v>
      </c>
      <c r="AV37" t="str" cm="1">
        <f t="array" ref="AV37">_xlfn.TEXTJOIN(",",TRUE,(_xlfn._xlws.FILTER($A$2:$A$501,($D$2:$D$501&gt;=AW$7)*($D$2:$D$501&lt;AV$7)*($E$2:$E$501&gt;=$H38)*($E$2:$E$501&lt;$H37)," ")))</f>
        <v xml:space="preserve"> </v>
      </c>
      <c r="AW37" t="str" cm="1">
        <f t="array" ref="AW37">_xlfn.TEXTJOIN(",",TRUE,(_xlfn._xlws.FILTER($A$2:$A$501,($D$2:$D$501&gt;=AX$7)*($D$2:$D$501&lt;AW$7)*($E$2:$E$501&gt;=$H38)*($E$2:$E$501&lt;$H37)," ")))</f>
        <v xml:space="preserve"> </v>
      </c>
      <c r="AX37" t="str" cm="1">
        <f t="array" ref="AX37">_xlfn.TEXTJOIN(",",TRUE,(_xlfn._xlws.FILTER($A$2:$A$501,($D$2:$D$501&gt;=AY$7)*($D$2:$D$501&lt;AX$7)*($E$2:$E$501&gt;=$H38)*($E$2:$E$501&lt;$H37)," ")))</f>
        <v xml:space="preserve"> </v>
      </c>
      <c r="AY37" t="str" cm="1">
        <f t="array" ref="AY37">_xlfn.TEXTJOIN(",",TRUE,(_xlfn._xlws.FILTER($A$2:$A$501,($D$2:$D$501&gt;=AZ$7)*($D$2:$D$501&lt;AY$7)*($E$2:$E$501&gt;=$H38)*($E$2:$E$501&lt;$H37)," ")))</f>
        <v xml:space="preserve"> </v>
      </c>
      <c r="AZ37" t="str" cm="1">
        <f t="array" ref="AZ37">_xlfn.TEXTJOIN(",",TRUE,(_xlfn._xlws.FILTER($A$2:$A$501,($D$2:$D$501&gt;=BA$7)*($D$2:$D$501&lt;AZ$7)*($E$2:$E$501&gt;=$H38)*($E$2:$E$501&lt;$H37)," ")))</f>
        <v xml:space="preserve"> </v>
      </c>
      <c r="BA37" t="str" cm="1">
        <f t="array" ref="BA37">_xlfn.TEXTJOIN(",",TRUE,(_xlfn._xlws.FILTER($A$2:$A$501,($D$2:$D$501&gt;=BB$7)*($D$2:$D$501&lt;BA$7)*($E$2:$E$501&gt;=$H38)*($E$2:$E$501&lt;$H37)," ")))</f>
        <v xml:space="preserve"> </v>
      </c>
      <c r="BB37" t="str" cm="1">
        <f t="array" ref="BB37">_xlfn.TEXTJOIN(",",TRUE,(_xlfn._xlws.FILTER($A$2:$A$501,($D$2:$D$501&gt;=BC$7)*($D$2:$D$501&lt;BB$7)*($E$2:$E$501&gt;=$H38)*($E$2:$E$501&lt;$H37)," ")))</f>
        <v xml:space="preserve"> </v>
      </c>
    </row>
    <row r="38" spans="1:54" x14ac:dyDescent="0.2">
      <c r="A38" s="3" t="s">
        <v>182</v>
      </c>
      <c r="B38" s="3" t="s">
        <v>177</v>
      </c>
      <c r="C38" s="13">
        <v>1168826.8899999999</v>
      </c>
      <c r="D38" s="15">
        <v>20754861.800000001</v>
      </c>
      <c r="E38" s="22">
        <f>TuitionRates3[[#This Row],[Tuition]]/D38</f>
        <v>5.6315811748744088E-2</v>
      </c>
      <c r="F38"/>
      <c r="H38" s="18">
        <v>0.12</v>
      </c>
      <c r="I38" t="str" cm="1">
        <f t="array" ref="I38">_xlfn.TEXTJOIN(",",TRUE,(_xlfn._xlws.FILTER($A$2:$A$501,($D$2:$D$501&gt;=J$7)*($D$2:$D$501&lt;I$7)*($E$2:$E$501&gt;=$H39)*($E$2:$E$501&lt;$H38)," ")))</f>
        <v xml:space="preserve"> </v>
      </c>
      <c r="J38" t="str" cm="1">
        <f t="array" ref="J38">_xlfn.TEXTJOIN(",",TRUE,(_xlfn._xlws.FILTER($A$2:$A$501,($D$2:$D$501&gt;=K$7)*($D$2:$D$501&lt;J$7)*($E$2:$E$501&gt;=$H39)*($E$2:$E$501&lt;$H38)," ")))</f>
        <v xml:space="preserve"> </v>
      </c>
      <c r="K38" t="str" cm="1">
        <f t="array" ref="K38">_xlfn.TEXTJOIN(",",TRUE,(_xlfn._xlws.FILTER($A$2:$A$501,($D$2:$D$501&gt;=L$7)*($D$2:$D$501&lt;K$7)*($E$2:$E$501&gt;=$H39)*($E$2:$E$501&lt;$H38)," ")))</f>
        <v xml:space="preserve"> </v>
      </c>
      <c r="L38" t="str" cm="1">
        <f t="array" ref="L38">_xlfn.TEXTJOIN(",",TRUE,(_xlfn._xlws.FILTER($A$2:$A$501,($D$2:$D$501&gt;=M$7)*($D$2:$D$501&lt;L$7)*($E$2:$E$501&gt;=$H39)*($E$2:$E$501&lt;$H38)," ")))</f>
        <v xml:space="preserve"> </v>
      </c>
      <c r="M38" t="str" cm="1">
        <f t="array" ref="M38">_xlfn.TEXTJOIN(",",TRUE,(_xlfn._xlws.FILTER($A$2:$A$501,($D$2:$D$501&gt;=N$7)*($D$2:$D$501&lt;M$7)*($E$2:$E$501&gt;=$H39)*($E$2:$E$501&lt;$H38)," ")))</f>
        <v xml:space="preserve"> </v>
      </c>
      <c r="N38" t="str" cm="1">
        <f t="array" ref="N38">_xlfn.TEXTJOIN(",",TRUE,(_xlfn._xlws.FILTER($A$2:$A$501,($D$2:$D$501&gt;=O$7)*($D$2:$D$501&lt;N$7)*($E$2:$E$501&gt;=$H39)*($E$2:$E$501&lt;$H38)," ")))</f>
        <v xml:space="preserve"> </v>
      </c>
      <c r="O38" t="str" cm="1">
        <f t="array" ref="O38">_xlfn.TEXTJOIN(",",TRUE,(_xlfn._xlws.FILTER($A$2:$A$501,($D$2:$D$501&gt;=P$7)*($D$2:$D$501&lt;O$7)*($E$2:$E$501&gt;=$H39)*($E$2:$E$501&lt;$H38)," ")))</f>
        <v xml:space="preserve"> </v>
      </c>
      <c r="P38" t="str" cm="1">
        <f t="array" ref="P38">_xlfn.TEXTJOIN(",",TRUE,(_xlfn._xlws.FILTER($A$2:$A$501,($D$2:$D$501&gt;=Q$7)*($D$2:$D$501&lt;P$7)*($E$2:$E$501&gt;=$H39)*($E$2:$E$501&lt;$H38)," ")))</f>
        <v xml:space="preserve"> </v>
      </c>
      <c r="Q38" t="str" cm="1">
        <f t="array" ref="Q38">_xlfn.TEXTJOIN(",",TRUE,(_xlfn._xlws.FILTER($A$2:$A$501,($D$2:$D$501&gt;=R$7)*($D$2:$D$501&lt;Q$7)*($E$2:$E$501&gt;=$H39)*($E$2:$E$501&lt;$H38)," ")))</f>
        <v xml:space="preserve"> </v>
      </c>
      <c r="R38" t="str" cm="1">
        <f t="array" ref="R38">_xlfn.TEXTJOIN(",",TRUE,(_xlfn._xlws.FILTER($A$2:$A$501,($D$2:$D$501&gt;=S$7)*($D$2:$D$501&lt;R$7)*($E$2:$E$501&gt;=$H39)*($E$2:$E$501&lt;$H38)," ")))</f>
        <v xml:space="preserve"> </v>
      </c>
      <c r="S38" t="str" cm="1">
        <f t="array" ref="S38">_xlfn.TEXTJOIN(",",TRUE,(_xlfn._xlws.FILTER($A$2:$A$501,($D$2:$D$501&gt;=T$7)*($D$2:$D$501&lt;S$7)*($E$2:$E$501&gt;=$H39)*($E$2:$E$501&lt;$H38)," ")))</f>
        <v xml:space="preserve"> </v>
      </c>
      <c r="T38" t="str" cm="1">
        <f t="array" ref="T38">_xlfn.TEXTJOIN(",",TRUE,(_xlfn._xlws.FILTER($A$2:$A$501,($D$2:$D$501&gt;=U$7)*($D$2:$D$501&lt;T$7)*($E$2:$E$501&gt;=$H39)*($E$2:$E$501&lt;$H38)," ")))</f>
        <v xml:space="preserve"> </v>
      </c>
      <c r="U38" t="str" cm="1">
        <f t="array" ref="U38">_xlfn.TEXTJOIN(",",TRUE,(_xlfn._xlws.FILTER($A$2:$A$501,($D$2:$D$501&gt;=V$7)*($D$2:$D$501&lt;U$7)*($E$2:$E$501&gt;=$H39)*($E$2:$E$501&lt;$H38)," ")))</f>
        <v xml:space="preserve"> </v>
      </c>
      <c r="V38" t="str" cm="1">
        <f t="array" ref="V38">_xlfn.TEXTJOIN(",",TRUE,(_xlfn._xlws.FILTER($A$2:$A$501,($D$2:$D$501&gt;=W$7)*($D$2:$D$501&lt;V$7)*($E$2:$E$501&gt;=$H39)*($E$2:$E$501&lt;$H38)," ")))</f>
        <v xml:space="preserve"> </v>
      </c>
      <c r="W38" t="str" cm="1">
        <f t="array" ref="W38">_xlfn.TEXTJOIN(",",TRUE,(_xlfn._xlws.FILTER($A$2:$A$501,($D$2:$D$501&gt;=X$7)*($D$2:$D$501&lt;W$7)*($E$2:$E$501&gt;=$H39)*($E$2:$E$501&lt;$H38)," ")))</f>
        <v xml:space="preserve"> </v>
      </c>
      <c r="X38" t="str" cm="1">
        <f t="array" ref="X38">_xlfn.TEXTJOIN(",",TRUE,(_xlfn._xlws.FILTER($A$2:$A$501,($D$2:$D$501&gt;=Y$7)*($D$2:$D$501&lt;X$7)*($E$2:$E$501&gt;=$H39)*($E$2:$E$501&lt;$H38)," ")))</f>
        <v xml:space="preserve"> </v>
      </c>
      <c r="Y38" t="str" cm="1">
        <f t="array" ref="Y38">_xlfn.TEXTJOIN(",",TRUE,(_xlfn._xlws.FILTER($A$2:$A$501,($D$2:$D$501&gt;=Z$7)*($D$2:$D$501&lt;Y$7)*($E$2:$E$501&gt;=$H39)*($E$2:$E$501&lt;$H38)," ")))</f>
        <v xml:space="preserve"> </v>
      </c>
      <c r="Z38" t="str" cm="1">
        <f t="array" ref="Z38">_xlfn.TEXTJOIN(",",TRUE,(_xlfn._xlws.FILTER($A$2:$A$501,($D$2:$D$501&gt;=AA$7)*($D$2:$D$501&lt;Z$7)*($E$2:$E$501&gt;=$H39)*($E$2:$E$501&lt;$H38)," ")))</f>
        <v xml:space="preserve"> </v>
      </c>
      <c r="AA38" t="str" cm="1">
        <f t="array" ref="AA38">_xlfn.TEXTJOIN(",",TRUE,(_xlfn._xlws.FILTER($A$2:$A$501,($D$2:$D$501&gt;=AB$7)*($D$2:$D$501&lt;AA$7)*($E$2:$E$501&gt;=$H39)*($E$2:$E$501&lt;$H38)," ")))</f>
        <v xml:space="preserve"> </v>
      </c>
      <c r="AB38" t="str" cm="1">
        <f t="array" ref="AB38">_xlfn.TEXTJOIN(",",TRUE,(_xlfn._xlws.FILTER($A$2:$A$501,($D$2:$D$501&gt;=AC$7)*($D$2:$D$501&lt;AB$7)*($E$2:$E$501&gt;=$H39)*($E$2:$E$501&lt;$H38)," ")))</f>
        <v xml:space="preserve"> </v>
      </c>
      <c r="AC38" t="str" cm="1">
        <f t="array" ref="AC38">_xlfn.TEXTJOIN(",",TRUE,(_xlfn._xlws.FILTER($A$2:$A$501,($D$2:$D$501&gt;=AD$7)*($D$2:$D$501&lt;AC$7)*($E$2:$E$501&gt;=$H39)*($E$2:$E$501&lt;$H38)," ")))</f>
        <v xml:space="preserve"> </v>
      </c>
      <c r="AD38" t="str" cm="1">
        <f t="array" ref="AD38">_xlfn.TEXTJOIN(",",TRUE,(_xlfn._xlws.FILTER($A$2:$A$501,($D$2:$D$501&gt;=AE$7)*($D$2:$D$501&lt;AD$7)*($E$2:$E$501&gt;=$H39)*($E$2:$E$501&lt;$H38)," ")))</f>
        <v xml:space="preserve"> </v>
      </c>
      <c r="AE38" t="str" cm="1">
        <f t="array" ref="AE38">_xlfn.TEXTJOIN(",",TRUE,(_xlfn._xlws.FILTER($A$2:$A$501,($D$2:$D$501&gt;=AF$7)*($D$2:$D$501&lt;AE$7)*($E$2:$E$501&gt;=$H39)*($E$2:$E$501&lt;$H38)," ")))</f>
        <v xml:space="preserve"> </v>
      </c>
      <c r="AF38" t="str" cm="1">
        <f t="array" ref="AF38">_xlfn.TEXTJOIN(",",TRUE,(_xlfn._xlws.FILTER($A$2:$A$501,($D$2:$D$501&gt;=AG$7)*($D$2:$D$501&lt;AF$7)*($E$2:$E$501&gt;=$H39)*($E$2:$E$501&lt;$H38)," ")))</f>
        <v xml:space="preserve"> </v>
      </c>
      <c r="AG38" t="str" cm="1">
        <f t="array" ref="AG38">_xlfn.TEXTJOIN(",",TRUE,(_xlfn._xlws.FILTER($A$2:$A$501,($D$2:$D$501&gt;=AH$7)*($D$2:$D$501&lt;AG$7)*($E$2:$E$501&gt;=$H39)*($E$2:$E$501&lt;$H38)," ")))</f>
        <v xml:space="preserve"> </v>
      </c>
      <c r="AH38" t="str" cm="1">
        <f t="array" ref="AH38">_xlfn.TEXTJOIN(",",TRUE,(_xlfn._xlws.FILTER($A$2:$A$501,($D$2:$D$501&gt;=AI$7)*($D$2:$D$501&lt;AH$7)*($E$2:$E$501&gt;=$H39)*($E$2:$E$501&lt;$H38)," ")))</f>
        <v xml:space="preserve"> </v>
      </c>
      <c r="AI38" t="str" cm="1">
        <f t="array" ref="AI38">_xlfn.TEXTJOIN(",",TRUE,(_xlfn._xlws.FILTER($A$2:$A$501,($D$2:$D$501&gt;=AJ$7)*($D$2:$D$501&lt;AI$7)*($E$2:$E$501&gt;=$H39)*($E$2:$E$501&lt;$H38)," ")))</f>
        <v xml:space="preserve"> </v>
      </c>
      <c r="AJ38" t="str" cm="1">
        <f t="array" ref="AJ38">_xlfn.TEXTJOIN(",",TRUE,(_xlfn._xlws.FILTER($A$2:$A$501,($D$2:$D$501&gt;=AK$7)*($D$2:$D$501&lt;AJ$7)*($E$2:$E$501&gt;=$H39)*($E$2:$E$501&lt;$H38)," ")))</f>
        <v xml:space="preserve"> </v>
      </c>
      <c r="AK38" t="str" cm="1">
        <f t="array" ref="AK38">_xlfn.TEXTJOIN(",",TRUE,(_xlfn._xlws.FILTER($A$2:$A$501,($D$2:$D$501&gt;=AL$7)*($D$2:$D$501&lt;AK$7)*($E$2:$E$501&gt;=$H39)*($E$2:$E$501&lt;$H38)," ")))</f>
        <v xml:space="preserve"> </v>
      </c>
      <c r="AL38" t="str" cm="1">
        <f t="array" ref="AL38">_xlfn.TEXTJOIN(",",TRUE,(_xlfn._xlws.FILTER($A$2:$A$501,($D$2:$D$501&gt;=AM$7)*($D$2:$D$501&lt;AL$7)*($E$2:$E$501&gt;=$H39)*($E$2:$E$501&lt;$H38)," ")))</f>
        <v xml:space="preserve"> </v>
      </c>
      <c r="AM38" t="str" cm="1">
        <f t="array" ref="AM38">_xlfn.TEXTJOIN(",",TRUE,(_xlfn._xlws.FILTER($A$2:$A$501,($D$2:$D$501&gt;=AN$7)*($D$2:$D$501&lt;AM$7)*($E$2:$E$501&gt;=$H39)*($E$2:$E$501&lt;$H38)," ")))</f>
        <v xml:space="preserve"> </v>
      </c>
      <c r="AN38" t="str" cm="1">
        <f t="array" ref="AN38">_xlfn.TEXTJOIN(",",TRUE,(_xlfn._xlws.FILTER($A$2:$A$501,($D$2:$D$501&gt;=AO$7)*($D$2:$D$501&lt;AN$7)*($E$2:$E$501&gt;=$H39)*($E$2:$E$501&lt;$H38)," ")))</f>
        <v xml:space="preserve"> </v>
      </c>
      <c r="AO38" t="str" cm="1">
        <f t="array" ref="AO38">_xlfn.TEXTJOIN(",",TRUE,(_xlfn._xlws.FILTER($A$2:$A$501,($D$2:$D$501&gt;=AP$7)*($D$2:$D$501&lt;AO$7)*($E$2:$E$501&gt;=$H39)*($E$2:$E$501&lt;$H38)," ")))</f>
        <v xml:space="preserve"> </v>
      </c>
      <c r="AP38" t="str" cm="1">
        <f t="array" ref="AP38">_xlfn.TEXTJOIN(",",TRUE,(_xlfn._xlws.FILTER($A$2:$A$501,($D$2:$D$501&gt;=AQ$7)*($D$2:$D$501&lt;AP$7)*($E$2:$E$501&gt;=$H39)*($E$2:$E$501&lt;$H38)," ")))</f>
        <v xml:space="preserve"> </v>
      </c>
      <c r="AQ38" t="str" cm="1">
        <f t="array" ref="AQ38">_xlfn.TEXTJOIN(",",TRUE,(_xlfn._xlws.FILTER($A$2:$A$501,($D$2:$D$501&gt;=AR$7)*($D$2:$D$501&lt;AQ$7)*($E$2:$E$501&gt;=$H39)*($E$2:$E$501&lt;$H38)," ")))</f>
        <v xml:space="preserve"> </v>
      </c>
      <c r="AR38" t="str" cm="1">
        <f t="array" ref="AR38">_xlfn.TEXTJOIN(",",TRUE,(_xlfn._xlws.FILTER($A$2:$A$501,($D$2:$D$501&gt;=AS$7)*($D$2:$D$501&lt;AR$7)*($E$2:$E$501&gt;=$H39)*($E$2:$E$501&lt;$H38)," ")))</f>
        <v xml:space="preserve"> </v>
      </c>
      <c r="AS38" t="str" cm="1">
        <f t="array" ref="AS38">_xlfn.TEXTJOIN(",",TRUE,(_xlfn._xlws.FILTER($A$2:$A$501,($D$2:$D$501&gt;=AT$7)*($D$2:$D$501&lt;AS$7)*($E$2:$E$501&gt;=$H39)*($E$2:$E$501&lt;$H38)," ")))</f>
        <v xml:space="preserve"> </v>
      </c>
      <c r="AT38" t="str" cm="1">
        <f t="array" ref="AT38">_xlfn.TEXTJOIN(",",TRUE,(_xlfn._xlws.FILTER($A$2:$A$501,($D$2:$D$501&gt;=AU$7)*($D$2:$D$501&lt;AT$7)*($E$2:$E$501&gt;=$H39)*($E$2:$E$501&lt;$H38)," ")))</f>
        <v xml:space="preserve"> </v>
      </c>
      <c r="AU38" t="str" cm="1">
        <f t="array" ref="AU38">_xlfn.TEXTJOIN(",",TRUE,(_xlfn._xlws.FILTER($A$2:$A$501,($D$2:$D$501&gt;=AV$7)*($D$2:$D$501&lt;AU$7)*($E$2:$E$501&gt;=$H39)*($E$2:$E$501&lt;$H38)," ")))</f>
        <v xml:space="preserve"> </v>
      </c>
      <c r="AV38" t="str" cm="1">
        <f t="array" ref="AV38">_xlfn.TEXTJOIN(",",TRUE,(_xlfn._xlws.FILTER($A$2:$A$501,($D$2:$D$501&gt;=AW$7)*($D$2:$D$501&lt;AV$7)*($E$2:$E$501&gt;=$H39)*($E$2:$E$501&lt;$H38)," ")))</f>
        <v xml:space="preserve"> </v>
      </c>
      <c r="AW38" t="str" cm="1">
        <f t="array" ref="AW38">_xlfn.TEXTJOIN(",",TRUE,(_xlfn._xlws.FILTER($A$2:$A$501,($D$2:$D$501&gt;=AX$7)*($D$2:$D$501&lt;AW$7)*($E$2:$E$501&gt;=$H39)*($E$2:$E$501&lt;$H38)," ")))</f>
        <v xml:space="preserve"> </v>
      </c>
      <c r="AX38" t="str" cm="1">
        <f t="array" ref="AX38">_xlfn.TEXTJOIN(",",TRUE,(_xlfn._xlws.FILTER($A$2:$A$501,($D$2:$D$501&gt;=AY$7)*($D$2:$D$501&lt;AX$7)*($E$2:$E$501&gt;=$H39)*($E$2:$E$501&lt;$H38)," ")))</f>
        <v xml:space="preserve"> </v>
      </c>
      <c r="AY38" t="str" cm="1">
        <f t="array" ref="AY38">_xlfn.TEXTJOIN(",",TRUE,(_xlfn._xlws.FILTER($A$2:$A$501,($D$2:$D$501&gt;=AZ$7)*($D$2:$D$501&lt;AY$7)*($E$2:$E$501&gt;=$H39)*($E$2:$E$501&lt;$H38)," ")))</f>
        <v xml:space="preserve"> </v>
      </c>
      <c r="AZ38" t="str" cm="1">
        <f t="array" ref="AZ38">_xlfn.TEXTJOIN(",",TRUE,(_xlfn._xlws.FILTER($A$2:$A$501,($D$2:$D$501&gt;=BA$7)*($D$2:$D$501&lt;AZ$7)*($E$2:$E$501&gt;=$H39)*($E$2:$E$501&lt;$H38)," ")))</f>
        <v xml:space="preserve"> </v>
      </c>
      <c r="BA38" t="str" cm="1">
        <f t="array" ref="BA38">_xlfn.TEXTJOIN(",",TRUE,(_xlfn._xlws.FILTER($A$2:$A$501,($D$2:$D$501&gt;=BB$7)*($D$2:$D$501&lt;BA$7)*($E$2:$E$501&gt;=$H39)*($E$2:$E$501&lt;$H38)," ")))</f>
        <v xml:space="preserve"> </v>
      </c>
      <c r="BB38" t="str" cm="1">
        <f t="array" ref="BB38">_xlfn.TEXTJOIN(",",TRUE,(_xlfn._xlws.FILTER($A$2:$A$501,($D$2:$D$501&gt;=BC$7)*($D$2:$D$501&lt;BB$7)*($E$2:$E$501&gt;=$H39)*($E$2:$E$501&lt;$H38)," ")))</f>
        <v xml:space="preserve"> </v>
      </c>
    </row>
    <row r="39" spans="1:54" x14ac:dyDescent="0.2">
      <c r="A39" s="3" t="s">
        <v>496</v>
      </c>
      <c r="B39" s="3" t="s">
        <v>493</v>
      </c>
      <c r="C39" s="13">
        <v>1730991.01</v>
      </c>
      <c r="D39" s="15">
        <v>30761595.640000001</v>
      </c>
      <c r="E39" s="22">
        <f>TuitionRates3[[#This Row],[Tuition]]/D39</f>
        <v>5.6271171049045103E-2</v>
      </c>
      <c r="F39"/>
      <c r="H39" s="18">
        <v>0.11899999999999999</v>
      </c>
      <c r="I39" t="str" cm="1">
        <f t="array" ref="I39">_xlfn.TEXTJOIN(",",TRUE,(_xlfn._xlws.FILTER($A$2:$A$501,($D$2:$D$501&gt;=J$7)*($D$2:$D$501&lt;I$7)*($E$2:$E$501&gt;=$H40)*($E$2:$E$501&lt;$H39)," ")))</f>
        <v xml:space="preserve"> </v>
      </c>
      <c r="J39" t="str" cm="1">
        <f t="array" ref="J39">_xlfn.TEXTJOIN(",",TRUE,(_xlfn._xlws.FILTER($A$2:$A$501,($D$2:$D$501&gt;=K$7)*($D$2:$D$501&lt;J$7)*($E$2:$E$501&gt;=$H40)*($E$2:$E$501&lt;$H39)," ")))</f>
        <v xml:space="preserve"> </v>
      </c>
      <c r="K39" t="str" cm="1">
        <f t="array" ref="K39">_xlfn.TEXTJOIN(",",TRUE,(_xlfn._xlws.FILTER($A$2:$A$501,($D$2:$D$501&gt;=L$7)*($D$2:$D$501&lt;K$7)*($E$2:$E$501&gt;=$H40)*($E$2:$E$501&lt;$H39)," ")))</f>
        <v xml:space="preserve"> </v>
      </c>
      <c r="L39" t="str" cm="1">
        <f t="array" ref="L39">_xlfn.TEXTJOIN(",",TRUE,(_xlfn._xlws.FILTER($A$2:$A$501,($D$2:$D$501&gt;=M$7)*($D$2:$D$501&lt;L$7)*($E$2:$E$501&gt;=$H40)*($E$2:$E$501&lt;$H39)," ")))</f>
        <v xml:space="preserve"> </v>
      </c>
      <c r="M39" t="str" cm="1">
        <f t="array" ref="M39">_xlfn.TEXTJOIN(",",TRUE,(_xlfn._xlws.FILTER($A$2:$A$501,($D$2:$D$501&gt;=N$7)*($D$2:$D$501&lt;M$7)*($E$2:$E$501&gt;=$H40)*($E$2:$E$501&lt;$H39)," ")))</f>
        <v xml:space="preserve"> </v>
      </c>
      <c r="N39" t="str" cm="1">
        <f t="array" ref="N39">_xlfn.TEXTJOIN(",",TRUE,(_xlfn._xlws.FILTER($A$2:$A$501,($D$2:$D$501&gt;=O$7)*($D$2:$D$501&lt;N$7)*($E$2:$E$501&gt;=$H40)*($E$2:$E$501&lt;$H39)," ")))</f>
        <v xml:space="preserve"> </v>
      </c>
      <c r="O39" t="str" cm="1">
        <f t="array" ref="O39">_xlfn.TEXTJOIN(",",TRUE,(_xlfn._xlws.FILTER($A$2:$A$501,($D$2:$D$501&gt;=P$7)*($D$2:$D$501&lt;O$7)*($E$2:$E$501&gt;=$H40)*($E$2:$E$501&lt;$H39)," ")))</f>
        <v xml:space="preserve"> </v>
      </c>
      <c r="P39" t="str" cm="1">
        <f t="array" ref="P39">_xlfn.TEXTJOIN(",",TRUE,(_xlfn._xlws.FILTER($A$2:$A$501,($D$2:$D$501&gt;=Q$7)*($D$2:$D$501&lt;P$7)*($E$2:$E$501&gt;=$H40)*($E$2:$E$501&lt;$H39)," ")))</f>
        <v xml:space="preserve"> </v>
      </c>
      <c r="Q39" t="str" cm="1">
        <f t="array" ref="Q39">_xlfn.TEXTJOIN(",",TRUE,(_xlfn._xlws.FILTER($A$2:$A$501,($D$2:$D$501&gt;=R$7)*($D$2:$D$501&lt;Q$7)*($E$2:$E$501&gt;=$H40)*($E$2:$E$501&lt;$H39)," ")))</f>
        <v xml:space="preserve"> </v>
      </c>
      <c r="R39" t="str" cm="1">
        <f t="array" ref="R39">_xlfn.TEXTJOIN(",",TRUE,(_xlfn._xlws.FILTER($A$2:$A$501,($D$2:$D$501&gt;=S$7)*($D$2:$D$501&lt;R$7)*($E$2:$E$501&gt;=$H40)*($E$2:$E$501&lt;$H39)," ")))</f>
        <v xml:space="preserve"> </v>
      </c>
      <c r="S39" t="str" cm="1">
        <f t="array" ref="S39">_xlfn.TEXTJOIN(",",TRUE,(_xlfn._xlws.FILTER($A$2:$A$501,($D$2:$D$501&gt;=T$7)*($D$2:$D$501&lt;S$7)*($E$2:$E$501&gt;=$H40)*($E$2:$E$501&lt;$H39)," ")))</f>
        <v xml:space="preserve"> </v>
      </c>
      <c r="T39" t="str" cm="1">
        <f t="array" ref="T39">_xlfn.TEXTJOIN(",",TRUE,(_xlfn._xlws.FILTER($A$2:$A$501,($D$2:$D$501&gt;=U$7)*($D$2:$D$501&lt;T$7)*($E$2:$E$501&gt;=$H40)*($E$2:$E$501&lt;$H39)," ")))</f>
        <v xml:space="preserve"> </v>
      </c>
      <c r="U39" t="str" cm="1">
        <f t="array" ref="U39">_xlfn.TEXTJOIN(",",TRUE,(_xlfn._xlws.FILTER($A$2:$A$501,($D$2:$D$501&gt;=V$7)*($D$2:$D$501&lt;U$7)*($E$2:$E$501&gt;=$H40)*($E$2:$E$501&lt;$H39)," ")))</f>
        <v xml:space="preserve"> </v>
      </c>
      <c r="V39" t="str" cm="1">
        <f t="array" ref="V39">_xlfn.TEXTJOIN(",",TRUE,(_xlfn._xlws.FILTER($A$2:$A$501,($D$2:$D$501&gt;=W$7)*($D$2:$D$501&lt;V$7)*($E$2:$E$501&gt;=$H40)*($E$2:$E$501&lt;$H39)," ")))</f>
        <v xml:space="preserve"> </v>
      </c>
      <c r="W39" t="str" cm="1">
        <f t="array" ref="W39">_xlfn.TEXTJOIN(",",TRUE,(_xlfn._xlws.FILTER($A$2:$A$501,($D$2:$D$501&gt;=X$7)*($D$2:$D$501&lt;W$7)*($E$2:$E$501&gt;=$H40)*($E$2:$E$501&lt;$H39)," ")))</f>
        <v xml:space="preserve"> </v>
      </c>
      <c r="X39" t="str" cm="1">
        <f t="array" ref="X39">_xlfn.TEXTJOIN(",",TRUE,(_xlfn._xlws.FILTER($A$2:$A$501,($D$2:$D$501&gt;=Y$7)*($D$2:$D$501&lt;X$7)*($E$2:$E$501&gt;=$H40)*($E$2:$E$501&lt;$H39)," ")))</f>
        <v xml:space="preserve"> </v>
      </c>
      <c r="Y39" t="str" cm="1">
        <f t="array" ref="Y39">_xlfn.TEXTJOIN(",",TRUE,(_xlfn._xlws.FILTER($A$2:$A$501,($D$2:$D$501&gt;=Z$7)*($D$2:$D$501&lt;Y$7)*($E$2:$E$501&gt;=$H40)*($E$2:$E$501&lt;$H39)," ")))</f>
        <v xml:space="preserve"> </v>
      </c>
      <c r="Z39" t="str" cm="1">
        <f t="array" ref="Z39">_xlfn.TEXTJOIN(",",TRUE,(_xlfn._xlws.FILTER($A$2:$A$501,($D$2:$D$501&gt;=AA$7)*($D$2:$D$501&lt;Z$7)*($E$2:$E$501&gt;=$H40)*($E$2:$E$501&lt;$H39)," ")))</f>
        <v xml:space="preserve"> </v>
      </c>
      <c r="AA39" t="str" cm="1">
        <f t="array" ref="AA39">_xlfn.TEXTJOIN(",",TRUE,(_xlfn._xlws.FILTER($A$2:$A$501,($D$2:$D$501&gt;=AB$7)*($D$2:$D$501&lt;AA$7)*($E$2:$E$501&gt;=$H40)*($E$2:$E$501&lt;$H39)," ")))</f>
        <v xml:space="preserve"> </v>
      </c>
      <c r="AB39" t="str" cm="1">
        <f t="array" ref="AB39">_xlfn.TEXTJOIN(",",TRUE,(_xlfn._xlws.FILTER($A$2:$A$501,($D$2:$D$501&gt;=AC$7)*($D$2:$D$501&lt;AB$7)*($E$2:$E$501&gt;=$H40)*($E$2:$E$501&lt;$H39)," ")))</f>
        <v xml:space="preserve"> </v>
      </c>
      <c r="AC39" t="str" cm="1">
        <f t="array" ref="AC39">_xlfn.TEXTJOIN(",",TRUE,(_xlfn._xlws.FILTER($A$2:$A$501,($D$2:$D$501&gt;=AD$7)*($D$2:$D$501&lt;AC$7)*($E$2:$E$501&gt;=$H40)*($E$2:$E$501&lt;$H39)," ")))</f>
        <v xml:space="preserve"> </v>
      </c>
      <c r="AD39" t="str" cm="1">
        <f t="array" ref="AD39">_xlfn.TEXTJOIN(",",TRUE,(_xlfn._xlws.FILTER($A$2:$A$501,($D$2:$D$501&gt;=AE$7)*($D$2:$D$501&lt;AD$7)*($E$2:$E$501&gt;=$H40)*($E$2:$E$501&lt;$H39)," ")))</f>
        <v xml:space="preserve"> </v>
      </c>
      <c r="AE39" t="str" cm="1">
        <f t="array" ref="AE39">_xlfn.TEXTJOIN(",",TRUE,(_xlfn._xlws.FILTER($A$2:$A$501,($D$2:$D$501&gt;=AF$7)*($D$2:$D$501&lt;AE$7)*($E$2:$E$501&gt;=$H40)*($E$2:$E$501&lt;$H39)," ")))</f>
        <v xml:space="preserve"> </v>
      </c>
      <c r="AF39" t="str" cm="1">
        <f t="array" ref="AF39">_xlfn.TEXTJOIN(",",TRUE,(_xlfn._xlws.FILTER($A$2:$A$501,($D$2:$D$501&gt;=AG$7)*($D$2:$D$501&lt;AF$7)*($E$2:$E$501&gt;=$H40)*($E$2:$E$501&lt;$H39)," ")))</f>
        <v xml:space="preserve"> </v>
      </c>
      <c r="AG39" t="str" cm="1">
        <f t="array" ref="AG39">_xlfn.TEXTJOIN(",",TRUE,(_xlfn._xlws.FILTER($A$2:$A$501,($D$2:$D$501&gt;=AH$7)*($D$2:$D$501&lt;AG$7)*($E$2:$E$501&gt;=$H40)*($E$2:$E$501&lt;$H39)," ")))</f>
        <v xml:space="preserve"> </v>
      </c>
      <c r="AH39" t="str" cm="1">
        <f t="array" ref="AH39">_xlfn.TEXTJOIN(",",TRUE,(_xlfn._xlws.FILTER($A$2:$A$501,($D$2:$D$501&gt;=AI$7)*($D$2:$D$501&lt;AH$7)*($E$2:$E$501&gt;=$H40)*($E$2:$E$501&lt;$H39)," ")))</f>
        <v xml:space="preserve"> </v>
      </c>
      <c r="AI39" t="str" cm="1">
        <f t="array" ref="AI39">_xlfn.TEXTJOIN(",",TRUE,(_xlfn._xlws.FILTER($A$2:$A$501,($D$2:$D$501&gt;=AJ$7)*($D$2:$D$501&lt;AI$7)*($E$2:$E$501&gt;=$H40)*($E$2:$E$501&lt;$H39)," ")))</f>
        <v xml:space="preserve"> </v>
      </c>
      <c r="AJ39" t="str" cm="1">
        <f t="array" ref="AJ39">_xlfn.TEXTJOIN(",",TRUE,(_xlfn._xlws.FILTER($A$2:$A$501,($D$2:$D$501&gt;=AK$7)*($D$2:$D$501&lt;AJ$7)*($E$2:$E$501&gt;=$H40)*($E$2:$E$501&lt;$H39)," ")))</f>
        <v xml:space="preserve"> </v>
      </c>
      <c r="AK39" t="str" cm="1">
        <f t="array" ref="AK39">_xlfn.TEXTJOIN(",",TRUE,(_xlfn._xlws.FILTER($A$2:$A$501,($D$2:$D$501&gt;=AL$7)*($D$2:$D$501&lt;AK$7)*($E$2:$E$501&gt;=$H40)*($E$2:$E$501&lt;$H39)," ")))</f>
        <v xml:space="preserve"> </v>
      </c>
      <c r="AL39" t="str" cm="1">
        <f t="array" ref="AL39">_xlfn.TEXTJOIN(",",TRUE,(_xlfn._xlws.FILTER($A$2:$A$501,($D$2:$D$501&gt;=AM$7)*($D$2:$D$501&lt;AL$7)*($E$2:$E$501&gt;=$H40)*($E$2:$E$501&lt;$H39)," ")))</f>
        <v xml:space="preserve"> </v>
      </c>
      <c r="AM39" t="str" cm="1">
        <f t="array" ref="AM39">_xlfn.TEXTJOIN(",",TRUE,(_xlfn._xlws.FILTER($A$2:$A$501,($D$2:$D$501&gt;=AN$7)*($D$2:$D$501&lt;AM$7)*($E$2:$E$501&gt;=$H40)*($E$2:$E$501&lt;$H39)," ")))</f>
        <v xml:space="preserve"> </v>
      </c>
      <c r="AN39" t="str" cm="1">
        <f t="array" ref="AN39">_xlfn.TEXTJOIN(",",TRUE,(_xlfn._xlws.FILTER($A$2:$A$501,($D$2:$D$501&gt;=AO$7)*($D$2:$D$501&lt;AN$7)*($E$2:$E$501&gt;=$H40)*($E$2:$E$501&lt;$H39)," ")))</f>
        <v xml:space="preserve"> </v>
      </c>
      <c r="AO39" t="str" cm="1">
        <f t="array" ref="AO39">_xlfn.TEXTJOIN(",",TRUE,(_xlfn._xlws.FILTER($A$2:$A$501,($D$2:$D$501&gt;=AP$7)*($D$2:$D$501&lt;AO$7)*($E$2:$E$501&gt;=$H40)*($E$2:$E$501&lt;$H39)," ")))</f>
        <v xml:space="preserve"> </v>
      </c>
      <c r="AP39" t="str" cm="1">
        <f t="array" ref="AP39">_xlfn.TEXTJOIN(",",TRUE,(_xlfn._xlws.FILTER($A$2:$A$501,($D$2:$D$501&gt;=AQ$7)*($D$2:$D$501&lt;AP$7)*($E$2:$E$501&gt;=$H40)*($E$2:$E$501&lt;$H39)," ")))</f>
        <v xml:space="preserve"> </v>
      </c>
      <c r="AQ39" t="str" cm="1">
        <f t="array" ref="AQ39">_xlfn.TEXTJOIN(",",TRUE,(_xlfn._xlws.FILTER($A$2:$A$501,($D$2:$D$501&gt;=AR$7)*($D$2:$D$501&lt;AQ$7)*($E$2:$E$501&gt;=$H40)*($E$2:$E$501&lt;$H39)," ")))</f>
        <v xml:space="preserve"> </v>
      </c>
      <c r="AR39" t="str" cm="1">
        <f t="array" ref="AR39">_xlfn.TEXTJOIN(",",TRUE,(_xlfn._xlws.FILTER($A$2:$A$501,($D$2:$D$501&gt;=AS$7)*($D$2:$D$501&lt;AR$7)*($E$2:$E$501&gt;=$H40)*($E$2:$E$501&lt;$H39)," ")))</f>
        <v xml:space="preserve"> </v>
      </c>
      <c r="AS39" t="str" cm="1">
        <f t="array" ref="AS39">_xlfn.TEXTJOIN(",",TRUE,(_xlfn._xlws.FILTER($A$2:$A$501,($D$2:$D$501&gt;=AT$7)*($D$2:$D$501&lt;AS$7)*($E$2:$E$501&gt;=$H40)*($E$2:$E$501&lt;$H39)," ")))</f>
        <v xml:space="preserve"> </v>
      </c>
      <c r="AT39" t="str" cm="1">
        <f t="array" ref="AT39">_xlfn.TEXTJOIN(",",TRUE,(_xlfn._xlws.FILTER($A$2:$A$501,($D$2:$D$501&gt;=AU$7)*($D$2:$D$501&lt;AT$7)*($E$2:$E$501&gt;=$H40)*($E$2:$E$501&lt;$H39)," ")))</f>
        <v xml:space="preserve"> </v>
      </c>
      <c r="AU39" t="str" cm="1">
        <f t="array" ref="AU39">_xlfn.TEXTJOIN(",",TRUE,(_xlfn._xlws.FILTER($A$2:$A$501,($D$2:$D$501&gt;=AV$7)*($D$2:$D$501&lt;AU$7)*($E$2:$E$501&gt;=$H40)*($E$2:$E$501&lt;$H39)," ")))</f>
        <v xml:space="preserve"> </v>
      </c>
      <c r="AV39" t="str" cm="1">
        <f t="array" ref="AV39">_xlfn.TEXTJOIN(",",TRUE,(_xlfn._xlws.FILTER($A$2:$A$501,($D$2:$D$501&gt;=AW$7)*($D$2:$D$501&lt;AV$7)*($E$2:$E$501&gt;=$H40)*($E$2:$E$501&lt;$H39)," ")))</f>
        <v xml:space="preserve"> </v>
      </c>
      <c r="AW39" t="str" cm="1">
        <f t="array" ref="AW39">_xlfn.TEXTJOIN(",",TRUE,(_xlfn._xlws.FILTER($A$2:$A$501,($D$2:$D$501&gt;=AX$7)*($D$2:$D$501&lt;AW$7)*($E$2:$E$501&gt;=$H40)*($E$2:$E$501&lt;$H39)," ")))</f>
        <v xml:space="preserve"> </v>
      </c>
      <c r="AX39" t="str" cm="1">
        <f t="array" ref="AX39">_xlfn.TEXTJOIN(",",TRUE,(_xlfn._xlws.FILTER($A$2:$A$501,($D$2:$D$501&gt;=AY$7)*($D$2:$D$501&lt;AX$7)*($E$2:$E$501&gt;=$H40)*($E$2:$E$501&lt;$H39)," ")))</f>
        <v xml:space="preserve"> </v>
      </c>
      <c r="AY39" t="str" cm="1">
        <f t="array" ref="AY39">_xlfn.TEXTJOIN(",",TRUE,(_xlfn._xlws.FILTER($A$2:$A$501,($D$2:$D$501&gt;=AZ$7)*($D$2:$D$501&lt;AY$7)*($E$2:$E$501&gt;=$H40)*($E$2:$E$501&lt;$H39)," ")))</f>
        <v xml:space="preserve"> </v>
      </c>
      <c r="AZ39" t="str" cm="1">
        <f t="array" ref="AZ39">_xlfn.TEXTJOIN(",",TRUE,(_xlfn._xlws.FILTER($A$2:$A$501,($D$2:$D$501&gt;=BA$7)*($D$2:$D$501&lt;AZ$7)*($E$2:$E$501&gt;=$H40)*($E$2:$E$501&lt;$H39)," ")))</f>
        <v xml:space="preserve"> </v>
      </c>
      <c r="BA39" t="str" cm="1">
        <f t="array" ref="BA39">_xlfn.TEXTJOIN(",",TRUE,(_xlfn._xlws.FILTER($A$2:$A$501,($D$2:$D$501&gt;=BB$7)*($D$2:$D$501&lt;BA$7)*($E$2:$E$501&gt;=$H40)*($E$2:$E$501&lt;$H39)," ")))</f>
        <v xml:space="preserve"> </v>
      </c>
      <c r="BB39" t="str" cm="1">
        <f t="array" ref="BB39">_xlfn.TEXTJOIN(",",TRUE,(_xlfn._xlws.FILTER($A$2:$A$501,($D$2:$D$501&gt;=BC$7)*($D$2:$D$501&lt;BB$7)*($E$2:$E$501&gt;=$H40)*($E$2:$E$501&lt;$H39)," ")))</f>
        <v xml:space="preserve"> </v>
      </c>
    </row>
    <row r="40" spans="1:54" x14ac:dyDescent="0.2">
      <c r="A40" s="3" t="s">
        <v>262</v>
      </c>
      <c r="B40" s="3" t="s">
        <v>261</v>
      </c>
      <c r="C40" s="13">
        <v>1876145.87</v>
      </c>
      <c r="D40" s="15">
        <v>33617505.189999998</v>
      </c>
      <c r="E40" s="22">
        <f>TuitionRates3[[#This Row],[Tuition]]/D40</f>
        <v>5.5808599103245954E-2</v>
      </c>
      <c r="F40"/>
      <c r="H40" s="18">
        <v>0.11799999999999999</v>
      </c>
      <c r="I40" t="str" cm="1">
        <f t="array" ref="I40">_xlfn.TEXTJOIN(",",TRUE,(_xlfn._xlws.FILTER($A$2:$A$501,($D$2:$D$501&gt;=J$7)*($D$2:$D$501&lt;I$7)*($E$2:$E$501&gt;=$H41)*($E$2:$E$501&lt;$H40)," ")))</f>
        <v xml:space="preserve"> </v>
      </c>
      <c r="J40" t="str" cm="1">
        <f t="array" ref="J40">_xlfn.TEXTJOIN(",",TRUE,(_xlfn._xlws.FILTER($A$2:$A$501,($D$2:$D$501&gt;=K$7)*($D$2:$D$501&lt;J$7)*($E$2:$E$501&gt;=$H41)*($E$2:$E$501&lt;$H40)," ")))</f>
        <v xml:space="preserve"> </v>
      </c>
      <c r="K40" t="str" cm="1">
        <f t="array" ref="K40">_xlfn.TEXTJOIN(",",TRUE,(_xlfn._xlws.FILTER($A$2:$A$501,($D$2:$D$501&gt;=L$7)*($D$2:$D$501&lt;K$7)*($E$2:$E$501&gt;=$H41)*($E$2:$E$501&lt;$H40)," ")))</f>
        <v xml:space="preserve"> </v>
      </c>
      <c r="L40" t="str" cm="1">
        <f t="array" ref="L40">_xlfn.TEXTJOIN(",",TRUE,(_xlfn._xlws.FILTER($A$2:$A$501,($D$2:$D$501&gt;=M$7)*($D$2:$D$501&lt;L$7)*($E$2:$E$501&gt;=$H41)*($E$2:$E$501&lt;$H40)," ")))</f>
        <v xml:space="preserve"> </v>
      </c>
      <c r="M40" t="str" cm="1">
        <f t="array" ref="M40">_xlfn.TEXTJOIN(",",TRUE,(_xlfn._xlws.FILTER($A$2:$A$501,($D$2:$D$501&gt;=N$7)*($D$2:$D$501&lt;M$7)*($E$2:$E$501&gt;=$H41)*($E$2:$E$501&lt;$H40)," ")))</f>
        <v xml:space="preserve"> </v>
      </c>
      <c r="N40" t="str" cm="1">
        <f t="array" ref="N40">_xlfn.TEXTJOIN(",",TRUE,(_xlfn._xlws.FILTER($A$2:$A$501,($D$2:$D$501&gt;=O$7)*($D$2:$D$501&lt;N$7)*($E$2:$E$501&gt;=$H41)*($E$2:$E$501&lt;$H40)," ")))</f>
        <v xml:space="preserve"> </v>
      </c>
      <c r="O40" t="str" cm="1">
        <f t="array" ref="O40">_xlfn.TEXTJOIN(",",TRUE,(_xlfn._xlws.FILTER($A$2:$A$501,($D$2:$D$501&gt;=P$7)*($D$2:$D$501&lt;O$7)*($E$2:$E$501&gt;=$H41)*($E$2:$E$501&lt;$H40)," ")))</f>
        <v xml:space="preserve"> </v>
      </c>
      <c r="P40" t="str" cm="1">
        <f t="array" ref="P40">_xlfn.TEXTJOIN(",",TRUE,(_xlfn._xlws.FILTER($A$2:$A$501,($D$2:$D$501&gt;=Q$7)*($D$2:$D$501&lt;P$7)*($E$2:$E$501&gt;=$H41)*($E$2:$E$501&lt;$H40)," ")))</f>
        <v xml:space="preserve"> </v>
      </c>
      <c r="Q40" t="str" cm="1">
        <f t="array" ref="Q40">_xlfn.TEXTJOIN(",",TRUE,(_xlfn._xlws.FILTER($A$2:$A$501,($D$2:$D$501&gt;=R$7)*($D$2:$D$501&lt;Q$7)*($E$2:$E$501&gt;=$H41)*($E$2:$E$501&lt;$H40)," ")))</f>
        <v xml:space="preserve"> </v>
      </c>
      <c r="R40" t="str" cm="1">
        <f t="array" ref="R40">_xlfn.TEXTJOIN(",",TRUE,(_xlfn._xlws.FILTER($A$2:$A$501,($D$2:$D$501&gt;=S$7)*($D$2:$D$501&lt;R$7)*($E$2:$E$501&gt;=$H41)*($E$2:$E$501&lt;$H40)," ")))</f>
        <v xml:space="preserve"> </v>
      </c>
      <c r="S40" t="str" cm="1">
        <f t="array" ref="S40">_xlfn.TEXTJOIN(",",TRUE,(_xlfn._xlws.FILTER($A$2:$A$501,($D$2:$D$501&gt;=T$7)*($D$2:$D$501&lt;S$7)*($E$2:$E$501&gt;=$H41)*($E$2:$E$501&lt;$H40)," ")))</f>
        <v xml:space="preserve"> </v>
      </c>
      <c r="T40" t="str" cm="1">
        <f t="array" ref="T40">_xlfn.TEXTJOIN(",",TRUE,(_xlfn._xlws.FILTER($A$2:$A$501,($D$2:$D$501&gt;=U$7)*($D$2:$D$501&lt;T$7)*($E$2:$E$501&gt;=$H41)*($E$2:$E$501&lt;$H40)," ")))</f>
        <v xml:space="preserve"> </v>
      </c>
      <c r="U40" t="str" cm="1">
        <f t="array" ref="U40">_xlfn.TEXTJOIN(",",TRUE,(_xlfn._xlws.FILTER($A$2:$A$501,($D$2:$D$501&gt;=V$7)*($D$2:$D$501&lt;U$7)*($E$2:$E$501&gt;=$H41)*($E$2:$E$501&lt;$H40)," ")))</f>
        <v xml:space="preserve"> </v>
      </c>
      <c r="V40" t="str" cm="1">
        <f t="array" ref="V40">_xlfn.TEXTJOIN(",",TRUE,(_xlfn._xlws.FILTER($A$2:$A$501,($D$2:$D$501&gt;=W$7)*($D$2:$D$501&lt;V$7)*($E$2:$E$501&gt;=$H41)*($E$2:$E$501&lt;$H40)," ")))</f>
        <v xml:space="preserve"> </v>
      </c>
      <c r="W40" t="str" cm="1">
        <f t="array" ref="W40">_xlfn.TEXTJOIN(",",TRUE,(_xlfn._xlws.FILTER($A$2:$A$501,($D$2:$D$501&gt;=X$7)*($D$2:$D$501&lt;W$7)*($E$2:$E$501&gt;=$H41)*($E$2:$E$501&lt;$H40)," ")))</f>
        <v xml:space="preserve"> </v>
      </c>
      <c r="X40" t="str" cm="1">
        <f t="array" ref="X40">_xlfn.TEXTJOIN(",",TRUE,(_xlfn._xlws.FILTER($A$2:$A$501,($D$2:$D$501&gt;=Y$7)*($D$2:$D$501&lt;X$7)*($E$2:$E$501&gt;=$H41)*($E$2:$E$501&lt;$H40)," ")))</f>
        <v xml:space="preserve"> </v>
      </c>
      <c r="Y40" t="str" cm="1">
        <f t="array" ref="Y40">_xlfn.TEXTJOIN(",",TRUE,(_xlfn._xlws.FILTER($A$2:$A$501,($D$2:$D$501&gt;=Z$7)*($D$2:$D$501&lt;Y$7)*($E$2:$E$501&gt;=$H41)*($E$2:$E$501&lt;$H40)," ")))</f>
        <v xml:space="preserve"> </v>
      </c>
      <c r="Z40" t="str" cm="1">
        <f t="array" ref="Z40">_xlfn.TEXTJOIN(",",TRUE,(_xlfn._xlws.FILTER($A$2:$A$501,($D$2:$D$501&gt;=AA$7)*($D$2:$D$501&lt;Z$7)*($E$2:$E$501&gt;=$H41)*($E$2:$E$501&lt;$H40)," ")))</f>
        <v xml:space="preserve"> </v>
      </c>
      <c r="AA40" t="str" cm="1">
        <f t="array" ref="AA40">_xlfn.TEXTJOIN(",",TRUE,(_xlfn._xlws.FILTER($A$2:$A$501,($D$2:$D$501&gt;=AB$7)*($D$2:$D$501&lt;AA$7)*($E$2:$E$501&gt;=$H41)*($E$2:$E$501&lt;$H40)," ")))</f>
        <v xml:space="preserve"> </v>
      </c>
      <c r="AB40" t="str" cm="1">
        <f t="array" ref="AB40">_xlfn.TEXTJOIN(",",TRUE,(_xlfn._xlws.FILTER($A$2:$A$501,($D$2:$D$501&gt;=AC$7)*($D$2:$D$501&lt;AB$7)*($E$2:$E$501&gt;=$H41)*($E$2:$E$501&lt;$H40)," ")))</f>
        <v xml:space="preserve"> </v>
      </c>
      <c r="AC40" t="str" cm="1">
        <f t="array" ref="AC40">_xlfn.TEXTJOIN(",",TRUE,(_xlfn._xlws.FILTER($A$2:$A$501,($D$2:$D$501&gt;=AD$7)*($D$2:$D$501&lt;AC$7)*($E$2:$E$501&gt;=$H41)*($E$2:$E$501&lt;$H40)," ")))</f>
        <v xml:space="preserve"> </v>
      </c>
      <c r="AD40" t="str" cm="1">
        <f t="array" ref="AD40">_xlfn.TEXTJOIN(",",TRUE,(_xlfn._xlws.FILTER($A$2:$A$501,($D$2:$D$501&gt;=AE$7)*($D$2:$D$501&lt;AD$7)*($E$2:$E$501&gt;=$H41)*($E$2:$E$501&lt;$H40)," ")))</f>
        <v xml:space="preserve"> </v>
      </c>
      <c r="AE40" t="str" cm="1">
        <f t="array" ref="AE40">_xlfn.TEXTJOIN(",",TRUE,(_xlfn._xlws.FILTER($A$2:$A$501,($D$2:$D$501&gt;=AF$7)*($D$2:$D$501&lt;AE$7)*($E$2:$E$501&gt;=$H41)*($E$2:$E$501&lt;$H40)," ")))</f>
        <v xml:space="preserve"> </v>
      </c>
      <c r="AF40" t="str" cm="1">
        <f t="array" ref="AF40">_xlfn.TEXTJOIN(",",TRUE,(_xlfn._xlws.FILTER($A$2:$A$501,($D$2:$D$501&gt;=AG$7)*($D$2:$D$501&lt;AF$7)*($E$2:$E$501&gt;=$H41)*($E$2:$E$501&lt;$H40)," ")))</f>
        <v xml:space="preserve"> </v>
      </c>
      <c r="AG40" t="str" cm="1">
        <f t="array" ref="AG40">_xlfn.TEXTJOIN(",",TRUE,(_xlfn._xlws.FILTER($A$2:$A$501,($D$2:$D$501&gt;=AH$7)*($D$2:$D$501&lt;AG$7)*($E$2:$E$501&gt;=$H41)*($E$2:$E$501&lt;$H40)," ")))</f>
        <v xml:space="preserve"> </v>
      </c>
      <c r="AH40" t="str" cm="1">
        <f t="array" ref="AH40">_xlfn.TEXTJOIN(",",TRUE,(_xlfn._xlws.FILTER($A$2:$A$501,($D$2:$D$501&gt;=AI$7)*($D$2:$D$501&lt;AH$7)*($E$2:$E$501&gt;=$H41)*($E$2:$E$501&lt;$H40)," ")))</f>
        <v xml:space="preserve"> </v>
      </c>
      <c r="AI40" t="str" cm="1">
        <f t="array" ref="AI40">_xlfn.TEXTJOIN(",",TRUE,(_xlfn._xlws.FILTER($A$2:$A$501,($D$2:$D$501&gt;=AJ$7)*($D$2:$D$501&lt;AI$7)*($E$2:$E$501&gt;=$H41)*($E$2:$E$501&lt;$H40)," ")))</f>
        <v xml:space="preserve"> </v>
      </c>
      <c r="AJ40" t="str" cm="1">
        <f t="array" ref="AJ40">_xlfn.TEXTJOIN(",",TRUE,(_xlfn._xlws.FILTER($A$2:$A$501,($D$2:$D$501&gt;=AK$7)*($D$2:$D$501&lt;AJ$7)*($E$2:$E$501&gt;=$H41)*($E$2:$E$501&lt;$H40)," ")))</f>
        <v xml:space="preserve"> </v>
      </c>
      <c r="AK40" t="str" cm="1">
        <f t="array" ref="AK40">_xlfn.TEXTJOIN(",",TRUE,(_xlfn._xlws.FILTER($A$2:$A$501,($D$2:$D$501&gt;=AL$7)*($D$2:$D$501&lt;AK$7)*($E$2:$E$501&gt;=$H41)*($E$2:$E$501&lt;$H40)," ")))</f>
        <v xml:space="preserve"> </v>
      </c>
      <c r="AL40" t="str" cm="1">
        <f t="array" ref="AL40">_xlfn.TEXTJOIN(",",TRUE,(_xlfn._xlws.FILTER($A$2:$A$501,($D$2:$D$501&gt;=AM$7)*($D$2:$D$501&lt;AL$7)*($E$2:$E$501&gt;=$H41)*($E$2:$E$501&lt;$H40)," ")))</f>
        <v xml:space="preserve"> </v>
      </c>
      <c r="AM40" t="str" cm="1">
        <f t="array" ref="AM40">_xlfn.TEXTJOIN(",",TRUE,(_xlfn._xlws.FILTER($A$2:$A$501,($D$2:$D$501&gt;=AN$7)*($D$2:$D$501&lt;AM$7)*($E$2:$E$501&gt;=$H41)*($E$2:$E$501&lt;$H40)," ")))</f>
        <v xml:space="preserve"> </v>
      </c>
      <c r="AN40" t="str" cm="1">
        <f t="array" ref="AN40">_xlfn.TEXTJOIN(",",TRUE,(_xlfn._xlws.FILTER($A$2:$A$501,($D$2:$D$501&gt;=AO$7)*($D$2:$D$501&lt;AN$7)*($E$2:$E$501&gt;=$H41)*($E$2:$E$501&lt;$H40)," ")))</f>
        <v xml:space="preserve"> </v>
      </c>
      <c r="AO40" t="str" cm="1">
        <f t="array" ref="AO40">_xlfn.TEXTJOIN(",",TRUE,(_xlfn._xlws.FILTER($A$2:$A$501,($D$2:$D$501&gt;=AP$7)*($D$2:$D$501&lt;AO$7)*($E$2:$E$501&gt;=$H41)*($E$2:$E$501&lt;$H40)," ")))</f>
        <v xml:space="preserve"> </v>
      </c>
      <c r="AP40" t="str" cm="1">
        <f t="array" ref="AP40">_xlfn.TEXTJOIN(",",TRUE,(_xlfn._xlws.FILTER($A$2:$A$501,($D$2:$D$501&gt;=AQ$7)*($D$2:$D$501&lt;AP$7)*($E$2:$E$501&gt;=$H41)*($E$2:$E$501&lt;$H40)," ")))</f>
        <v xml:space="preserve"> </v>
      </c>
      <c r="AQ40" t="str" cm="1">
        <f t="array" ref="AQ40">_xlfn.TEXTJOIN(",",TRUE,(_xlfn._xlws.FILTER($A$2:$A$501,($D$2:$D$501&gt;=AR$7)*($D$2:$D$501&lt;AQ$7)*($E$2:$E$501&gt;=$H41)*($E$2:$E$501&lt;$H40)," ")))</f>
        <v xml:space="preserve"> </v>
      </c>
      <c r="AR40" t="str" cm="1">
        <f t="array" ref="AR40">_xlfn.TEXTJOIN(",",TRUE,(_xlfn._xlws.FILTER($A$2:$A$501,($D$2:$D$501&gt;=AS$7)*($D$2:$D$501&lt;AR$7)*($E$2:$E$501&gt;=$H41)*($E$2:$E$501&lt;$H40)," ")))</f>
        <v xml:space="preserve"> </v>
      </c>
      <c r="AS40" t="str" cm="1">
        <f t="array" ref="AS40">_xlfn.TEXTJOIN(",",TRUE,(_xlfn._xlws.FILTER($A$2:$A$501,($D$2:$D$501&gt;=AT$7)*($D$2:$D$501&lt;AS$7)*($E$2:$E$501&gt;=$H41)*($E$2:$E$501&lt;$H40)," ")))</f>
        <v xml:space="preserve"> </v>
      </c>
      <c r="AT40" t="str" cm="1">
        <f t="array" ref="AT40">_xlfn.TEXTJOIN(",",TRUE,(_xlfn._xlws.FILTER($A$2:$A$501,($D$2:$D$501&gt;=AU$7)*($D$2:$D$501&lt;AT$7)*($E$2:$E$501&gt;=$H41)*($E$2:$E$501&lt;$H40)," ")))</f>
        <v xml:space="preserve"> </v>
      </c>
      <c r="AU40" t="str" cm="1">
        <f t="array" ref="AU40">_xlfn.TEXTJOIN(",",TRUE,(_xlfn._xlws.FILTER($A$2:$A$501,($D$2:$D$501&gt;=AV$7)*($D$2:$D$501&lt;AU$7)*($E$2:$E$501&gt;=$H41)*($E$2:$E$501&lt;$H40)," ")))</f>
        <v xml:space="preserve"> </v>
      </c>
      <c r="AV40" t="str" cm="1">
        <f t="array" ref="AV40">_xlfn.TEXTJOIN(",",TRUE,(_xlfn._xlws.FILTER($A$2:$A$501,($D$2:$D$501&gt;=AW$7)*($D$2:$D$501&lt;AV$7)*($E$2:$E$501&gt;=$H41)*($E$2:$E$501&lt;$H40)," ")))</f>
        <v xml:space="preserve"> </v>
      </c>
      <c r="AW40" t="str" cm="1">
        <f t="array" ref="AW40">_xlfn.TEXTJOIN(",",TRUE,(_xlfn._xlws.FILTER($A$2:$A$501,($D$2:$D$501&gt;=AX$7)*($D$2:$D$501&lt;AW$7)*($E$2:$E$501&gt;=$H41)*($E$2:$E$501&lt;$H40)," ")))</f>
        <v xml:space="preserve"> </v>
      </c>
      <c r="AX40" t="str" cm="1">
        <f t="array" ref="AX40">_xlfn.TEXTJOIN(",",TRUE,(_xlfn._xlws.FILTER($A$2:$A$501,($D$2:$D$501&gt;=AY$7)*($D$2:$D$501&lt;AX$7)*($E$2:$E$501&gt;=$H41)*($E$2:$E$501&lt;$H40)," ")))</f>
        <v xml:space="preserve"> </v>
      </c>
      <c r="AY40" t="str" cm="1">
        <f t="array" ref="AY40">_xlfn.TEXTJOIN(",",TRUE,(_xlfn._xlws.FILTER($A$2:$A$501,($D$2:$D$501&gt;=AZ$7)*($D$2:$D$501&lt;AY$7)*($E$2:$E$501&gt;=$H41)*($E$2:$E$501&lt;$H40)," ")))</f>
        <v xml:space="preserve"> </v>
      </c>
      <c r="AZ40" t="str" cm="1">
        <f t="array" ref="AZ40">_xlfn.TEXTJOIN(",",TRUE,(_xlfn._xlws.FILTER($A$2:$A$501,($D$2:$D$501&gt;=BA$7)*($D$2:$D$501&lt;AZ$7)*($E$2:$E$501&gt;=$H41)*($E$2:$E$501&lt;$H40)," ")))</f>
        <v xml:space="preserve"> </v>
      </c>
      <c r="BA40" t="str" cm="1">
        <f t="array" ref="BA40">_xlfn.TEXTJOIN(",",TRUE,(_xlfn._xlws.FILTER($A$2:$A$501,($D$2:$D$501&gt;=BB$7)*($D$2:$D$501&lt;BA$7)*($E$2:$E$501&gt;=$H41)*($E$2:$E$501&lt;$H40)," ")))</f>
        <v xml:space="preserve"> </v>
      </c>
      <c r="BB40" t="str" cm="1">
        <f t="array" ref="BB40">_xlfn.TEXTJOIN(",",TRUE,(_xlfn._xlws.FILTER($A$2:$A$501,($D$2:$D$501&gt;=BC$7)*($D$2:$D$501&lt;BB$7)*($E$2:$E$501&gt;=$H41)*($E$2:$E$501&lt;$H40)," ")))</f>
        <v xml:space="preserve"> </v>
      </c>
    </row>
    <row r="41" spans="1:54" x14ac:dyDescent="0.2">
      <c r="A41" s="3" t="s">
        <v>237</v>
      </c>
      <c r="B41" s="3" t="s">
        <v>227</v>
      </c>
      <c r="C41" s="13">
        <v>5967378.6100000003</v>
      </c>
      <c r="D41" s="15">
        <v>107083429</v>
      </c>
      <c r="E41" s="22">
        <f>TuitionRates3[[#This Row],[Tuition]]/D41</f>
        <v>5.572644307085086E-2</v>
      </c>
      <c r="F41"/>
      <c r="H41" s="18">
        <v>0.11700000000000001</v>
      </c>
      <c r="I41" t="str" cm="1">
        <f t="array" ref="I41">_xlfn.TEXTJOIN(",",TRUE,(_xlfn._xlws.FILTER($A$2:$A$501,($D$2:$D$501&gt;=J$7)*($D$2:$D$501&lt;I$7)*($E$2:$E$501&gt;=$H42)*($E$2:$E$501&lt;$H41)," ")))</f>
        <v xml:space="preserve"> </v>
      </c>
      <c r="J41" t="str" cm="1">
        <f t="array" ref="J41">_xlfn.TEXTJOIN(",",TRUE,(_xlfn._xlws.FILTER($A$2:$A$501,($D$2:$D$501&gt;=K$7)*($D$2:$D$501&lt;J$7)*($E$2:$E$501&gt;=$H42)*($E$2:$E$501&lt;$H41)," ")))</f>
        <v xml:space="preserve"> </v>
      </c>
      <c r="K41" t="str" cm="1">
        <f t="array" ref="K41">_xlfn.TEXTJOIN(",",TRUE,(_xlfn._xlws.FILTER($A$2:$A$501,($D$2:$D$501&gt;=L$7)*($D$2:$D$501&lt;K$7)*($E$2:$E$501&gt;=$H42)*($E$2:$E$501&lt;$H41)," ")))</f>
        <v xml:space="preserve"> </v>
      </c>
      <c r="L41" t="str" cm="1">
        <f t="array" ref="L41">_xlfn.TEXTJOIN(",",TRUE,(_xlfn._xlws.FILTER($A$2:$A$501,($D$2:$D$501&gt;=M$7)*($D$2:$D$501&lt;L$7)*($E$2:$E$501&gt;=$H42)*($E$2:$E$501&lt;$H41)," ")))</f>
        <v xml:space="preserve"> </v>
      </c>
      <c r="M41" t="str" cm="1">
        <f t="array" ref="M41">_xlfn.TEXTJOIN(",",TRUE,(_xlfn._xlws.FILTER($A$2:$A$501,($D$2:$D$501&gt;=N$7)*($D$2:$D$501&lt;M$7)*($E$2:$E$501&gt;=$H42)*($E$2:$E$501&lt;$H41)," ")))</f>
        <v xml:space="preserve"> </v>
      </c>
      <c r="N41" t="str" cm="1">
        <f t="array" ref="N41">_xlfn.TEXTJOIN(",",TRUE,(_xlfn._xlws.FILTER($A$2:$A$501,($D$2:$D$501&gt;=O$7)*($D$2:$D$501&lt;N$7)*($E$2:$E$501&gt;=$H42)*($E$2:$E$501&lt;$H41)," ")))</f>
        <v xml:space="preserve"> </v>
      </c>
      <c r="O41" t="str" cm="1">
        <f t="array" ref="O41">_xlfn.TEXTJOIN(",",TRUE,(_xlfn._xlws.FILTER($A$2:$A$501,($D$2:$D$501&gt;=P$7)*($D$2:$D$501&lt;O$7)*($E$2:$E$501&gt;=$H42)*($E$2:$E$501&lt;$H41)," ")))</f>
        <v xml:space="preserve"> </v>
      </c>
      <c r="P41" t="str" cm="1">
        <f t="array" ref="P41">_xlfn.TEXTJOIN(",",TRUE,(_xlfn._xlws.FILTER($A$2:$A$501,($D$2:$D$501&gt;=Q$7)*($D$2:$D$501&lt;P$7)*($E$2:$E$501&gt;=$H42)*($E$2:$E$501&lt;$H41)," ")))</f>
        <v xml:space="preserve"> </v>
      </c>
      <c r="Q41" t="str" cm="1">
        <f t="array" ref="Q41">_xlfn.TEXTJOIN(",",TRUE,(_xlfn._xlws.FILTER($A$2:$A$501,($D$2:$D$501&gt;=R$7)*($D$2:$D$501&lt;Q$7)*($E$2:$E$501&gt;=$H42)*($E$2:$E$501&lt;$H41)," ")))</f>
        <v xml:space="preserve"> </v>
      </c>
      <c r="R41" t="str" cm="1">
        <f t="array" ref="R41">_xlfn.TEXTJOIN(",",TRUE,(_xlfn._xlws.FILTER($A$2:$A$501,($D$2:$D$501&gt;=S$7)*($D$2:$D$501&lt;R$7)*($E$2:$E$501&gt;=$H42)*($E$2:$E$501&lt;$H41)," ")))</f>
        <v xml:space="preserve"> </v>
      </c>
      <c r="S41" t="str" cm="1">
        <f t="array" ref="S41">_xlfn.TEXTJOIN(",",TRUE,(_xlfn._xlws.FILTER($A$2:$A$501,($D$2:$D$501&gt;=T$7)*($D$2:$D$501&lt;S$7)*($E$2:$E$501&gt;=$H42)*($E$2:$E$501&lt;$H41)," ")))</f>
        <v xml:space="preserve"> </v>
      </c>
      <c r="T41" t="str" cm="1">
        <f t="array" ref="T41">_xlfn.TEXTJOIN(",",TRUE,(_xlfn._xlws.FILTER($A$2:$A$501,($D$2:$D$501&gt;=U$7)*($D$2:$D$501&lt;T$7)*($E$2:$E$501&gt;=$H42)*($E$2:$E$501&lt;$H41)," ")))</f>
        <v xml:space="preserve"> </v>
      </c>
      <c r="U41" t="str" cm="1">
        <f t="array" ref="U41">_xlfn.TEXTJOIN(",",TRUE,(_xlfn._xlws.FILTER($A$2:$A$501,($D$2:$D$501&gt;=V$7)*($D$2:$D$501&lt;U$7)*($E$2:$E$501&gt;=$H42)*($E$2:$E$501&lt;$H41)," ")))</f>
        <v xml:space="preserve"> </v>
      </c>
      <c r="V41" t="str" cm="1">
        <f t="array" ref="V41">_xlfn.TEXTJOIN(",",TRUE,(_xlfn._xlws.FILTER($A$2:$A$501,($D$2:$D$501&gt;=W$7)*($D$2:$D$501&lt;V$7)*($E$2:$E$501&gt;=$H42)*($E$2:$E$501&lt;$H41)," ")))</f>
        <v xml:space="preserve"> </v>
      </c>
      <c r="W41" t="str" cm="1">
        <f t="array" ref="W41">_xlfn.TEXTJOIN(",",TRUE,(_xlfn._xlws.FILTER($A$2:$A$501,($D$2:$D$501&gt;=X$7)*($D$2:$D$501&lt;W$7)*($E$2:$E$501&gt;=$H42)*($E$2:$E$501&lt;$H41)," ")))</f>
        <v xml:space="preserve"> </v>
      </c>
      <c r="X41" t="str" cm="1">
        <f t="array" ref="X41">_xlfn.TEXTJOIN(",",TRUE,(_xlfn._xlws.FILTER($A$2:$A$501,($D$2:$D$501&gt;=Y$7)*($D$2:$D$501&lt;X$7)*($E$2:$E$501&gt;=$H42)*($E$2:$E$501&lt;$H41)," ")))</f>
        <v xml:space="preserve"> </v>
      </c>
      <c r="Y41" t="str" cm="1">
        <f t="array" ref="Y41">_xlfn.TEXTJOIN(",",TRUE,(_xlfn._xlws.FILTER($A$2:$A$501,($D$2:$D$501&gt;=Z$7)*($D$2:$D$501&lt;Y$7)*($E$2:$E$501&gt;=$H42)*($E$2:$E$501&lt;$H41)," ")))</f>
        <v xml:space="preserve"> </v>
      </c>
      <c r="Z41" t="str" cm="1">
        <f t="array" ref="Z41">_xlfn.TEXTJOIN(",",TRUE,(_xlfn._xlws.FILTER($A$2:$A$501,($D$2:$D$501&gt;=AA$7)*($D$2:$D$501&lt;Z$7)*($E$2:$E$501&gt;=$H42)*($E$2:$E$501&lt;$H41)," ")))</f>
        <v xml:space="preserve"> </v>
      </c>
      <c r="AA41" t="str" cm="1">
        <f t="array" ref="AA41">_xlfn.TEXTJOIN(",",TRUE,(_xlfn._xlws.FILTER($A$2:$A$501,($D$2:$D$501&gt;=AB$7)*($D$2:$D$501&lt;AA$7)*($E$2:$E$501&gt;=$H42)*($E$2:$E$501&lt;$H41)," ")))</f>
        <v xml:space="preserve"> </v>
      </c>
      <c r="AB41" t="str" cm="1">
        <f t="array" ref="AB41">_xlfn.TEXTJOIN(",",TRUE,(_xlfn._xlws.FILTER($A$2:$A$501,($D$2:$D$501&gt;=AC$7)*($D$2:$D$501&lt;AB$7)*($E$2:$E$501&gt;=$H42)*($E$2:$E$501&lt;$H41)," ")))</f>
        <v xml:space="preserve"> </v>
      </c>
      <c r="AC41" t="str" cm="1">
        <f t="array" ref="AC41">_xlfn.TEXTJOIN(",",TRUE,(_xlfn._xlws.FILTER($A$2:$A$501,($D$2:$D$501&gt;=AD$7)*($D$2:$D$501&lt;AC$7)*($E$2:$E$501&gt;=$H42)*($E$2:$E$501&lt;$H41)," ")))</f>
        <v xml:space="preserve"> </v>
      </c>
      <c r="AD41" t="str" cm="1">
        <f t="array" ref="AD41">_xlfn.TEXTJOIN(",",TRUE,(_xlfn._xlws.FILTER($A$2:$A$501,($D$2:$D$501&gt;=AE$7)*($D$2:$D$501&lt;AD$7)*($E$2:$E$501&gt;=$H42)*($E$2:$E$501&lt;$H41)," ")))</f>
        <v xml:space="preserve"> </v>
      </c>
      <c r="AE41" t="str" cm="1">
        <f t="array" ref="AE41">_xlfn.TEXTJOIN(",",TRUE,(_xlfn._xlws.FILTER($A$2:$A$501,($D$2:$D$501&gt;=AF$7)*($D$2:$D$501&lt;AE$7)*($E$2:$E$501&gt;=$H42)*($E$2:$E$501&lt;$H41)," ")))</f>
        <v xml:space="preserve"> </v>
      </c>
      <c r="AF41" t="str" cm="1">
        <f t="array" ref="AF41">_xlfn.TEXTJOIN(",",TRUE,(_xlfn._xlws.FILTER($A$2:$A$501,($D$2:$D$501&gt;=AG$7)*($D$2:$D$501&lt;AF$7)*($E$2:$E$501&gt;=$H42)*($E$2:$E$501&lt;$H41)," ")))</f>
        <v xml:space="preserve"> </v>
      </c>
      <c r="AG41" t="str" cm="1">
        <f t="array" ref="AG41">_xlfn.TEXTJOIN(",",TRUE,(_xlfn._xlws.FILTER($A$2:$A$501,($D$2:$D$501&gt;=AH$7)*($D$2:$D$501&lt;AG$7)*($E$2:$E$501&gt;=$H42)*($E$2:$E$501&lt;$H41)," ")))</f>
        <v xml:space="preserve"> </v>
      </c>
      <c r="AH41" t="str" cm="1">
        <f t="array" ref="AH41">_xlfn.TEXTJOIN(",",TRUE,(_xlfn._xlws.FILTER($A$2:$A$501,($D$2:$D$501&gt;=AI$7)*($D$2:$D$501&lt;AH$7)*($E$2:$E$501&gt;=$H42)*($E$2:$E$501&lt;$H41)," ")))</f>
        <v xml:space="preserve"> </v>
      </c>
      <c r="AI41" t="str" cm="1">
        <f t="array" ref="AI41">_xlfn.TEXTJOIN(",",TRUE,(_xlfn._xlws.FILTER($A$2:$A$501,($D$2:$D$501&gt;=AJ$7)*($D$2:$D$501&lt;AI$7)*($E$2:$E$501&gt;=$H42)*($E$2:$E$501&lt;$H41)," ")))</f>
        <v xml:space="preserve"> </v>
      </c>
      <c r="AJ41" t="str" cm="1">
        <f t="array" ref="AJ41">_xlfn.TEXTJOIN(",",TRUE,(_xlfn._xlws.FILTER($A$2:$A$501,($D$2:$D$501&gt;=AK$7)*($D$2:$D$501&lt;AJ$7)*($E$2:$E$501&gt;=$H42)*($E$2:$E$501&lt;$H41)," ")))</f>
        <v xml:space="preserve"> </v>
      </c>
      <c r="AK41" t="str" cm="1">
        <f t="array" ref="AK41">_xlfn.TEXTJOIN(",",TRUE,(_xlfn._xlws.FILTER($A$2:$A$501,($D$2:$D$501&gt;=AL$7)*($D$2:$D$501&lt;AK$7)*($E$2:$E$501&gt;=$H42)*($E$2:$E$501&lt;$H41)," ")))</f>
        <v xml:space="preserve"> </v>
      </c>
      <c r="AL41" t="str" cm="1">
        <f t="array" ref="AL41">_xlfn.TEXTJOIN(",",TRUE,(_xlfn._xlws.FILTER($A$2:$A$501,($D$2:$D$501&gt;=AM$7)*($D$2:$D$501&lt;AL$7)*($E$2:$E$501&gt;=$H42)*($E$2:$E$501&lt;$H41)," ")))</f>
        <v xml:space="preserve"> </v>
      </c>
      <c r="AM41" t="str" cm="1">
        <f t="array" ref="AM41">_xlfn.TEXTJOIN(",",TRUE,(_xlfn._xlws.FILTER($A$2:$A$501,($D$2:$D$501&gt;=AN$7)*($D$2:$D$501&lt;AM$7)*($E$2:$E$501&gt;=$H42)*($E$2:$E$501&lt;$H41)," ")))</f>
        <v xml:space="preserve"> </v>
      </c>
      <c r="AN41" t="str" cm="1">
        <f t="array" ref="AN41">_xlfn.TEXTJOIN(",",TRUE,(_xlfn._xlws.FILTER($A$2:$A$501,($D$2:$D$501&gt;=AO$7)*($D$2:$D$501&lt;AN$7)*($E$2:$E$501&gt;=$H42)*($E$2:$E$501&lt;$H41)," ")))</f>
        <v xml:space="preserve"> </v>
      </c>
      <c r="AO41" t="str" cm="1">
        <f t="array" ref="AO41">_xlfn.TEXTJOIN(",",TRUE,(_xlfn._xlws.FILTER($A$2:$A$501,($D$2:$D$501&gt;=AP$7)*($D$2:$D$501&lt;AO$7)*($E$2:$E$501&gt;=$H42)*($E$2:$E$501&lt;$H41)," ")))</f>
        <v xml:space="preserve"> </v>
      </c>
      <c r="AP41" t="str" cm="1">
        <f t="array" ref="AP41">_xlfn.TEXTJOIN(",",TRUE,(_xlfn._xlws.FILTER($A$2:$A$501,($D$2:$D$501&gt;=AQ$7)*($D$2:$D$501&lt;AP$7)*($E$2:$E$501&gt;=$H42)*($E$2:$E$501&lt;$H41)," ")))</f>
        <v xml:space="preserve"> </v>
      </c>
      <c r="AQ41" t="str" cm="1">
        <f t="array" ref="AQ41">_xlfn.TEXTJOIN(",",TRUE,(_xlfn._xlws.FILTER($A$2:$A$501,($D$2:$D$501&gt;=AR$7)*($D$2:$D$501&lt;AQ$7)*($E$2:$E$501&gt;=$H42)*($E$2:$E$501&lt;$H41)," ")))</f>
        <v xml:space="preserve"> </v>
      </c>
      <c r="AR41" t="str" cm="1">
        <f t="array" ref="AR41">_xlfn.TEXTJOIN(",",TRUE,(_xlfn._xlws.FILTER($A$2:$A$501,($D$2:$D$501&gt;=AS$7)*($D$2:$D$501&lt;AR$7)*($E$2:$E$501&gt;=$H42)*($E$2:$E$501&lt;$H41)," ")))</f>
        <v xml:space="preserve"> </v>
      </c>
      <c r="AS41" t="str" cm="1">
        <f t="array" ref="AS41">_xlfn.TEXTJOIN(",",TRUE,(_xlfn._xlws.FILTER($A$2:$A$501,($D$2:$D$501&gt;=AT$7)*($D$2:$D$501&lt;AS$7)*($E$2:$E$501&gt;=$H42)*($E$2:$E$501&lt;$H41)," ")))</f>
        <v xml:space="preserve"> </v>
      </c>
      <c r="AT41" t="str" cm="1">
        <f t="array" ref="AT41">_xlfn.TEXTJOIN(",",TRUE,(_xlfn._xlws.FILTER($A$2:$A$501,($D$2:$D$501&gt;=AU$7)*($D$2:$D$501&lt;AT$7)*($E$2:$E$501&gt;=$H42)*($E$2:$E$501&lt;$H41)," ")))</f>
        <v xml:space="preserve"> </v>
      </c>
      <c r="AU41" t="str" cm="1">
        <f t="array" ref="AU41">_xlfn.TEXTJOIN(",",TRUE,(_xlfn._xlws.FILTER($A$2:$A$501,($D$2:$D$501&gt;=AV$7)*($D$2:$D$501&lt;AU$7)*($E$2:$E$501&gt;=$H42)*($E$2:$E$501&lt;$H41)," ")))</f>
        <v xml:space="preserve"> </v>
      </c>
      <c r="AV41" t="str" cm="1">
        <f t="array" ref="AV41">_xlfn.TEXTJOIN(",",TRUE,(_xlfn._xlws.FILTER($A$2:$A$501,($D$2:$D$501&gt;=AW$7)*($D$2:$D$501&lt;AV$7)*($E$2:$E$501&gt;=$H42)*($E$2:$E$501&lt;$H41)," ")))</f>
        <v xml:space="preserve"> </v>
      </c>
      <c r="AW41" t="str" cm="1">
        <f t="array" ref="AW41">_xlfn.TEXTJOIN(",",TRUE,(_xlfn._xlws.FILTER($A$2:$A$501,($D$2:$D$501&gt;=AX$7)*($D$2:$D$501&lt;AW$7)*($E$2:$E$501&gt;=$H42)*($E$2:$E$501&lt;$H41)," ")))</f>
        <v xml:space="preserve"> </v>
      </c>
      <c r="AX41" t="str" cm="1">
        <f t="array" ref="AX41">_xlfn.TEXTJOIN(",",TRUE,(_xlfn._xlws.FILTER($A$2:$A$501,($D$2:$D$501&gt;=AY$7)*($D$2:$D$501&lt;AX$7)*($E$2:$E$501&gt;=$H42)*($E$2:$E$501&lt;$H41)," ")))</f>
        <v xml:space="preserve"> </v>
      </c>
      <c r="AY41" t="str" cm="1">
        <f t="array" ref="AY41">_xlfn.TEXTJOIN(",",TRUE,(_xlfn._xlws.FILTER($A$2:$A$501,($D$2:$D$501&gt;=AZ$7)*($D$2:$D$501&lt;AY$7)*($E$2:$E$501&gt;=$H42)*($E$2:$E$501&lt;$H41)," ")))</f>
        <v xml:space="preserve"> </v>
      </c>
      <c r="AZ41" t="str" cm="1">
        <f t="array" ref="AZ41">_xlfn.TEXTJOIN(",",TRUE,(_xlfn._xlws.FILTER($A$2:$A$501,($D$2:$D$501&gt;=BA$7)*($D$2:$D$501&lt;AZ$7)*($E$2:$E$501&gt;=$H42)*($E$2:$E$501&lt;$H41)," ")))</f>
        <v xml:space="preserve"> </v>
      </c>
      <c r="BA41" t="str" cm="1">
        <f t="array" ref="BA41">_xlfn.TEXTJOIN(",",TRUE,(_xlfn._xlws.FILTER($A$2:$A$501,($D$2:$D$501&gt;=BB$7)*($D$2:$D$501&lt;BA$7)*($E$2:$E$501&gt;=$H42)*($E$2:$E$501&lt;$H41)," ")))</f>
        <v xml:space="preserve"> </v>
      </c>
      <c r="BB41" t="str" cm="1">
        <f t="array" ref="BB41">_xlfn.TEXTJOIN(",",TRUE,(_xlfn._xlws.FILTER($A$2:$A$501,($D$2:$D$501&gt;=BC$7)*($D$2:$D$501&lt;BB$7)*($E$2:$E$501&gt;=$H42)*($E$2:$E$501&lt;$H41)," ")))</f>
        <v xml:space="preserve"> </v>
      </c>
    </row>
    <row r="42" spans="1:54" x14ac:dyDescent="0.2">
      <c r="A42" s="3" t="s">
        <v>482</v>
      </c>
      <c r="B42" s="3" t="s">
        <v>479</v>
      </c>
      <c r="C42" s="13">
        <v>1114386.72</v>
      </c>
      <c r="D42" s="15">
        <v>20124370.77</v>
      </c>
      <c r="E42" s="22">
        <f>TuitionRates3[[#This Row],[Tuition]]/D42</f>
        <v>5.5374984526783293E-2</v>
      </c>
      <c r="F42"/>
      <c r="H42" s="18">
        <v>0.11600000000000001</v>
      </c>
      <c r="I42" t="str" cm="1">
        <f t="array" ref="I42">_xlfn.TEXTJOIN(",",TRUE,(_xlfn._xlws.FILTER($A$2:$A$501,($D$2:$D$501&gt;=J$7)*($D$2:$D$501&lt;I$7)*($E$2:$E$501&gt;=$H43)*($E$2:$E$501&lt;$H42)," ")))</f>
        <v xml:space="preserve"> </v>
      </c>
      <c r="J42" t="str" cm="1">
        <f t="array" ref="J42">_xlfn.TEXTJOIN(",",TRUE,(_xlfn._xlws.FILTER($A$2:$A$501,($D$2:$D$501&gt;=K$7)*($D$2:$D$501&lt;J$7)*($E$2:$E$501&gt;=$H43)*($E$2:$E$501&lt;$H42)," ")))</f>
        <v xml:space="preserve"> </v>
      </c>
      <c r="K42" t="str" cm="1">
        <f t="array" ref="K42">_xlfn.TEXTJOIN(",",TRUE,(_xlfn._xlws.FILTER($A$2:$A$501,($D$2:$D$501&gt;=L$7)*($D$2:$D$501&lt;K$7)*($E$2:$E$501&gt;=$H43)*($E$2:$E$501&lt;$H42)," ")))</f>
        <v xml:space="preserve"> </v>
      </c>
      <c r="L42" t="str" cm="1">
        <f t="array" ref="L42">_xlfn.TEXTJOIN(",",TRUE,(_xlfn._xlws.FILTER($A$2:$A$501,($D$2:$D$501&gt;=M$7)*($D$2:$D$501&lt;L$7)*($E$2:$E$501&gt;=$H43)*($E$2:$E$501&lt;$H42)," ")))</f>
        <v xml:space="preserve"> </v>
      </c>
      <c r="M42" t="str" cm="1">
        <f t="array" ref="M42">_xlfn.TEXTJOIN(",",TRUE,(_xlfn._xlws.FILTER($A$2:$A$501,($D$2:$D$501&gt;=N$7)*($D$2:$D$501&lt;M$7)*($E$2:$E$501&gt;=$H43)*($E$2:$E$501&lt;$H42)," ")))</f>
        <v xml:space="preserve"> </v>
      </c>
      <c r="N42" t="str" cm="1">
        <f t="array" ref="N42">_xlfn.TEXTJOIN(",",TRUE,(_xlfn._xlws.FILTER($A$2:$A$501,($D$2:$D$501&gt;=O$7)*($D$2:$D$501&lt;N$7)*($E$2:$E$501&gt;=$H43)*($E$2:$E$501&lt;$H42)," ")))</f>
        <v xml:space="preserve"> </v>
      </c>
      <c r="O42" t="str" cm="1">
        <f t="array" ref="O42">_xlfn.TEXTJOIN(",",TRUE,(_xlfn._xlws.FILTER($A$2:$A$501,($D$2:$D$501&gt;=P$7)*($D$2:$D$501&lt;O$7)*($E$2:$E$501&gt;=$H43)*($E$2:$E$501&lt;$H42)," ")))</f>
        <v xml:space="preserve"> </v>
      </c>
      <c r="P42" t="str" cm="1">
        <f t="array" ref="P42">_xlfn.TEXTJOIN(",",TRUE,(_xlfn._xlws.FILTER($A$2:$A$501,($D$2:$D$501&gt;=Q$7)*($D$2:$D$501&lt;P$7)*($E$2:$E$501&gt;=$H43)*($E$2:$E$501&lt;$H42)," ")))</f>
        <v xml:space="preserve"> </v>
      </c>
      <c r="Q42" t="str" cm="1">
        <f t="array" ref="Q42">_xlfn.TEXTJOIN(",",TRUE,(_xlfn._xlws.FILTER($A$2:$A$501,($D$2:$D$501&gt;=R$7)*($D$2:$D$501&lt;Q$7)*($E$2:$E$501&gt;=$H43)*($E$2:$E$501&lt;$H42)," ")))</f>
        <v xml:space="preserve"> </v>
      </c>
      <c r="R42" t="str" cm="1">
        <f t="array" ref="R42">_xlfn.TEXTJOIN(",",TRUE,(_xlfn._xlws.FILTER($A$2:$A$501,($D$2:$D$501&gt;=S$7)*($D$2:$D$501&lt;R$7)*($E$2:$E$501&gt;=$H43)*($E$2:$E$501&lt;$H42)," ")))</f>
        <v xml:space="preserve"> </v>
      </c>
      <c r="S42" t="str" cm="1">
        <f t="array" ref="S42">_xlfn.TEXTJOIN(",",TRUE,(_xlfn._xlws.FILTER($A$2:$A$501,($D$2:$D$501&gt;=T$7)*($D$2:$D$501&lt;S$7)*($E$2:$E$501&gt;=$H43)*($E$2:$E$501&lt;$H42)," ")))</f>
        <v xml:space="preserve"> </v>
      </c>
      <c r="T42" t="str" cm="1">
        <f t="array" ref="T42">_xlfn.TEXTJOIN(",",TRUE,(_xlfn._xlws.FILTER($A$2:$A$501,($D$2:$D$501&gt;=U$7)*($D$2:$D$501&lt;T$7)*($E$2:$E$501&gt;=$H43)*($E$2:$E$501&lt;$H42)," ")))</f>
        <v xml:space="preserve"> </v>
      </c>
      <c r="U42" t="str" cm="1">
        <f t="array" ref="U42">_xlfn.TEXTJOIN(",",TRUE,(_xlfn._xlws.FILTER($A$2:$A$501,($D$2:$D$501&gt;=V$7)*($D$2:$D$501&lt;U$7)*($E$2:$E$501&gt;=$H43)*($E$2:$E$501&lt;$H42)," ")))</f>
        <v xml:space="preserve"> </v>
      </c>
      <c r="V42" t="str" cm="1">
        <f t="array" ref="V42">_xlfn.TEXTJOIN(",",TRUE,(_xlfn._xlws.FILTER($A$2:$A$501,($D$2:$D$501&gt;=W$7)*($D$2:$D$501&lt;V$7)*($E$2:$E$501&gt;=$H43)*($E$2:$E$501&lt;$H42)," ")))</f>
        <v xml:space="preserve"> </v>
      </c>
      <c r="W42" t="str" cm="1">
        <f t="array" ref="W42">_xlfn.TEXTJOIN(",",TRUE,(_xlfn._xlws.FILTER($A$2:$A$501,($D$2:$D$501&gt;=X$7)*($D$2:$D$501&lt;W$7)*($E$2:$E$501&gt;=$H43)*($E$2:$E$501&lt;$H42)," ")))</f>
        <v xml:space="preserve"> </v>
      </c>
      <c r="X42" t="str" cm="1">
        <f t="array" ref="X42">_xlfn.TEXTJOIN(",",TRUE,(_xlfn._xlws.FILTER($A$2:$A$501,($D$2:$D$501&gt;=Y$7)*($D$2:$D$501&lt;X$7)*($E$2:$E$501&gt;=$H43)*($E$2:$E$501&lt;$H42)," ")))</f>
        <v xml:space="preserve"> </v>
      </c>
      <c r="Y42" t="str" cm="1">
        <f t="array" ref="Y42">_xlfn.TEXTJOIN(",",TRUE,(_xlfn._xlws.FILTER($A$2:$A$501,($D$2:$D$501&gt;=Z$7)*($D$2:$D$501&lt;Y$7)*($E$2:$E$501&gt;=$H43)*($E$2:$E$501&lt;$H42)," ")))</f>
        <v xml:space="preserve"> </v>
      </c>
      <c r="Z42" t="str" cm="1">
        <f t="array" ref="Z42">_xlfn.TEXTJOIN(",",TRUE,(_xlfn._xlws.FILTER($A$2:$A$501,($D$2:$D$501&gt;=AA$7)*($D$2:$D$501&lt;Z$7)*($E$2:$E$501&gt;=$H43)*($E$2:$E$501&lt;$H42)," ")))</f>
        <v xml:space="preserve"> </v>
      </c>
      <c r="AA42" t="str" cm="1">
        <f t="array" ref="AA42">_xlfn.TEXTJOIN(",",TRUE,(_xlfn._xlws.FILTER($A$2:$A$501,($D$2:$D$501&gt;=AB$7)*($D$2:$D$501&lt;AA$7)*($E$2:$E$501&gt;=$H43)*($E$2:$E$501&lt;$H42)," ")))</f>
        <v xml:space="preserve"> </v>
      </c>
      <c r="AB42" t="str" cm="1">
        <f t="array" ref="AB42">_xlfn.TEXTJOIN(",",TRUE,(_xlfn._xlws.FILTER($A$2:$A$501,($D$2:$D$501&gt;=AC$7)*($D$2:$D$501&lt;AB$7)*($E$2:$E$501&gt;=$H43)*($E$2:$E$501&lt;$H42)," ")))</f>
        <v xml:space="preserve"> </v>
      </c>
      <c r="AC42" t="str" cm="1">
        <f t="array" ref="AC42">_xlfn.TEXTJOIN(",",TRUE,(_xlfn._xlws.FILTER($A$2:$A$501,($D$2:$D$501&gt;=AD$7)*($D$2:$D$501&lt;AC$7)*($E$2:$E$501&gt;=$H43)*($E$2:$E$501&lt;$H42)," ")))</f>
        <v xml:space="preserve"> </v>
      </c>
      <c r="AD42" t="str" cm="1">
        <f t="array" ref="AD42">_xlfn.TEXTJOIN(",",TRUE,(_xlfn._xlws.FILTER($A$2:$A$501,($D$2:$D$501&gt;=AE$7)*($D$2:$D$501&lt;AD$7)*($E$2:$E$501&gt;=$H43)*($E$2:$E$501&lt;$H42)," ")))</f>
        <v xml:space="preserve"> </v>
      </c>
      <c r="AE42" t="str" cm="1">
        <f t="array" ref="AE42">_xlfn.TEXTJOIN(",",TRUE,(_xlfn._xlws.FILTER($A$2:$A$501,($D$2:$D$501&gt;=AF$7)*($D$2:$D$501&lt;AE$7)*($E$2:$E$501&gt;=$H43)*($E$2:$E$501&lt;$H42)," ")))</f>
        <v xml:space="preserve"> </v>
      </c>
      <c r="AF42" t="str" cm="1">
        <f t="array" ref="AF42">_xlfn.TEXTJOIN(",",TRUE,(_xlfn._xlws.FILTER($A$2:$A$501,($D$2:$D$501&gt;=AG$7)*($D$2:$D$501&lt;AF$7)*($E$2:$E$501&gt;=$H43)*($E$2:$E$501&lt;$H42)," ")))</f>
        <v xml:space="preserve"> </v>
      </c>
      <c r="AG42" t="str" cm="1">
        <f t="array" ref="AG42">_xlfn.TEXTJOIN(",",TRUE,(_xlfn._xlws.FILTER($A$2:$A$501,($D$2:$D$501&gt;=AH$7)*($D$2:$D$501&lt;AG$7)*($E$2:$E$501&gt;=$H43)*($E$2:$E$501&lt;$H42)," ")))</f>
        <v xml:space="preserve"> </v>
      </c>
      <c r="AH42" t="str" cm="1">
        <f t="array" ref="AH42">_xlfn.TEXTJOIN(",",TRUE,(_xlfn._xlws.FILTER($A$2:$A$501,($D$2:$D$501&gt;=AI$7)*($D$2:$D$501&lt;AH$7)*($E$2:$E$501&gt;=$H43)*($E$2:$E$501&lt;$H42)," ")))</f>
        <v xml:space="preserve"> </v>
      </c>
      <c r="AI42" t="str" cm="1">
        <f t="array" ref="AI42">_xlfn.TEXTJOIN(",",TRUE,(_xlfn._xlws.FILTER($A$2:$A$501,($D$2:$D$501&gt;=AJ$7)*($D$2:$D$501&lt;AI$7)*($E$2:$E$501&gt;=$H43)*($E$2:$E$501&lt;$H42)," ")))</f>
        <v xml:space="preserve"> </v>
      </c>
      <c r="AJ42" t="str" cm="1">
        <f t="array" ref="AJ42">_xlfn.TEXTJOIN(",",TRUE,(_xlfn._xlws.FILTER($A$2:$A$501,($D$2:$D$501&gt;=AK$7)*($D$2:$D$501&lt;AJ$7)*($E$2:$E$501&gt;=$H43)*($E$2:$E$501&lt;$H42)," ")))</f>
        <v xml:space="preserve"> </v>
      </c>
      <c r="AK42" t="str" cm="1">
        <f t="array" ref="AK42">_xlfn.TEXTJOIN(",",TRUE,(_xlfn._xlws.FILTER($A$2:$A$501,($D$2:$D$501&gt;=AL$7)*($D$2:$D$501&lt;AK$7)*($E$2:$E$501&gt;=$H43)*($E$2:$E$501&lt;$H42)," ")))</f>
        <v xml:space="preserve"> </v>
      </c>
      <c r="AL42" t="str" cm="1">
        <f t="array" ref="AL42">_xlfn.TEXTJOIN(",",TRUE,(_xlfn._xlws.FILTER($A$2:$A$501,($D$2:$D$501&gt;=AM$7)*($D$2:$D$501&lt;AL$7)*($E$2:$E$501&gt;=$H43)*($E$2:$E$501&lt;$H42)," ")))</f>
        <v xml:space="preserve"> </v>
      </c>
      <c r="AM42" t="str" cm="1">
        <f t="array" ref="AM42">_xlfn.TEXTJOIN(",",TRUE,(_xlfn._xlws.FILTER($A$2:$A$501,($D$2:$D$501&gt;=AN$7)*($D$2:$D$501&lt;AM$7)*($E$2:$E$501&gt;=$H43)*($E$2:$E$501&lt;$H42)," ")))</f>
        <v xml:space="preserve"> </v>
      </c>
      <c r="AN42" t="str" cm="1">
        <f t="array" ref="AN42">_xlfn.TEXTJOIN(",",TRUE,(_xlfn._xlws.FILTER($A$2:$A$501,($D$2:$D$501&gt;=AO$7)*($D$2:$D$501&lt;AN$7)*($E$2:$E$501&gt;=$H43)*($E$2:$E$501&lt;$H42)," ")))</f>
        <v xml:space="preserve"> </v>
      </c>
      <c r="AO42" t="str" cm="1">
        <f t="array" ref="AO42">_xlfn.TEXTJOIN(",",TRUE,(_xlfn._xlws.FILTER($A$2:$A$501,($D$2:$D$501&gt;=AP$7)*($D$2:$D$501&lt;AO$7)*($E$2:$E$501&gt;=$H43)*($E$2:$E$501&lt;$H42)," ")))</f>
        <v xml:space="preserve"> </v>
      </c>
      <c r="AP42" t="str" cm="1">
        <f t="array" ref="AP42">_xlfn.TEXTJOIN(",",TRUE,(_xlfn._xlws.FILTER($A$2:$A$501,($D$2:$D$501&gt;=AQ$7)*($D$2:$D$501&lt;AP$7)*($E$2:$E$501&gt;=$H43)*($E$2:$E$501&lt;$H42)," ")))</f>
        <v xml:space="preserve"> </v>
      </c>
      <c r="AQ42" t="str" cm="1">
        <f t="array" ref="AQ42">_xlfn.TEXTJOIN(",",TRUE,(_xlfn._xlws.FILTER($A$2:$A$501,($D$2:$D$501&gt;=AR$7)*($D$2:$D$501&lt;AQ$7)*($E$2:$E$501&gt;=$H43)*($E$2:$E$501&lt;$H42)," ")))</f>
        <v xml:space="preserve"> </v>
      </c>
      <c r="AR42" t="str" cm="1">
        <f t="array" ref="AR42">_xlfn.TEXTJOIN(",",TRUE,(_xlfn._xlws.FILTER($A$2:$A$501,($D$2:$D$501&gt;=AS$7)*($D$2:$D$501&lt;AR$7)*($E$2:$E$501&gt;=$H43)*($E$2:$E$501&lt;$H42)," ")))</f>
        <v xml:space="preserve"> </v>
      </c>
      <c r="AS42" t="str" cm="1">
        <f t="array" ref="AS42">_xlfn.TEXTJOIN(",",TRUE,(_xlfn._xlws.FILTER($A$2:$A$501,($D$2:$D$501&gt;=AT$7)*($D$2:$D$501&lt;AS$7)*($E$2:$E$501&gt;=$H43)*($E$2:$E$501&lt;$H42)," ")))</f>
        <v xml:space="preserve"> </v>
      </c>
      <c r="AT42" t="str" cm="1">
        <f t="array" ref="AT42">_xlfn.TEXTJOIN(",",TRUE,(_xlfn._xlws.FILTER($A$2:$A$501,($D$2:$D$501&gt;=AU$7)*($D$2:$D$501&lt;AT$7)*($E$2:$E$501&gt;=$H43)*($E$2:$E$501&lt;$H42)," ")))</f>
        <v xml:space="preserve"> </v>
      </c>
      <c r="AU42" t="str" cm="1">
        <f t="array" ref="AU42">_xlfn.TEXTJOIN(",",TRUE,(_xlfn._xlws.FILTER($A$2:$A$501,($D$2:$D$501&gt;=AV$7)*($D$2:$D$501&lt;AU$7)*($E$2:$E$501&gt;=$H43)*($E$2:$E$501&lt;$H42)," ")))</f>
        <v xml:space="preserve"> </v>
      </c>
      <c r="AV42" t="str" cm="1">
        <f t="array" ref="AV42">_xlfn.TEXTJOIN(",",TRUE,(_xlfn._xlws.FILTER($A$2:$A$501,($D$2:$D$501&gt;=AW$7)*($D$2:$D$501&lt;AV$7)*($E$2:$E$501&gt;=$H43)*($E$2:$E$501&lt;$H42)," ")))</f>
        <v xml:space="preserve"> </v>
      </c>
      <c r="AW42" t="str" cm="1">
        <f t="array" ref="AW42">_xlfn.TEXTJOIN(",",TRUE,(_xlfn._xlws.FILTER($A$2:$A$501,($D$2:$D$501&gt;=AX$7)*($D$2:$D$501&lt;AW$7)*($E$2:$E$501&gt;=$H43)*($E$2:$E$501&lt;$H42)," ")))</f>
        <v xml:space="preserve"> </v>
      </c>
      <c r="AX42" t="str" cm="1">
        <f t="array" ref="AX42">_xlfn.TEXTJOIN(",",TRUE,(_xlfn._xlws.FILTER($A$2:$A$501,($D$2:$D$501&gt;=AY$7)*($D$2:$D$501&lt;AX$7)*($E$2:$E$501&gt;=$H43)*($E$2:$E$501&lt;$H42)," ")))</f>
        <v xml:space="preserve"> </v>
      </c>
      <c r="AY42" t="str" cm="1">
        <f t="array" ref="AY42">_xlfn.TEXTJOIN(",",TRUE,(_xlfn._xlws.FILTER($A$2:$A$501,($D$2:$D$501&gt;=AZ$7)*($D$2:$D$501&lt;AY$7)*($E$2:$E$501&gt;=$H43)*($E$2:$E$501&lt;$H42)," ")))</f>
        <v xml:space="preserve"> </v>
      </c>
      <c r="AZ42" t="str" cm="1">
        <f t="array" ref="AZ42">_xlfn.TEXTJOIN(",",TRUE,(_xlfn._xlws.FILTER($A$2:$A$501,($D$2:$D$501&gt;=BA$7)*($D$2:$D$501&lt;AZ$7)*($E$2:$E$501&gt;=$H43)*($E$2:$E$501&lt;$H42)," ")))</f>
        <v xml:space="preserve"> </v>
      </c>
      <c r="BA42" t="str" cm="1">
        <f t="array" ref="BA42">_xlfn.TEXTJOIN(",",TRUE,(_xlfn._xlws.FILTER($A$2:$A$501,($D$2:$D$501&gt;=BB$7)*($D$2:$D$501&lt;BA$7)*($E$2:$E$501&gt;=$H43)*($E$2:$E$501&lt;$H42)," ")))</f>
        <v xml:space="preserve"> </v>
      </c>
      <c r="BB42" t="str" cm="1">
        <f t="array" ref="BB42">_xlfn.TEXTJOIN(",",TRUE,(_xlfn._xlws.FILTER($A$2:$A$501,($D$2:$D$501&gt;=BC$7)*($D$2:$D$501&lt;BB$7)*($E$2:$E$501&gt;=$H43)*($E$2:$E$501&lt;$H42)," ")))</f>
        <v xml:space="preserve"> </v>
      </c>
    </row>
    <row r="43" spans="1:54" x14ac:dyDescent="0.2">
      <c r="A43" s="3" t="s">
        <v>204</v>
      </c>
      <c r="B43" s="3" t="s">
        <v>203</v>
      </c>
      <c r="C43" s="13">
        <v>3739915.35</v>
      </c>
      <c r="D43" s="15">
        <v>67798510.799999997</v>
      </c>
      <c r="E43" s="22">
        <f>TuitionRates3[[#This Row],[Tuition]]/D43</f>
        <v>5.516220497869697E-2</v>
      </c>
      <c r="F43"/>
      <c r="H43" s="18">
        <v>0.115</v>
      </c>
      <c r="I43" t="str" cm="1">
        <f t="array" ref="I43">_xlfn.TEXTJOIN(",",TRUE,(_xlfn._xlws.FILTER($A$2:$A$501,($D$2:$D$501&gt;=J$7)*($D$2:$D$501&lt;I$7)*($E$2:$E$501&gt;=$H44)*($E$2:$E$501&lt;$H43)," ")))</f>
        <v xml:space="preserve"> </v>
      </c>
      <c r="J43" t="str" cm="1">
        <f t="array" ref="J43">_xlfn.TEXTJOIN(",",TRUE,(_xlfn._xlws.FILTER($A$2:$A$501,($D$2:$D$501&gt;=K$7)*($D$2:$D$501&lt;J$7)*($E$2:$E$501&gt;=$H44)*($E$2:$E$501&lt;$H43)," ")))</f>
        <v xml:space="preserve"> </v>
      </c>
      <c r="K43" t="str" cm="1">
        <f t="array" ref="K43">_xlfn.TEXTJOIN(",",TRUE,(_xlfn._xlws.FILTER($A$2:$A$501,($D$2:$D$501&gt;=L$7)*($D$2:$D$501&lt;K$7)*($E$2:$E$501&gt;=$H44)*($E$2:$E$501&lt;$H43)," ")))</f>
        <v xml:space="preserve"> </v>
      </c>
      <c r="L43" t="str" cm="1">
        <f t="array" ref="L43">_xlfn.TEXTJOIN(",",TRUE,(_xlfn._xlws.FILTER($A$2:$A$501,($D$2:$D$501&gt;=M$7)*($D$2:$D$501&lt;L$7)*($E$2:$E$501&gt;=$H44)*($E$2:$E$501&lt;$H43)," ")))</f>
        <v xml:space="preserve"> </v>
      </c>
      <c r="M43" t="str" cm="1">
        <f t="array" ref="M43">_xlfn.TEXTJOIN(",",TRUE,(_xlfn._xlws.FILTER($A$2:$A$501,($D$2:$D$501&gt;=N$7)*($D$2:$D$501&lt;M$7)*($E$2:$E$501&gt;=$H44)*($E$2:$E$501&lt;$H43)," ")))</f>
        <v xml:space="preserve"> </v>
      </c>
      <c r="N43" t="str" cm="1">
        <f t="array" ref="N43">_xlfn.TEXTJOIN(",",TRUE,(_xlfn._xlws.FILTER($A$2:$A$501,($D$2:$D$501&gt;=O$7)*($D$2:$D$501&lt;N$7)*($E$2:$E$501&gt;=$H44)*($E$2:$E$501&lt;$H43)," ")))</f>
        <v xml:space="preserve"> </v>
      </c>
      <c r="O43" t="str" cm="1">
        <f t="array" ref="O43">_xlfn.TEXTJOIN(",",TRUE,(_xlfn._xlws.FILTER($A$2:$A$501,($D$2:$D$501&gt;=P$7)*($D$2:$D$501&lt;O$7)*($E$2:$E$501&gt;=$H44)*($E$2:$E$501&lt;$H43)," ")))</f>
        <v xml:space="preserve"> </v>
      </c>
      <c r="P43" t="str" cm="1">
        <f t="array" ref="P43">_xlfn.TEXTJOIN(",",TRUE,(_xlfn._xlws.FILTER($A$2:$A$501,($D$2:$D$501&gt;=Q$7)*($D$2:$D$501&lt;P$7)*($E$2:$E$501&gt;=$H44)*($E$2:$E$501&lt;$H43)," ")))</f>
        <v xml:space="preserve"> </v>
      </c>
      <c r="Q43" t="str" cm="1">
        <f t="array" ref="Q43">_xlfn.TEXTJOIN(",",TRUE,(_xlfn._xlws.FILTER($A$2:$A$501,($D$2:$D$501&gt;=R$7)*($D$2:$D$501&lt;Q$7)*($E$2:$E$501&gt;=$H44)*($E$2:$E$501&lt;$H43)," ")))</f>
        <v xml:space="preserve"> </v>
      </c>
      <c r="R43" t="str" cm="1">
        <f t="array" ref="R43">_xlfn.TEXTJOIN(",",TRUE,(_xlfn._xlws.FILTER($A$2:$A$501,($D$2:$D$501&gt;=S$7)*($D$2:$D$501&lt;R$7)*($E$2:$E$501&gt;=$H44)*($E$2:$E$501&lt;$H43)," ")))</f>
        <v xml:space="preserve"> </v>
      </c>
      <c r="S43" t="str" cm="1">
        <f t="array" ref="S43">_xlfn.TEXTJOIN(",",TRUE,(_xlfn._xlws.FILTER($A$2:$A$501,($D$2:$D$501&gt;=T$7)*($D$2:$D$501&lt;S$7)*($E$2:$E$501&gt;=$H44)*($E$2:$E$501&lt;$H43)," ")))</f>
        <v xml:space="preserve"> </v>
      </c>
      <c r="T43" t="str" cm="1">
        <f t="array" ref="T43">_xlfn.TEXTJOIN(",",TRUE,(_xlfn._xlws.FILTER($A$2:$A$501,($D$2:$D$501&gt;=U$7)*($D$2:$D$501&lt;T$7)*($E$2:$E$501&gt;=$H44)*($E$2:$E$501&lt;$H43)," ")))</f>
        <v xml:space="preserve"> </v>
      </c>
      <c r="U43" t="str" cm="1">
        <f t="array" ref="U43">_xlfn.TEXTJOIN(",",TRUE,(_xlfn._xlws.FILTER($A$2:$A$501,($D$2:$D$501&gt;=V$7)*($D$2:$D$501&lt;U$7)*($E$2:$E$501&gt;=$H44)*($E$2:$E$501&lt;$H43)," ")))</f>
        <v xml:space="preserve"> </v>
      </c>
      <c r="V43" t="str" cm="1">
        <f t="array" ref="V43">_xlfn.TEXTJOIN(",",TRUE,(_xlfn._xlws.FILTER($A$2:$A$501,($D$2:$D$501&gt;=W$7)*($D$2:$D$501&lt;V$7)*($E$2:$E$501&gt;=$H44)*($E$2:$E$501&lt;$H43)," ")))</f>
        <v xml:space="preserve"> </v>
      </c>
      <c r="W43" t="str" cm="1">
        <f t="array" ref="W43">_xlfn.TEXTJOIN(",",TRUE,(_xlfn._xlws.FILTER($A$2:$A$501,($D$2:$D$501&gt;=X$7)*($D$2:$D$501&lt;W$7)*($E$2:$E$501&gt;=$H44)*($E$2:$E$501&lt;$H43)," ")))</f>
        <v xml:space="preserve"> </v>
      </c>
      <c r="X43" t="str" cm="1">
        <f t="array" ref="X43">_xlfn.TEXTJOIN(",",TRUE,(_xlfn._xlws.FILTER($A$2:$A$501,($D$2:$D$501&gt;=Y$7)*($D$2:$D$501&lt;X$7)*($E$2:$E$501&gt;=$H44)*($E$2:$E$501&lt;$H43)," ")))</f>
        <v xml:space="preserve"> </v>
      </c>
      <c r="Y43" t="str" cm="1">
        <f t="array" ref="Y43">_xlfn.TEXTJOIN(",",TRUE,(_xlfn._xlws.FILTER($A$2:$A$501,($D$2:$D$501&gt;=Z$7)*($D$2:$D$501&lt;Y$7)*($E$2:$E$501&gt;=$H44)*($E$2:$E$501&lt;$H43)," ")))</f>
        <v xml:space="preserve"> </v>
      </c>
      <c r="Z43" t="str" cm="1">
        <f t="array" ref="Z43">_xlfn.TEXTJOIN(",",TRUE,(_xlfn._xlws.FILTER($A$2:$A$501,($D$2:$D$501&gt;=AA$7)*($D$2:$D$501&lt;Z$7)*($E$2:$E$501&gt;=$H44)*($E$2:$E$501&lt;$H43)," ")))</f>
        <v xml:space="preserve"> </v>
      </c>
      <c r="AA43" t="str" cm="1">
        <f t="array" ref="AA43">_xlfn.TEXTJOIN(",",TRUE,(_xlfn._xlws.FILTER($A$2:$A$501,($D$2:$D$501&gt;=AB$7)*($D$2:$D$501&lt;AA$7)*($E$2:$E$501&gt;=$H44)*($E$2:$E$501&lt;$H43)," ")))</f>
        <v xml:space="preserve"> </v>
      </c>
      <c r="AB43" t="str" cm="1">
        <f t="array" ref="AB43">_xlfn.TEXTJOIN(",",TRUE,(_xlfn._xlws.FILTER($A$2:$A$501,($D$2:$D$501&gt;=AC$7)*($D$2:$D$501&lt;AB$7)*($E$2:$E$501&gt;=$H44)*($E$2:$E$501&lt;$H43)," ")))</f>
        <v xml:space="preserve"> </v>
      </c>
      <c r="AC43" t="str" cm="1">
        <f t="array" ref="AC43">_xlfn.TEXTJOIN(",",TRUE,(_xlfn._xlws.FILTER($A$2:$A$501,($D$2:$D$501&gt;=AD$7)*($D$2:$D$501&lt;AC$7)*($E$2:$E$501&gt;=$H44)*($E$2:$E$501&lt;$H43)," ")))</f>
        <v xml:space="preserve"> </v>
      </c>
      <c r="AD43" t="str" cm="1">
        <f t="array" ref="AD43">_xlfn.TEXTJOIN(",",TRUE,(_xlfn._xlws.FILTER($A$2:$A$501,($D$2:$D$501&gt;=AE$7)*($D$2:$D$501&lt;AD$7)*($E$2:$E$501&gt;=$H44)*($E$2:$E$501&lt;$H43)," ")))</f>
        <v xml:space="preserve"> </v>
      </c>
      <c r="AE43" t="str" cm="1">
        <f t="array" ref="AE43">_xlfn.TEXTJOIN(",",TRUE,(_xlfn._xlws.FILTER($A$2:$A$501,($D$2:$D$501&gt;=AF$7)*($D$2:$D$501&lt;AE$7)*($E$2:$E$501&gt;=$H44)*($E$2:$E$501&lt;$H43)," ")))</f>
        <v xml:space="preserve"> </v>
      </c>
      <c r="AF43" t="str" cm="1">
        <f t="array" ref="AF43">_xlfn.TEXTJOIN(",",TRUE,(_xlfn._xlws.FILTER($A$2:$A$501,($D$2:$D$501&gt;=AG$7)*($D$2:$D$501&lt;AF$7)*($E$2:$E$501&gt;=$H44)*($E$2:$E$501&lt;$H43)," ")))</f>
        <v xml:space="preserve"> </v>
      </c>
      <c r="AG43" t="str" cm="1">
        <f t="array" ref="AG43">_xlfn.TEXTJOIN(",",TRUE,(_xlfn._xlws.FILTER($A$2:$A$501,($D$2:$D$501&gt;=AH$7)*($D$2:$D$501&lt;AG$7)*($E$2:$E$501&gt;=$H44)*($E$2:$E$501&lt;$H43)," ")))</f>
        <v xml:space="preserve"> </v>
      </c>
      <c r="AH43" t="str" cm="1">
        <f t="array" ref="AH43">_xlfn.TEXTJOIN(",",TRUE,(_xlfn._xlws.FILTER($A$2:$A$501,($D$2:$D$501&gt;=AI$7)*($D$2:$D$501&lt;AH$7)*($E$2:$E$501&gt;=$H44)*($E$2:$E$501&lt;$H43)," ")))</f>
        <v xml:space="preserve"> </v>
      </c>
      <c r="AI43" t="str" cm="1">
        <f t="array" ref="AI43">_xlfn.TEXTJOIN(",",TRUE,(_xlfn._xlws.FILTER($A$2:$A$501,($D$2:$D$501&gt;=AJ$7)*($D$2:$D$501&lt;AI$7)*($E$2:$E$501&gt;=$H44)*($E$2:$E$501&lt;$H43)," ")))</f>
        <v xml:space="preserve"> </v>
      </c>
      <c r="AJ43" t="str" cm="1">
        <f t="array" ref="AJ43">_xlfn.TEXTJOIN(",",TRUE,(_xlfn._xlws.FILTER($A$2:$A$501,($D$2:$D$501&gt;=AK$7)*($D$2:$D$501&lt;AJ$7)*($E$2:$E$501&gt;=$H44)*($E$2:$E$501&lt;$H43)," ")))</f>
        <v xml:space="preserve"> </v>
      </c>
      <c r="AK43" t="str" cm="1">
        <f t="array" ref="AK43">_xlfn.TEXTJOIN(",",TRUE,(_xlfn._xlws.FILTER($A$2:$A$501,($D$2:$D$501&gt;=AL$7)*($D$2:$D$501&lt;AK$7)*($E$2:$E$501&gt;=$H44)*($E$2:$E$501&lt;$H43)," ")))</f>
        <v xml:space="preserve"> </v>
      </c>
      <c r="AL43" t="str" cm="1">
        <f t="array" ref="AL43">_xlfn.TEXTJOIN(",",TRUE,(_xlfn._xlws.FILTER($A$2:$A$501,($D$2:$D$501&gt;=AM$7)*($D$2:$D$501&lt;AL$7)*($E$2:$E$501&gt;=$H44)*($E$2:$E$501&lt;$H43)," ")))</f>
        <v xml:space="preserve"> </v>
      </c>
      <c r="AM43" t="str" cm="1">
        <f t="array" ref="AM43">_xlfn.TEXTJOIN(",",TRUE,(_xlfn._xlws.FILTER($A$2:$A$501,($D$2:$D$501&gt;=AN$7)*($D$2:$D$501&lt;AM$7)*($E$2:$E$501&gt;=$H44)*($E$2:$E$501&lt;$H43)," ")))</f>
        <v xml:space="preserve"> </v>
      </c>
      <c r="AN43" t="str" cm="1">
        <f t="array" ref="AN43">_xlfn.TEXTJOIN(",",TRUE,(_xlfn._xlws.FILTER($A$2:$A$501,($D$2:$D$501&gt;=AO$7)*($D$2:$D$501&lt;AN$7)*($E$2:$E$501&gt;=$H44)*($E$2:$E$501&lt;$H43)," ")))</f>
        <v xml:space="preserve"> </v>
      </c>
      <c r="AO43" t="str" cm="1">
        <f t="array" ref="AO43">_xlfn.TEXTJOIN(",",TRUE,(_xlfn._xlws.FILTER($A$2:$A$501,($D$2:$D$501&gt;=AP$7)*($D$2:$D$501&lt;AO$7)*($E$2:$E$501&gt;=$H44)*($E$2:$E$501&lt;$H43)," ")))</f>
        <v xml:space="preserve"> </v>
      </c>
      <c r="AP43" t="str" cm="1">
        <f t="array" ref="AP43">_xlfn.TEXTJOIN(",",TRUE,(_xlfn._xlws.FILTER($A$2:$A$501,($D$2:$D$501&gt;=AQ$7)*($D$2:$D$501&lt;AP$7)*($E$2:$E$501&gt;=$H44)*($E$2:$E$501&lt;$H43)," ")))</f>
        <v xml:space="preserve"> </v>
      </c>
      <c r="AQ43" t="str" cm="1">
        <f t="array" ref="AQ43">_xlfn.TEXTJOIN(",",TRUE,(_xlfn._xlws.FILTER($A$2:$A$501,($D$2:$D$501&gt;=AR$7)*($D$2:$D$501&lt;AQ$7)*($E$2:$E$501&gt;=$H44)*($E$2:$E$501&lt;$H43)," ")))</f>
        <v xml:space="preserve"> </v>
      </c>
      <c r="AR43" t="str" cm="1">
        <f t="array" ref="AR43">_xlfn.TEXTJOIN(",",TRUE,(_xlfn._xlws.FILTER($A$2:$A$501,($D$2:$D$501&gt;=AS$7)*($D$2:$D$501&lt;AR$7)*($E$2:$E$501&gt;=$H44)*($E$2:$E$501&lt;$H43)," ")))</f>
        <v xml:space="preserve"> </v>
      </c>
      <c r="AS43" t="str" cm="1">
        <f t="array" ref="AS43">_xlfn.TEXTJOIN(",",TRUE,(_xlfn._xlws.FILTER($A$2:$A$501,($D$2:$D$501&gt;=AT$7)*($D$2:$D$501&lt;AS$7)*($E$2:$E$501&gt;=$H44)*($E$2:$E$501&lt;$H43)," ")))</f>
        <v xml:space="preserve"> </v>
      </c>
      <c r="AT43" t="str" cm="1">
        <f t="array" ref="AT43">_xlfn.TEXTJOIN(",",TRUE,(_xlfn._xlws.FILTER($A$2:$A$501,($D$2:$D$501&gt;=AU$7)*($D$2:$D$501&lt;AT$7)*($E$2:$E$501&gt;=$H44)*($E$2:$E$501&lt;$H43)," ")))</f>
        <v xml:space="preserve"> </v>
      </c>
      <c r="AU43" t="str" cm="1">
        <f t="array" ref="AU43">_xlfn.TEXTJOIN(",",TRUE,(_xlfn._xlws.FILTER($A$2:$A$501,($D$2:$D$501&gt;=AV$7)*($D$2:$D$501&lt;AU$7)*($E$2:$E$501&gt;=$H44)*($E$2:$E$501&lt;$H43)," ")))</f>
        <v xml:space="preserve"> </v>
      </c>
      <c r="AV43" t="str" cm="1">
        <f t="array" ref="AV43">_xlfn.TEXTJOIN(",",TRUE,(_xlfn._xlws.FILTER($A$2:$A$501,($D$2:$D$501&gt;=AW$7)*($D$2:$D$501&lt;AV$7)*($E$2:$E$501&gt;=$H44)*($E$2:$E$501&lt;$H43)," ")))</f>
        <v xml:space="preserve"> </v>
      </c>
      <c r="AW43" t="str" cm="1">
        <f t="array" ref="AW43">_xlfn.TEXTJOIN(",",TRUE,(_xlfn._xlws.FILTER($A$2:$A$501,($D$2:$D$501&gt;=AX$7)*($D$2:$D$501&lt;AW$7)*($E$2:$E$501&gt;=$H44)*($E$2:$E$501&lt;$H43)," ")))</f>
        <v xml:space="preserve"> </v>
      </c>
      <c r="AX43" t="str" cm="1">
        <f t="array" ref="AX43">_xlfn.TEXTJOIN(",",TRUE,(_xlfn._xlws.FILTER($A$2:$A$501,($D$2:$D$501&gt;=AY$7)*($D$2:$D$501&lt;AX$7)*($E$2:$E$501&gt;=$H44)*($E$2:$E$501&lt;$H43)," ")))</f>
        <v xml:space="preserve"> </v>
      </c>
      <c r="AY43" t="str" cm="1">
        <f t="array" ref="AY43">_xlfn.TEXTJOIN(",",TRUE,(_xlfn._xlws.FILTER($A$2:$A$501,($D$2:$D$501&gt;=AZ$7)*($D$2:$D$501&lt;AY$7)*($E$2:$E$501&gt;=$H44)*($E$2:$E$501&lt;$H43)," ")))</f>
        <v xml:space="preserve"> </v>
      </c>
      <c r="AZ43" t="str" cm="1">
        <f t="array" ref="AZ43">_xlfn.TEXTJOIN(",",TRUE,(_xlfn._xlws.FILTER($A$2:$A$501,($D$2:$D$501&gt;=BA$7)*($D$2:$D$501&lt;AZ$7)*($E$2:$E$501&gt;=$H44)*($E$2:$E$501&lt;$H43)," ")))</f>
        <v xml:space="preserve"> </v>
      </c>
      <c r="BA43" t="str" cm="1">
        <f t="array" ref="BA43">_xlfn.TEXTJOIN(",",TRUE,(_xlfn._xlws.FILTER($A$2:$A$501,($D$2:$D$501&gt;=BB$7)*($D$2:$D$501&lt;BA$7)*($E$2:$E$501&gt;=$H44)*($E$2:$E$501&lt;$H43)," ")))</f>
        <v xml:space="preserve"> </v>
      </c>
      <c r="BB43" t="str" cm="1">
        <f t="array" ref="BB43">_xlfn.TEXTJOIN(",",TRUE,(_xlfn._xlws.FILTER($A$2:$A$501,($D$2:$D$501&gt;=BC$7)*($D$2:$D$501&lt;BB$7)*($E$2:$E$501&gt;=$H44)*($E$2:$E$501&lt;$H43)," ")))</f>
        <v xml:space="preserve"> </v>
      </c>
    </row>
    <row r="44" spans="1:54" x14ac:dyDescent="0.2">
      <c r="A44" s="3" t="s">
        <v>155</v>
      </c>
      <c r="B44" s="3" t="s">
        <v>153</v>
      </c>
      <c r="C44" s="13">
        <v>2115584.91</v>
      </c>
      <c r="D44" s="15">
        <v>38354519.369999997</v>
      </c>
      <c r="E44" s="22">
        <f>TuitionRates3[[#This Row],[Tuition]]/D44</f>
        <v>5.5158686505527195E-2</v>
      </c>
      <c r="F44"/>
      <c r="H44" s="18">
        <v>0.114</v>
      </c>
      <c r="I44" t="str" cm="1">
        <f t="array" ref="I44">_xlfn.TEXTJOIN(",",TRUE,(_xlfn._xlws.FILTER($A$2:$A$501,($D$2:$D$501&gt;=J$7)*($D$2:$D$501&lt;I$7)*($E$2:$E$501&gt;=$H45)*($E$2:$E$501&lt;$H44)," ")))</f>
        <v xml:space="preserve"> </v>
      </c>
      <c r="J44" t="str" cm="1">
        <f t="array" ref="J44">_xlfn.TEXTJOIN(",",TRUE,(_xlfn._xlws.FILTER($A$2:$A$501,($D$2:$D$501&gt;=K$7)*($D$2:$D$501&lt;J$7)*($E$2:$E$501&gt;=$H45)*($E$2:$E$501&lt;$H44)," ")))</f>
        <v xml:space="preserve"> </v>
      </c>
      <c r="K44" t="str" cm="1">
        <f t="array" ref="K44">_xlfn.TEXTJOIN(",",TRUE,(_xlfn._xlws.FILTER($A$2:$A$501,($D$2:$D$501&gt;=L$7)*($D$2:$D$501&lt;K$7)*($E$2:$E$501&gt;=$H45)*($E$2:$E$501&lt;$H44)," ")))</f>
        <v xml:space="preserve"> </v>
      </c>
      <c r="L44" t="str" cm="1">
        <f t="array" ref="L44">_xlfn.TEXTJOIN(",",TRUE,(_xlfn._xlws.FILTER($A$2:$A$501,($D$2:$D$501&gt;=M$7)*($D$2:$D$501&lt;L$7)*($E$2:$E$501&gt;=$H45)*($E$2:$E$501&lt;$H44)," ")))</f>
        <v xml:space="preserve"> </v>
      </c>
      <c r="M44" t="str" cm="1">
        <f t="array" ref="M44">_xlfn.TEXTJOIN(",",TRUE,(_xlfn._xlws.FILTER($A$2:$A$501,($D$2:$D$501&gt;=N$7)*($D$2:$D$501&lt;M$7)*($E$2:$E$501&gt;=$H45)*($E$2:$E$501&lt;$H44)," ")))</f>
        <v xml:space="preserve"> </v>
      </c>
      <c r="N44" t="str" cm="1">
        <f t="array" ref="N44">_xlfn.TEXTJOIN(",",TRUE,(_xlfn._xlws.FILTER($A$2:$A$501,($D$2:$D$501&gt;=O$7)*($D$2:$D$501&lt;N$7)*($E$2:$E$501&gt;=$H45)*($E$2:$E$501&lt;$H44)," ")))</f>
        <v xml:space="preserve"> </v>
      </c>
      <c r="O44" t="str" cm="1">
        <f t="array" ref="O44">_xlfn.TEXTJOIN(",",TRUE,(_xlfn._xlws.FILTER($A$2:$A$501,($D$2:$D$501&gt;=P$7)*($D$2:$D$501&lt;O$7)*($E$2:$E$501&gt;=$H45)*($E$2:$E$501&lt;$H44)," ")))</f>
        <v xml:space="preserve"> </v>
      </c>
      <c r="P44" t="str" cm="1">
        <f t="array" ref="P44">_xlfn.TEXTJOIN(",",TRUE,(_xlfn._xlws.FILTER($A$2:$A$501,($D$2:$D$501&gt;=Q$7)*($D$2:$D$501&lt;P$7)*($E$2:$E$501&gt;=$H45)*($E$2:$E$501&lt;$H44)," ")))</f>
        <v xml:space="preserve"> </v>
      </c>
      <c r="Q44" t="str" cm="1">
        <f t="array" ref="Q44">_xlfn.TEXTJOIN(",",TRUE,(_xlfn._xlws.FILTER($A$2:$A$501,($D$2:$D$501&gt;=R$7)*($D$2:$D$501&lt;Q$7)*($E$2:$E$501&gt;=$H45)*($E$2:$E$501&lt;$H44)," ")))</f>
        <v xml:space="preserve"> </v>
      </c>
      <c r="R44" t="str" cm="1">
        <f t="array" ref="R44">_xlfn.TEXTJOIN(",",TRUE,(_xlfn._xlws.FILTER($A$2:$A$501,($D$2:$D$501&gt;=S$7)*($D$2:$D$501&lt;R$7)*($E$2:$E$501&gt;=$H45)*($E$2:$E$501&lt;$H44)," ")))</f>
        <v xml:space="preserve"> </v>
      </c>
      <c r="S44" t="str" cm="1">
        <f t="array" ref="S44">_xlfn.TEXTJOIN(",",TRUE,(_xlfn._xlws.FILTER($A$2:$A$501,($D$2:$D$501&gt;=T$7)*($D$2:$D$501&lt;S$7)*($E$2:$E$501&gt;=$H45)*($E$2:$E$501&lt;$H44)," ")))</f>
        <v xml:space="preserve"> </v>
      </c>
      <c r="T44" t="str" cm="1">
        <f t="array" ref="T44">_xlfn.TEXTJOIN(",",TRUE,(_xlfn._xlws.FILTER($A$2:$A$501,($D$2:$D$501&gt;=U$7)*($D$2:$D$501&lt;T$7)*($E$2:$E$501&gt;=$H45)*($E$2:$E$501&lt;$H44)," ")))</f>
        <v xml:space="preserve"> </v>
      </c>
      <c r="U44" t="str" cm="1">
        <f t="array" ref="U44">_xlfn.TEXTJOIN(",",TRUE,(_xlfn._xlws.FILTER($A$2:$A$501,($D$2:$D$501&gt;=V$7)*($D$2:$D$501&lt;U$7)*($E$2:$E$501&gt;=$H45)*($E$2:$E$501&lt;$H44)," ")))</f>
        <v xml:space="preserve"> </v>
      </c>
      <c r="V44" t="str" cm="1">
        <f t="array" ref="V44">_xlfn.TEXTJOIN(",",TRUE,(_xlfn._xlws.FILTER($A$2:$A$501,($D$2:$D$501&gt;=W$7)*($D$2:$D$501&lt;V$7)*($E$2:$E$501&gt;=$H45)*($E$2:$E$501&lt;$H44)," ")))</f>
        <v xml:space="preserve"> </v>
      </c>
      <c r="W44" t="str" cm="1">
        <f t="array" ref="W44">_xlfn.TEXTJOIN(",",TRUE,(_xlfn._xlws.FILTER($A$2:$A$501,($D$2:$D$501&gt;=X$7)*($D$2:$D$501&lt;W$7)*($E$2:$E$501&gt;=$H45)*($E$2:$E$501&lt;$H44)," ")))</f>
        <v xml:space="preserve"> </v>
      </c>
      <c r="X44" t="str" cm="1">
        <f t="array" ref="X44">_xlfn.TEXTJOIN(",",TRUE,(_xlfn._xlws.FILTER($A$2:$A$501,($D$2:$D$501&gt;=Y$7)*($D$2:$D$501&lt;X$7)*($E$2:$E$501&gt;=$H45)*($E$2:$E$501&lt;$H44)," ")))</f>
        <v xml:space="preserve"> </v>
      </c>
      <c r="Y44" t="str" cm="1">
        <f t="array" ref="Y44">_xlfn.TEXTJOIN(",",TRUE,(_xlfn._xlws.FILTER($A$2:$A$501,($D$2:$D$501&gt;=Z$7)*($D$2:$D$501&lt;Y$7)*($E$2:$E$501&gt;=$H45)*($E$2:$E$501&lt;$H44)," ")))</f>
        <v xml:space="preserve"> </v>
      </c>
      <c r="Z44" t="str" cm="1">
        <f t="array" ref="Z44">_xlfn.TEXTJOIN(",",TRUE,(_xlfn._xlws.FILTER($A$2:$A$501,($D$2:$D$501&gt;=AA$7)*($D$2:$D$501&lt;Z$7)*($E$2:$E$501&gt;=$H45)*($E$2:$E$501&lt;$H44)," ")))</f>
        <v xml:space="preserve"> </v>
      </c>
      <c r="AA44" t="str" cm="1">
        <f t="array" ref="AA44">_xlfn.TEXTJOIN(",",TRUE,(_xlfn._xlws.FILTER($A$2:$A$501,($D$2:$D$501&gt;=AB$7)*($D$2:$D$501&lt;AA$7)*($E$2:$E$501&gt;=$H45)*($E$2:$E$501&lt;$H44)," ")))</f>
        <v xml:space="preserve"> </v>
      </c>
      <c r="AB44" t="str" cm="1">
        <f t="array" ref="AB44">_xlfn.TEXTJOIN(",",TRUE,(_xlfn._xlws.FILTER($A$2:$A$501,($D$2:$D$501&gt;=AC$7)*($D$2:$D$501&lt;AB$7)*($E$2:$E$501&gt;=$H45)*($E$2:$E$501&lt;$H44)," ")))</f>
        <v xml:space="preserve"> </v>
      </c>
      <c r="AC44" t="str" cm="1">
        <f t="array" ref="AC44">_xlfn.TEXTJOIN(",",TRUE,(_xlfn._xlws.FILTER($A$2:$A$501,($D$2:$D$501&gt;=AD$7)*($D$2:$D$501&lt;AC$7)*($E$2:$E$501&gt;=$H45)*($E$2:$E$501&lt;$H44)," ")))</f>
        <v xml:space="preserve"> </v>
      </c>
      <c r="AD44" t="str" cm="1">
        <f t="array" ref="AD44">_xlfn.TEXTJOIN(",",TRUE,(_xlfn._xlws.FILTER($A$2:$A$501,($D$2:$D$501&gt;=AE$7)*($D$2:$D$501&lt;AD$7)*($E$2:$E$501&gt;=$H45)*($E$2:$E$501&lt;$H44)," ")))</f>
        <v xml:space="preserve"> </v>
      </c>
      <c r="AE44" t="str" cm="1">
        <f t="array" ref="AE44">_xlfn.TEXTJOIN(",",TRUE,(_xlfn._xlws.FILTER($A$2:$A$501,($D$2:$D$501&gt;=AF$7)*($D$2:$D$501&lt;AE$7)*($E$2:$E$501&gt;=$H45)*($E$2:$E$501&lt;$H44)," ")))</f>
        <v xml:space="preserve"> </v>
      </c>
      <c r="AF44" t="str" cm="1">
        <f t="array" ref="AF44">_xlfn.TEXTJOIN(",",TRUE,(_xlfn._xlws.FILTER($A$2:$A$501,($D$2:$D$501&gt;=AG$7)*($D$2:$D$501&lt;AF$7)*($E$2:$E$501&gt;=$H45)*($E$2:$E$501&lt;$H44)," ")))</f>
        <v xml:space="preserve"> </v>
      </c>
      <c r="AG44" t="str" cm="1">
        <f t="array" ref="AG44">_xlfn.TEXTJOIN(",",TRUE,(_xlfn._xlws.FILTER($A$2:$A$501,($D$2:$D$501&gt;=AH$7)*($D$2:$D$501&lt;AG$7)*($E$2:$E$501&gt;=$H45)*($E$2:$E$501&lt;$H44)," ")))</f>
        <v xml:space="preserve"> </v>
      </c>
      <c r="AH44" t="str" cm="1">
        <f t="array" ref="AH44">_xlfn.TEXTJOIN(",",TRUE,(_xlfn._xlws.FILTER($A$2:$A$501,($D$2:$D$501&gt;=AI$7)*($D$2:$D$501&lt;AH$7)*($E$2:$E$501&gt;=$H45)*($E$2:$E$501&lt;$H44)," ")))</f>
        <v xml:space="preserve"> </v>
      </c>
      <c r="AI44" t="str" cm="1">
        <f t="array" ref="AI44">_xlfn.TEXTJOIN(",",TRUE,(_xlfn._xlws.FILTER($A$2:$A$501,($D$2:$D$501&gt;=AJ$7)*($D$2:$D$501&lt;AI$7)*($E$2:$E$501&gt;=$H45)*($E$2:$E$501&lt;$H44)," ")))</f>
        <v xml:space="preserve"> </v>
      </c>
      <c r="AJ44" t="str" cm="1">
        <f t="array" ref="AJ44">_xlfn.TEXTJOIN(",",TRUE,(_xlfn._xlws.FILTER($A$2:$A$501,($D$2:$D$501&gt;=AK$7)*($D$2:$D$501&lt;AJ$7)*($E$2:$E$501&gt;=$H45)*($E$2:$E$501&lt;$H44)," ")))</f>
        <v xml:space="preserve"> </v>
      </c>
      <c r="AK44" t="str" cm="1">
        <f t="array" ref="AK44">_xlfn.TEXTJOIN(",",TRUE,(_xlfn._xlws.FILTER($A$2:$A$501,($D$2:$D$501&gt;=AL$7)*($D$2:$D$501&lt;AK$7)*($E$2:$E$501&gt;=$H45)*($E$2:$E$501&lt;$H44)," ")))</f>
        <v xml:space="preserve"> </v>
      </c>
      <c r="AL44" t="str" cm="1">
        <f t="array" ref="AL44">_xlfn.TEXTJOIN(",",TRUE,(_xlfn._xlws.FILTER($A$2:$A$501,($D$2:$D$501&gt;=AM$7)*($D$2:$D$501&lt;AL$7)*($E$2:$E$501&gt;=$H45)*($E$2:$E$501&lt;$H44)," ")))</f>
        <v xml:space="preserve"> </v>
      </c>
      <c r="AM44" t="str" cm="1">
        <f t="array" ref="AM44">_xlfn.TEXTJOIN(",",TRUE,(_xlfn._xlws.FILTER($A$2:$A$501,($D$2:$D$501&gt;=AN$7)*($D$2:$D$501&lt;AM$7)*($E$2:$E$501&gt;=$H45)*($E$2:$E$501&lt;$H44)," ")))</f>
        <v xml:space="preserve"> </v>
      </c>
      <c r="AN44" t="str" cm="1">
        <f t="array" ref="AN44">_xlfn.TEXTJOIN(",",TRUE,(_xlfn._xlws.FILTER($A$2:$A$501,($D$2:$D$501&gt;=AO$7)*($D$2:$D$501&lt;AN$7)*($E$2:$E$501&gt;=$H45)*($E$2:$E$501&lt;$H44)," ")))</f>
        <v xml:space="preserve"> </v>
      </c>
      <c r="AO44" t="str" cm="1">
        <f t="array" ref="AO44">_xlfn.TEXTJOIN(",",TRUE,(_xlfn._xlws.FILTER($A$2:$A$501,($D$2:$D$501&gt;=AP$7)*($D$2:$D$501&lt;AO$7)*($E$2:$E$501&gt;=$H45)*($E$2:$E$501&lt;$H44)," ")))</f>
        <v xml:space="preserve"> </v>
      </c>
      <c r="AP44" t="str" cm="1">
        <f t="array" ref="AP44">_xlfn.TEXTJOIN(",",TRUE,(_xlfn._xlws.FILTER($A$2:$A$501,($D$2:$D$501&gt;=AQ$7)*($D$2:$D$501&lt;AP$7)*($E$2:$E$501&gt;=$H45)*($E$2:$E$501&lt;$H44)," ")))</f>
        <v xml:space="preserve"> </v>
      </c>
      <c r="AQ44" t="str" cm="1">
        <f t="array" ref="AQ44">_xlfn.TEXTJOIN(",",TRUE,(_xlfn._xlws.FILTER($A$2:$A$501,($D$2:$D$501&gt;=AR$7)*($D$2:$D$501&lt;AQ$7)*($E$2:$E$501&gt;=$H45)*($E$2:$E$501&lt;$H44)," ")))</f>
        <v xml:space="preserve"> </v>
      </c>
      <c r="AR44" t="str" cm="1">
        <f t="array" ref="AR44">_xlfn.TEXTJOIN(",",TRUE,(_xlfn._xlws.FILTER($A$2:$A$501,($D$2:$D$501&gt;=AS$7)*($D$2:$D$501&lt;AR$7)*($E$2:$E$501&gt;=$H45)*($E$2:$E$501&lt;$H44)," ")))</f>
        <v xml:space="preserve"> </v>
      </c>
      <c r="AS44" t="str" cm="1">
        <f t="array" ref="AS44">_xlfn.TEXTJOIN(",",TRUE,(_xlfn._xlws.FILTER($A$2:$A$501,($D$2:$D$501&gt;=AT$7)*($D$2:$D$501&lt;AS$7)*($E$2:$E$501&gt;=$H45)*($E$2:$E$501&lt;$H44)," ")))</f>
        <v xml:space="preserve"> </v>
      </c>
      <c r="AT44" t="str" cm="1">
        <f t="array" ref="AT44">_xlfn.TEXTJOIN(",",TRUE,(_xlfn._xlws.FILTER($A$2:$A$501,($D$2:$D$501&gt;=AU$7)*($D$2:$D$501&lt;AT$7)*($E$2:$E$501&gt;=$H45)*($E$2:$E$501&lt;$H44)," ")))</f>
        <v xml:space="preserve"> </v>
      </c>
      <c r="AU44" t="str" cm="1">
        <f t="array" ref="AU44">_xlfn.TEXTJOIN(",",TRUE,(_xlfn._xlws.FILTER($A$2:$A$501,($D$2:$D$501&gt;=AV$7)*($D$2:$D$501&lt;AU$7)*($E$2:$E$501&gt;=$H45)*($E$2:$E$501&lt;$H44)," ")))</f>
        <v xml:space="preserve"> </v>
      </c>
      <c r="AV44" t="str" cm="1">
        <f t="array" ref="AV44">_xlfn.TEXTJOIN(",",TRUE,(_xlfn._xlws.FILTER($A$2:$A$501,($D$2:$D$501&gt;=AW$7)*($D$2:$D$501&lt;AV$7)*($E$2:$E$501&gt;=$H45)*($E$2:$E$501&lt;$H44)," ")))</f>
        <v xml:space="preserve"> </v>
      </c>
      <c r="AW44" t="str" cm="1">
        <f t="array" ref="AW44">_xlfn.TEXTJOIN(",",TRUE,(_xlfn._xlws.FILTER($A$2:$A$501,($D$2:$D$501&gt;=AX$7)*($D$2:$D$501&lt;AW$7)*($E$2:$E$501&gt;=$H45)*($E$2:$E$501&lt;$H44)," ")))</f>
        <v xml:space="preserve"> </v>
      </c>
      <c r="AX44" t="str" cm="1">
        <f t="array" ref="AX44">_xlfn.TEXTJOIN(",",TRUE,(_xlfn._xlws.FILTER($A$2:$A$501,($D$2:$D$501&gt;=AY$7)*($D$2:$D$501&lt;AX$7)*($E$2:$E$501&gt;=$H45)*($E$2:$E$501&lt;$H44)," ")))</f>
        <v xml:space="preserve"> </v>
      </c>
      <c r="AY44" t="str" cm="1">
        <f t="array" ref="AY44">_xlfn.TEXTJOIN(",",TRUE,(_xlfn._xlws.FILTER($A$2:$A$501,($D$2:$D$501&gt;=AZ$7)*($D$2:$D$501&lt;AY$7)*($E$2:$E$501&gt;=$H45)*($E$2:$E$501&lt;$H44)," ")))</f>
        <v xml:space="preserve"> </v>
      </c>
      <c r="AZ44" t="str" cm="1">
        <f t="array" ref="AZ44">_xlfn.TEXTJOIN(",",TRUE,(_xlfn._xlws.FILTER($A$2:$A$501,($D$2:$D$501&gt;=BA$7)*($D$2:$D$501&lt;AZ$7)*($E$2:$E$501&gt;=$H45)*($E$2:$E$501&lt;$H44)," ")))</f>
        <v xml:space="preserve"> </v>
      </c>
      <c r="BA44" t="str" cm="1">
        <f t="array" ref="BA44">_xlfn.TEXTJOIN(",",TRUE,(_xlfn._xlws.FILTER($A$2:$A$501,($D$2:$D$501&gt;=BB$7)*($D$2:$D$501&lt;BA$7)*($E$2:$E$501&gt;=$H45)*($E$2:$E$501&lt;$H44)," ")))</f>
        <v xml:space="preserve"> </v>
      </c>
      <c r="BB44" t="str" cm="1">
        <f t="array" ref="BB44">_xlfn.TEXTJOIN(",",TRUE,(_xlfn._xlws.FILTER($A$2:$A$501,($D$2:$D$501&gt;=BC$7)*($D$2:$D$501&lt;BB$7)*($E$2:$E$501&gt;=$H45)*($E$2:$E$501&lt;$H44)," ")))</f>
        <v xml:space="preserve"> </v>
      </c>
    </row>
    <row r="45" spans="1:54" x14ac:dyDescent="0.2">
      <c r="A45" s="3" t="s">
        <v>495</v>
      </c>
      <c r="B45" s="3" t="s">
        <v>493</v>
      </c>
      <c r="C45" s="13">
        <v>1033448.15</v>
      </c>
      <c r="D45" s="15">
        <v>18804407.449999999</v>
      </c>
      <c r="E45" s="22">
        <f>TuitionRates3[[#This Row],[Tuition]]/D45</f>
        <v>5.4957762043174624E-2</v>
      </c>
      <c r="F45"/>
      <c r="H45" s="18">
        <v>0.113</v>
      </c>
      <c r="I45" t="str" cm="1">
        <f t="array" ref="I45">_xlfn.TEXTJOIN(",",TRUE,(_xlfn._xlws.FILTER($A$2:$A$501,($D$2:$D$501&gt;=J$7)*($D$2:$D$501&lt;I$7)*($E$2:$E$501&gt;=$H46)*($E$2:$E$501&lt;$H45)," ")))</f>
        <v xml:space="preserve"> </v>
      </c>
      <c r="J45" t="str" cm="1">
        <f t="array" ref="J45">_xlfn.TEXTJOIN(",",TRUE,(_xlfn._xlws.FILTER($A$2:$A$501,($D$2:$D$501&gt;=K$7)*($D$2:$D$501&lt;J$7)*($E$2:$E$501&gt;=$H46)*($E$2:$E$501&lt;$H45)," ")))</f>
        <v xml:space="preserve"> </v>
      </c>
      <c r="K45" t="str" cm="1">
        <f t="array" ref="K45">_xlfn.TEXTJOIN(",",TRUE,(_xlfn._xlws.FILTER($A$2:$A$501,($D$2:$D$501&gt;=L$7)*($D$2:$D$501&lt;K$7)*($E$2:$E$501&gt;=$H46)*($E$2:$E$501&lt;$H45)," ")))</f>
        <v xml:space="preserve"> </v>
      </c>
      <c r="L45" t="str" cm="1">
        <f t="array" ref="L45">_xlfn.TEXTJOIN(",",TRUE,(_xlfn._xlws.FILTER($A$2:$A$501,($D$2:$D$501&gt;=M$7)*($D$2:$D$501&lt;L$7)*($E$2:$E$501&gt;=$H46)*($E$2:$E$501&lt;$H45)," ")))</f>
        <v xml:space="preserve"> </v>
      </c>
      <c r="M45" t="str" cm="1">
        <f t="array" ref="M45">_xlfn.TEXTJOIN(",",TRUE,(_xlfn._xlws.FILTER($A$2:$A$501,($D$2:$D$501&gt;=N$7)*($D$2:$D$501&lt;M$7)*($E$2:$E$501&gt;=$H46)*($E$2:$E$501&lt;$H45)," ")))</f>
        <v xml:space="preserve"> </v>
      </c>
      <c r="N45" t="str" cm="1">
        <f t="array" ref="N45">_xlfn.TEXTJOIN(",",TRUE,(_xlfn._xlws.FILTER($A$2:$A$501,($D$2:$D$501&gt;=O$7)*($D$2:$D$501&lt;N$7)*($E$2:$E$501&gt;=$H46)*($E$2:$E$501&lt;$H45)," ")))</f>
        <v xml:space="preserve"> </v>
      </c>
      <c r="O45" t="str" cm="1">
        <f t="array" ref="O45">_xlfn.TEXTJOIN(",",TRUE,(_xlfn._xlws.FILTER($A$2:$A$501,($D$2:$D$501&gt;=P$7)*($D$2:$D$501&lt;O$7)*($E$2:$E$501&gt;=$H46)*($E$2:$E$501&lt;$H45)," ")))</f>
        <v xml:space="preserve"> </v>
      </c>
      <c r="P45" t="str" cm="1">
        <f t="array" ref="P45">_xlfn.TEXTJOIN(",",TRUE,(_xlfn._xlws.FILTER($A$2:$A$501,($D$2:$D$501&gt;=Q$7)*($D$2:$D$501&lt;P$7)*($E$2:$E$501&gt;=$H46)*($E$2:$E$501&lt;$H45)," ")))</f>
        <v xml:space="preserve"> </v>
      </c>
      <c r="Q45" t="str" cm="1">
        <f t="array" ref="Q45">_xlfn.TEXTJOIN(",",TRUE,(_xlfn._xlws.FILTER($A$2:$A$501,($D$2:$D$501&gt;=R$7)*($D$2:$D$501&lt;Q$7)*($E$2:$E$501&gt;=$H46)*($E$2:$E$501&lt;$H45)," ")))</f>
        <v xml:space="preserve"> </v>
      </c>
      <c r="R45" t="str" cm="1">
        <f t="array" ref="R45">_xlfn.TEXTJOIN(",",TRUE,(_xlfn._xlws.FILTER($A$2:$A$501,($D$2:$D$501&gt;=S$7)*($D$2:$D$501&lt;R$7)*($E$2:$E$501&gt;=$H46)*($E$2:$E$501&lt;$H45)," ")))</f>
        <v xml:space="preserve"> </v>
      </c>
      <c r="S45" t="str" cm="1">
        <f t="array" ref="S45">_xlfn.TEXTJOIN(",",TRUE,(_xlfn._xlws.FILTER($A$2:$A$501,($D$2:$D$501&gt;=T$7)*($D$2:$D$501&lt;S$7)*($E$2:$E$501&gt;=$H46)*($E$2:$E$501&lt;$H45)," ")))</f>
        <v xml:space="preserve"> </v>
      </c>
      <c r="T45" t="str" cm="1">
        <f t="array" ref="T45">_xlfn.TEXTJOIN(",",TRUE,(_xlfn._xlws.FILTER($A$2:$A$501,($D$2:$D$501&gt;=U$7)*($D$2:$D$501&lt;T$7)*($E$2:$E$501&gt;=$H46)*($E$2:$E$501&lt;$H45)," ")))</f>
        <v xml:space="preserve"> </v>
      </c>
      <c r="U45" t="str" cm="1">
        <f t="array" ref="U45">_xlfn.TEXTJOIN(",",TRUE,(_xlfn._xlws.FILTER($A$2:$A$501,($D$2:$D$501&gt;=V$7)*($D$2:$D$501&lt;U$7)*($E$2:$E$501&gt;=$H46)*($E$2:$E$501&lt;$H45)," ")))</f>
        <v xml:space="preserve"> </v>
      </c>
      <c r="V45" t="str" cm="1">
        <f t="array" ref="V45">_xlfn.TEXTJOIN(",",TRUE,(_xlfn._xlws.FILTER($A$2:$A$501,($D$2:$D$501&gt;=W$7)*($D$2:$D$501&lt;V$7)*($E$2:$E$501&gt;=$H46)*($E$2:$E$501&lt;$H45)," ")))</f>
        <v xml:space="preserve"> </v>
      </c>
      <c r="W45" t="str" cm="1">
        <f t="array" ref="W45">_xlfn.TEXTJOIN(",",TRUE,(_xlfn._xlws.FILTER($A$2:$A$501,($D$2:$D$501&gt;=X$7)*($D$2:$D$501&lt;W$7)*($E$2:$E$501&gt;=$H46)*($E$2:$E$501&lt;$H45)," ")))</f>
        <v xml:space="preserve"> </v>
      </c>
      <c r="X45" t="str" cm="1">
        <f t="array" ref="X45">_xlfn.TEXTJOIN(",",TRUE,(_xlfn._xlws.FILTER($A$2:$A$501,($D$2:$D$501&gt;=Y$7)*($D$2:$D$501&lt;X$7)*($E$2:$E$501&gt;=$H46)*($E$2:$E$501&lt;$H45)," ")))</f>
        <v xml:space="preserve"> </v>
      </c>
      <c r="Y45" t="str" cm="1">
        <f t="array" ref="Y45">_xlfn.TEXTJOIN(",",TRUE,(_xlfn._xlws.FILTER($A$2:$A$501,($D$2:$D$501&gt;=Z$7)*($D$2:$D$501&lt;Y$7)*($E$2:$E$501&gt;=$H46)*($E$2:$E$501&lt;$H45)," ")))</f>
        <v xml:space="preserve"> </v>
      </c>
      <c r="Z45" t="str" cm="1">
        <f t="array" ref="Z45">_xlfn.TEXTJOIN(",",TRUE,(_xlfn._xlws.FILTER($A$2:$A$501,($D$2:$D$501&gt;=AA$7)*($D$2:$D$501&lt;Z$7)*($E$2:$E$501&gt;=$H46)*($E$2:$E$501&lt;$H45)," ")))</f>
        <v xml:space="preserve"> </v>
      </c>
      <c r="AA45" t="str" cm="1">
        <f t="array" ref="AA45">_xlfn.TEXTJOIN(",",TRUE,(_xlfn._xlws.FILTER($A$2:$A$501,($D$2:$D$501&gt;=AB$7)*($D$2:$D$501&lt;AA$7)*($E$2:$E$501&gt;=$H46)*($E$2:$E$501&lt;$H45)," ")))</f>
        <v xml:space="preserve"> </v>
      </c>
      <c r="AB45" t="str" cm="1">
        <f t="array" ref="AB45">_xlfn.TEXTJOIN(",",TRUE,(_xlfn._xlws.FILTER($A$2:$A$501,($D$2:$D$501&gt;=AC$7)*($D$2:$D$501&lt;AB$7)*($E$2:$E$501&gt;=$H46)*($E$2:$E$501&lt;$H45)," ")))</f>
        <v xml:space="preserve"> </v>
      </c>
      <c r="AC45" t="str" cm="1">
        <f t="array" ref="AC45">_xlfn.TEXTJOIN(",",TRUE,(_xlfn._xlws.FILTER($A$2:$A$501,($D$2:$D$501&gt;=AD$7)*($D$2:$D$501&lt;AC$7)*($E$2:$E$501&gt;=$H46)*($E$2:$E$501&lt;$H45)," ")))</f>
        <v xml:space="preserve"> </v>
      </c>
      <c r="AD45" t="str" cm="1">
        <f t="array" ref="AD45">_xlfn.TEXTJOIN(",",TRUE,(_xlfn._xlws.FILTER($A$2:$A$501,($D$2:$D$501&gt;=AE$7)*($D$2:$D$501&lt;AD$7)*($E$2:$E$501&gt;=$H46)*($E$2:$E$501&lt;$H45)," ")))</f>
        <v xml:space="preserve"> </v>
      </c>
      <c r="AE45" t="str" cm="1">
        <f t="array" ref="AE45">_xlfn.TEXTJOIN(",",TRUE,(_xlfn._xlws.FILTER($A$2:$A$501,($D$2:$D$501&gt;=AF$7)*($D$2:$D$501&lt;AE$7)*($E$2:$E$501&gt;=$H46)*($E$2:$E$501&lt;$H45)," ")))</f>
        <v xml:space="preserve"> </v>
      </c>
      <c r="AF45" t="str" cm="1">
        <f t="array" ref="AF45">_xlfn.TEXTJOIN(",",TRUE,(_xlfn._xlws.FILTER($A$2:$A$501,($D$2:$D$501&gt;=AG$7)*($D$2:$D$501&lt;AF$7)*($E$2:$E$501&gt;=$H46)*($E$2:$E$501&lt;$H45)," ")))</f>
        <v xml:space="preserve"> </v>
      </c>
      <c r="AG45" t="str" cm="1">
        <f t="array" ref="AG45">_xlfn.TEXTJOIN(",",TRUE,(_xlfn._xlws.FILTER($A$2:$A$501,($D$2:$D$501&gt;=AH$7)*($D$2:$D$501&lt;AG$7)*($E$2:$E$501&gt;=$H46)*($E$2:$E$501&lt;$H45)," ")))</f>
        <v xml:space="preserve"> </v>
      </c>
      <c r="AH45" t="str" cm="1">
        <f t="array" ref="AH45">_xlfn.TEXTJOIN(",",TRUE,(_xlfn._xlws.FILTER($A$2:$A$501,($D$2:$D$501&gt;=AI$7)*($D$2:$D$501&lt;AH$7)*($E$2:$E$501&gt;=$H46)*($E$2:$E$501&lt;$H45)," ")))</f>
        <v xml:space="preserve"> </v>
      </c>
      <c r="AI45" t="str" cm="1">
        <f t="array" ref="AI45">_xlfn.TEXTJOIN(",",TRUE,(_xlfn._xlws.FILTER($A$2:$A$501,($D$2:$D$501&gt;=AJ$7)*($D$2:$D$501&lt;AI$7)*($E$2:$E$501&gt;=$H46)*($E$2:$E$501&lt;$H45)," ")))</f>
        <v xml:space="preserve"> </v>
      </c>
      <c r="AJ45" t="str" cm="1">
        <f t="array" ref="AJ45">_xlfn.TEXTJOIN(",",TRUE,(_xlfn._xlws.FILTER($A$2:$A$501,($D$2:$D$501&gt;=AK$7)*($D$2:$D$501&lt;AJ$7)*($E$2:$E$501&gt;=$H46)*($E$2:$E$501&lt;$H45)," ")))</f>
        <v xml:space="preserve"> </v>
      </c>
      <c r="AK45" t="str" cm="1">
        <f t="array" ref="AK45">_xlfn.TEXTJOIN(",",TRUE,(_xlfn._xlws.FILTER($A$2:$A$501,($D$2:$D$501&gt;=AL$7)*($D$2:$D$501&lt;AK$7)*($E$2:$E$501&gt;=$H46)*($E$2:$E$501&lt;$H45)," ")))</f>
        <v xml:space="preserve"> </v>
      </c>
      <c r="AL45" t="str" cm="1">
        <f t="array" ref="AL45">_xlfn.TEXTJOIN(",",TRUE,(_xlfn._xlws.FILTER($A$2:$A$501,($D$2:$D$501&gt;=AM$7)*($D$2:$D$501&lt;AL$7)*($E$2:$E$501&gt;=$H46)*($E$2:$E$501&lt;$H45)," ")))</f>
        <v xml:space="preserve"> </v>
      </c>
      <c r="AM45" t="str" cm="1">
        <f t="array" ref="AM45">_xlfn.TEXTJOIN(",",TRUE,(_xlfn._xlws.FILTER($A$2:$A$501,($D$2:$D$501&gt;=AN$7)*($D$2:$D$501&lt;AM$7)*($E$2:$E$501&gt;=$H46)*($E$2:$E$501&lt;$H45)," ")))</f>
        <v xml:space="preserve"> </v>
      </c>
      <c r="AN45" t="str" cm="1">
        <f t="array" ref="AN45">_xlfn.TEXTJOIN(",",TRUE,(_xlfn._xlws.FILTER($A$2:$A$501,($D$2:$D$501&gt;=AO$7)*($D$2:$D$501&lt;AN$7)*($E$2:$E$501&gt;=$H46)*($E$2:$E$501&lt;$H45)," ")))</f>
        <v xml:space="preserve"> </v>
      </c>
      <c r="AO45" t="str" cm="1">
        <f t="array" ref="AO45">_xlfn.TEXTJOIN(",",TRUE,(_xlfn._xlws.FILTER($A$2:$A$501,($D$2:$D$501&gt;=AP$7)*($D$2:$D$501&lt;AO$7)*($E$2:$E$501&gt;=$H46)*($E$2:$E$501&lt;$H45)," ")))</f>
        <v xml:space="preserve"> </v>
      </c>
      <c r="AP45" t="str" cm="1">
        <f t="array" ref="AP45">_xlfn.TEXTJOIN(",",TRUE,(_xlfn._xlws.FILTER($A$2:$A$501,($D$2:$D$501&gt;=AQ$7)*($D$2:$D$501&lt;AP$7)*($E$2:$E$501&gt;=$H46)*($E$2:$E$501&lt;$H45)," ")))</f>
        <v xml:space="preserve"> </v>
      </c>
      <c r="AQ45" t="str" cm="1">
        <f t="array" ref="AQ45">_xlfn.TEXTJOIN(",",TRUE,(_xlfn._xlws.FILTER($A$2:$A$501,($D$2:$D$501&gt;=AR$7)*($D$2:$D$501&lt;AQ$7)*($E$2:$E$501&gt;=$H46)*($E$2:$E$501&lt;$H45)," ")))</f>
        <v xml:space="preserve"> </v>
      </c>
      <c r="AR45" t="str" cm="1">
        <f t="array" ref="AR45">_xlfn.TEXTJOIN(",",TRUE,(_xlfn._xlws.FILTER($A$2:$A$501,($D$2:$D$501&gt;=AS$7)*($D$2:$D$501&lt;AR$7)*($E$2:$E$501&gt;=$H46)*($E$2:$E$501&lt;$H45)," ")))</f>
        <v xml:space="preserve"> </v>
      </c>
      <c r="AS45" t="str" cm="1">
        <f t="array" ref="AS45">_xlfn.TEXTJOIN(",",TRUE,(_xlfn._xlws.FILTER($A$2:$A$501,($D$2:$D$501&gt;=AT$7)*($D$2:$D$501&lt;AS$7)*($E$2:$E$501&gt;=$H46)*($E$2:$E$501&lt;$H45)," ")))</f>
        <v xml:space="preserve"> </v>
      </c>
      <c r="AT45" t="str" cm="1">
        <f t="array" ref="AT45">_xlfn.TEXTJOIN(",",TRUE,(_xlfn._xlws.FILTER($A$2:$A$501,($D$2:$D$501&gt;=AU$7)*($D$2:$D$501&lt;AT$7)*($E$2:$E$501&gt;=$H46)*($E$2:$E$501&lt;$H45)," ")))</f>
        <v xml:space="preserve"> </v>
      </c>
      <c r="AU45" t="str" cm="1">
        <f t="array" ref="AU45">_xlfn.TEXTJOIN(",",TRUE,(_xlfn._xlws.FILTER($A$2:$A$501,($D$2:$D$501&gt;=AV$7)*($D$2:$D$501&lt;AU$7)*($E$2:$E$501&gt;=$H46)*($E$2:$E$501&lt;$H45)," ")))</f>
        <v xml:space="preserve"> </v>
      </c>
      <c r="AV45" t="str" cm="1">
        <f t="array" ref="AV45">_xlfn.TEXTJOIN(",",TRUE,(_xlfn._xlws.FILTER($A$2:$A$501,($D$2:$D$501&gt;=AW$7)*($D$2:$D$501&lt;AV$7)*($E$2:$E$501&gt;=$H46)*($E$2:$E$501&lt;$H45)," ")))</f>
        <v xml:space="preserve"> </v>
      </c>
      <c r="AW45" t="str" cm="1">
        <f t="array" ref="AW45">_xlfn.TEXTJOIN(",",TRUE,(_xlfn._xlws.FILTER($A$2:$A$501,($D$2:$D$501&gt;=AX$7)*($D$2:$D$501&lt;AW$7)*($E$2:$E$501&gt;=$H46)*($E$2:$E$501&lt;$H45)," ")))</f>
        <v xml:space="preserve"> </v>
      </c>
      <c r="AX45" t="str" cm="1">
        <f t="array" ref="AX45">_xlfn.TEXTJOIN(",",TRUE,(_xlfn._xlws.FILTER($A$2:$A$501,($D$2:$D$501&gt;=AY$7)*($D$2:$D$501&lt;AX$7)*($E$2:$E$501&gt;=$H46)*($E$2:$E$501&lt;$H45)," ")))</f>
        <v xml:space="preserve"> </v>
      </c>
      <c r="AY45" t="str" cm="1">
        <f t="array" ref="AY45">_xlfn.TEXTJOIN(",",TRUE,(_xlfn._xlws.FILTER($A$2:$A$501,($D$2:$D$501&gt;=AZ$7)*($D$2:$D$501&lt;AY$7)*($E$2:$E$501&gt;=$H46)*($E$2:$E$501&lt;$H45)," ")))</f>
        <v xml:space="preserve"> </v>
      </c>
      <c r="AZ45" t="str" cm="1">
        <f t="array" ref="AZ45">_xlfn.TEXTJOIN(",",TRUE,(_xlfn._xlws.FILTER($A$2:$A$501,($D$2:$D$501&gt;=BA$7)*($D$2:$D$501&lt;AZ$7)*($E$2:$E$501&gt;=$H46)*($E$2:$E$501&lt;$H45)," ")))</f>
        <v xml:space="preserve"> </v>
      </c>
      <c r="BA45" t="str" cm="1">
        <f t="array" ref="BA45">_xlfn.TEXTJOIN(",",TRUE,(_xlfn._xlws.FILTER($A$2:$A$501,($D$2:$D$501&gt;=BB$7)*($D$2:$D$501&lt;BA$7)*($E$2:$E$501&gt;=$H46)*($E$2:$E$501&lt;$H45)," ")))</f>
        <v xml:space="preserve"> </v>
      </c>
      <c r="BB45" t="str" cm="1">
        <f t="array" ref="BB45">_xlfn.TEXTJOIN(",",TRUE,(_xlfn._xlws.FILTER($A$2:$A$501,($D$2:$D$501&gt;=BC$7)*($D$2:$D$501&lt;BB$7)*($E$2:$E$501&gt;=$H46)*($E$2:$E$501&lt;$H45)," ")))</f>
        <v xml:space="preserve"> </v>
      </c>
    </row>
    <row r="46" spans="1:54" x14ac:dyDescent="0.2">
      <c r="A46" s="3" t="s">
        <v>528</v>
      </c>
      <c r="B46" s="3" t="s">
        <v>515</v>
      </c>
      <c r="C46" s="13">
        <v>1832165.86</v>
      </c>
      <c r="D46" s="15">
        <v>33892915.299999997</v>
      </c>
      <c r="E46" s="22">
        <f>TuitionRates3[[#This Row],[Tuition]]/D46</f>
        <v>5.4057487937604481E-2</v>
      </c>
      <c r="F46"/>
      <c r="H46" s="18">
        <v>0.112</v>
      </c>
      <c r="I46" t="str" cm="1">
        <f t="array" ref="I46">_xlfn.TEXTJOIN(",",TRUE,(_xlfn._xlws.FILTER($A$2:$A$501,($D$2:$D$501&gt;=J$7)*($D$2:$D$501&lt;I$7)*($E$2:$E$501&gt;=$H47)*($E$2:$E$501&lt;$H46)," ")))</f>
        <v xml:space="preserve"> </v>
      </c>
      <c r="J46" t="str" cm="1">
        <f t="array" ref="J46">_xlfn.TEXTJOIN(",",TRUE,(_xlfn._xlws.FILTER($A$2:$A$501,($D$2:$D$501&gt;=K$7)*($D$2:$D$501&lt;J$7)*($E$2:$E$501&gt;=$H47)*($E$2:$E$501&lt;$H46)," ")))</f>
        <v xml:space="preserve"> </v>
      </c>
      <c r="K46" t="str" cm="1">
        <f t="array" ref="K46">_xlfn.TEXTJOIN(",",TRUE,(_xlfn._xlws.FILTER($A$2:$A$501,($D$2:$D$501&gt;=L$7)*($D$2:$D$501&lt;K$7)*($E$2:$E$501&gt;=$H47)*($E$2:$E$501&lt;$H46)," ")))</f>
        <v xml:space="preserve"> </v>
      </c>
      <c r="L46" t="str" cm="1">
        <f t="array" ref="L46">_xlfn.TEXTJOIN(",",TRUE,(_xlfn._xlws.FILTER($A$2:$A$501,($D$2:$D$501&gt;=M$7)*($D$2:$D$501&lt;L$7)*($E$2:$E$501&gt;=$H47)*($E$2:$E$501&lt;$H46)," ")))</f>
        <v xml:space="preserve"> </v>
      </c>
      <c r="M46" t="str" cm="1">
        <f t="array" ref="M46">_xlfn.TEXTJOIN(",",TRUE,(_xlfn._xlws.FILTER($A$2:$A$501,($D$2:$D$501&gt;=N$7)*($D$2:$D$501&lt;M$7)*($E$2:$E$501&gt;=$H47)*($E$2:$E$501&lt;$H46)," ")))</f>
        <v xml:space="preserve"> </v>
      </c>
      <c r="N46" t="str" cm="1">
        <f t="array" ref="N46">_xlfn.TEXTJOIN(",",TRUE,(_xlfn._xlws.FILTER($A$2:$A$501,($D$2:$D$501&gt;=O$7)*($D$2:$D$501&lt;N$7)*($E$2:$E$501&gt;=$H47)*($E$2:$E$501&lt;$H46)," ")))</f>
        <v xml:space="preserve"> </v>
      </c>
      <c r="O46" t="str" cm="1">
        <f t="array" ref="O46">_xlfn.TEXTJOIN(",",TRUE,(_xlfn._xlws.FILTER($A$2:$A$501,($D$2:$D$501&gt;=P$7)*($D$2:$D$501&lt;O$7)*($E$2:$E$501&gt;=$H47)*($E$2:$E$501&lt;$H46)," ")))</f>
        <v xml:space="preserve"> </v>
      </c>
      <c r="P46" t="str" cm="1">
        <f t="array" ref="P46">_xlfn.TEXTJOIN(",",TRUE,(_xlfn._xlws.FILTER($A$2:$A$501,($D$2:$D$501&gt;=Q$7)*($D$2:$D$501&lt;P$7)*($E$2:$E$501&gt;=$H47)*($E$2:$E$501&lt;$H46)," ")))</f>
        <v xml:space="preserve"> </v>
      </c>
      <c r="Q46" t="str" cm="1">
        <f t="array" ref="Q46">_xlfn.TEXTJOIN(",",TRUE,(_xlfn._xlws.FILTER($A$2:$A$501,($D$2:$D$501&gt;=R$7)*($D$2:$D$501&lt;Q$7)*($E$2:$E$501&gt;=$H47)*($E$2:$E$501&lt;$H46)," ")))</f>
        <v xml:space="preserve"> </v>
      </c>
      <c r="R46" t="str" cm="1">
        <f t="array" ref="R46">_xlfn.TEXTJOIN(",",TRUE,(_xlfn._xlws.FILTER($A$2:$A$501,($D$2:$D$501&gt;=S$7)*($D$2:$D$501&lt;R$7)*($E$2:$E$501&gt;=$H47)*($E$2:$E$501&lt;$H46)," ")))</f>
        <v xml:space="preserve"> </v>
      </c>
      <c r="S46" t="str" cm="1">
        <f t="array" ref="S46">_xlfn.TEXTJOIN(",",TRUE,(_xlfn._xlws.FILTER($A$2:$A$501,($D$2:$D$501&gt;=T$7)*($D$2:$D$501&lt;S$7)*($E$2:$E$501&gt;=$H47)*($E$2:$E$501&lt;$H46)," ")))</f>
        <v xml:space="preserve"> </v>
      </c>
      <c r="T46" t="str" cm="1">
        <f t="array" ref="T46">_xlfn.TEXTJOIN(",",TRUE,(_xlfn._xlws.FILTER($A$2:$A$501,($D$2:$D$501&gt;=U$7)*($D$2:$D$501&lt;T$7)*($E$2:$E$501&gt;=$H47)*($E$2:$E$501&lt;$H46)," ")))</f>
        <v xml:space="preserve"> </v>
      </c>
      <c r="U46" t="str" cm="1">
        <f t="array" ref="U46">_xlfn.TEXTJOIN(",",TRUE,(_xlfn._xlws.FILTER($A$2:$A$501,($D$2:$D$501&gt;=V$7)*($D$2:$D$501&lt;U$7)*($E$2:$E$501&gt;=$H47)*($E$2:$E$501&lt;$H46)," ")))</f>
        <v xml:space="preserve"> </v>
      </c>
      <c r="V46" t="str" cm="1">
        <f t="array" ref="V46">_xlfn.TEXTJOIN(",",TRUE,(_xlfn._xlws.FILTER($A$2:$A$501,($D$2:$D$501&gt;=W$7)*($D$2:$D$501&lt;V$7)*($E$2:$E$501&gt;=$H47)*($E$2:$E$501&lt;$H46)," ")))</f>
        <v xml:space="preserve"> </v>
      </c>
      <c r="W46" t="str" cm="1">
        <f t="array" ref="W46">_xlfn.TEXTJOIN(",",TRUE,(_xlfn._xlws.FILTER($A$2:$A$501,($D$2:$D$501&gt;=X$7)*($D$2:$D$501&lt;W$7)*($E$2:$E$501&gt;=$H47)*($E$2:$E$501&lt;$H46)," ")))</f>
        <v xml:space="preserve"> </v>
      </c>
      <c r="X46" t="str" cm="1">
        <f t="array" ref="X46">_xlfn.TEXTJOIN(",",TRUE,(_xlfn._xlws.FILTER($A$2:$A$501,($D$2:$D$501&gt;=Y$7)*($D$2:$D$501&lt;X$7)*($E$2:$E$501&gt;=$H47)*($E$2:$E$501&lt;$H46)," ")))</f>
        <v xml:space="preserve"> </v>
      </c>
      <c r="Y46" t="str" cm="1">
        <f t="array" ref="Y46">_xlfn.TEXTJOIN(",",TRUE,(_xlfn._xlws.FILTER($A$2:$A$501,($D$2:$D$501&gt;=Z$7)*($D$2:$D$501&lt;Y$7)*($E$2:$E$501&gt;=$H47)*($E$2:$E$501&lt;$H46)," ")))</f>
        <v xml:space="preserve"> </v>
      </c>
      <c r="Z46" t="str" cm="1">
        <f t="array" ref="Z46">_xlfn.TEXTJOIN(",",TRUE,(_xlfn._xlws.FILTER($A$2:$A$501,($D$2:$D$501&gt;=AA$7)*($D$2:$D$501&lt;Z$7)*($E$2:$E$501&gt;=$H47)*($E$2:$E$501&lt;$H46)," ")))</f>
        <v xml:space="preserve"> </v>
      </c>
      <c r="AA46" t="str" cm="1">
        <f t="array" ref="AA46">_xlfn.TEXTJOIN(",",TRUE,(_xlfn._xlws.FILTER($A$2:$A$501,($D$2:$D$501&gt;=AB$7)*($D$2:$D$501&lt;AA$7)*($E$2:$E$501&gt;=$H47)*($E$2:$E$501&lt;$H46)," ")))</f>
        <v xml:space="preserve"> </v>
      </c>
      <c r="AB46" t="str" cm="1">
        <f t="array" ref="AB46">_xlfn.TEXTJOIN(",",TRUE,(_xlfn._xlws.FILTER($A$2:$A$501,($D$2:$D$501&gt;=AC$7)*($D$2:$D$501&lt;AB$7)*($E$2:$E$501&gt;=$H47)*($E$2:$E$501&lt;$H46)," ")))</f>
        <v xml:space="preserve"> </v>
      </c>
      <c r="AC46" t="str" cm="1">
        <f t="array" ref="AC46">_xlfn.TEXTJOIN(",",TRUE,(_xlfn._xlws.FILTER($A$2:$A$501,($D$2:$D$501&gt;=AD$7)*($D$2:$D$501&lt;AC$7)*($E$2:$E$501&gt;=$H47)*($E$2:$E$501&lt;$H46)," ")))</f>
        <v xml:space="preserve"> </v>
      </c>
      <c r="AD46" t="str" cm="1">
        <f t="array" ref="AD46">_xlfn.TEXTJOIN(",",TRUE,(_xlfn._xlws.FILTER($A$2:$A$501,($D$2:$D$501&gt;=AE$7)*($D$2:$D$501&lt;AD$7)*($E$2:$E$501&gt;=$H47)*($E$2:$E$501&lt;$H46)," ")))</f>
        <v xml:space="preserve"> </v>
      </c>
      <c r="AE46" t="str" cm="1">
        <f t="array" ref="AE46">_xlfn.TEXTJOIN(",",TRUE,(_xlfn._xlws.FILTER($A$2:$A$501,($D$2:$D$501&gt;=AF$7)*($D$2:$D$501&lt;AE$7)*($E$2:$E$501&gt;=$H47)*($E$2:$E$501&lt;$H46)," ")))</f>
        <v xml:space="preserve"> </v>
      </c>
      <c r="AF46" t="str" cm="1">
        <f t="array" ref="AF46">_xlfn.TEXTJOIN(",",TRUE,(_xlfn._xlws.FILTER($A$2:$A$501,($D$2:$D$501&gt;=AG$7)*($D$2:$D$501&lt;AF$7)*($E$2:$E$501&gt;=$H47)*($E$2:$E$501&lt;$H46)," ")))</f>
        <v xml:space="preserve"> </v>
      </c>
      <c r="AG46" t="str" cm="1">
        <f t="array" ref="AG46">_xlfn.TEXTJOIN(",",TRUE,(_xlfn._xlws.FILTER($A$2:$A$501,($D$2:$D$501&gt;=AH$7)*($D$2:$D$501&lt;AG$7)*($E$2:$E$501&gt;=$H47)*($E$2:$E$501&lt;$H46)," ")))</f>
        <v xml:space="preserve"> </v>
      </c>
      <c r="AH46" t="str" cm="1">
        <f t="array" ref="AH46">_xlfn.TEXTJOIN(",",TRUE,(_xlfn._xlws.FILTER($A$2:$A$501,($D$2:$D$501&gt;=AI$7)*($D$2:$D$501&lt;AH$7)*($E$2:$E$501&gt;=$H47)*($E$2:$E$501&lt;$H46)," ")))</f>
        <v xml:space="preserve"> </v>
      </c>
      <c r="AI46" t="str" cm="1">
        <f t="array" ref="AI46">_xlfn.TEXTJOIN(",",TRUE,(_xlfn._xlws.FILTER($A$2:$A$501,($D$2:$D$501&gt;=AJ$7)*($D$2:$D$501&lt;AI$7)*($E$2:$E$501&gt;=$H47)*($E$2:$E$501&lt;$H46)," ")))</f>
        <v xml:space="preserve"> </v>
      </c>
      <c r="AJ46" t="str" cm="1">
        <f t="array" ref="AJ46">_xlfn.TEXTJOIN(",",TRUE,(_xlfn._xlws.FILTER($A$2:$A$501,($D$2:$D$501&gt;=AK$7)*($D$2:$D$501&lt;AJ$7)*($E$2:$E$501&gt;=$H47)*($E$2:$E$501&lt;$H46)," ")))</f>
        <v xml:space="preserve"> </v>
      </c>
      <c r="AK46" t="str" cm="1">
        <f t="array" ref="AK46">_xlfn.TEXTJOIN(",",TRUE,(_xlfn._xlws.FILTER($A$2:$A$501,($D$2:$D$501&gt;=AL$7)*($D$2:$D$501&lt;AK$7)*($E$2:$E$501&gt;=$H47)*($E$2:$E$501&lt;$H46)," ")))</f>
        <v xml:space="preserve"> </v>
      </c>
      <c r="AL46" t="str" cm="1">
        <f t="array" ref="AL46">_xlfn.TEXTJOIN(",",TRUE,(_xlfn._xlws.FILTER($A$2:$A$501,($D$2:$D$501&gt;=AM$7)*($D$2:$D$501&lt;AL$7)*($E$2:$E$501&gt;=$H47)*($E$2:$E$501&lt;$H46)," ")))</f>
        <v xml:space="preserve"> </v>
      </c>
      <c r="AM46" t="str" cm="1">
        <f t="array" ref="AM46">_xlfn.TEXTJOIN(",",TRUE,(_xlfn._xlws.FILTER($A$2:$A$501,($D$2:$D$501&gt;=AN$7)*($D$2:$D$501&lt;AM$7)*($E$2:$E$501&gt;=$H47)*($E$2:$E$501&lt;$H46)," ")))</f>
        <v xml:space="preserve"> </v>
      </c>
      <c r="AN46" t="str" cm="1">
        <f t="array" ref="AN46">_xlfn.TEXTJOIN(",",TRUE,(_xlfn._xlws.FILTER($A$2:$A$501,($D$2:$D$501&gt;=AO$7)*($D$2:$D$501&lt;AN$7)*($E$2:$E$501&gt;=$H47)*($E$2:$E$501&lt;$H46)," ")))</f>
        <v xml:space="preserve"> </v>
      </c>
      <c r="AO46" t="str" cm="1">
        <f t="array" ref="AO46">_xlfn.TEXTJOIN(",",TRUE,(_xlfn._xlws.FILTER($A$2:$A$501,($D$2:$D$501&gt;=AP$7)*($D$2:$D$501&lt;AO$7)*($E$2:$E$501&gt;=$H47)*($E$2:$E$501&lt;$H46)," ")))</f>
        <v xml:space="preserve"> </v>
      </c>
      <c r="AP46" t="str" cm="1">
        <f t="array" ref="AP46">_xlfn.TEXTJOIN(",",TRUE,(_xlfn._xlws.FILTER($A$2:$A$501,($D$2:$D$501&gt;=AQ$7)*($D$2:$D$501&lt;AP$7)*($E$2:$E$501&gt;=$H47)*($E$2:$E$501&lt;$H46)," ")))</f>
        <v xml:space="preserve"> </v>
      </c>
      <c r="AQ46" t="str" cm="1">
        <f t="array" ref="AQ46">_xlfn.TEXTJOIN(",",TRUE,(_xlfn._xlws.FILTER($A$2:$A$501,($D$2:$D$501&gt;=AR$7)*($D$2:$D$501&lt;AQ$7)*($E$2:$E$501&gt;=$H47)*($E$2:$E$501&lt;$H46)," ")))</f>
        <v xml:space="preserve"> </v>
      </c>
      <c r="AR46" t="str" cm="1">
        <f t="array" ref="AR46">_xlfn.TEXTJOIN(",",TRUE,(_xlfn._xlws.FILTER($A$2:$A$501,($D$2:$D$501&gt;=AS$7)*($D$2:$D$501&lt;AR$7)*($E$2:$E$501&gt;=$H47)*($E$2:$E$501&lt;$H46)," ")))</f>
        <v xml:space="preserve"> </v>
      </c>
      <c r="AS46" t="str" cm="1">
        <f t="array" ref="AS46">_xlfn.TEXTJOIN(",",TRUE,(_xlfn._xlws.FILTER($A$2:$A$501,($D$2:$D$501&gt;=AT$7)*($D$2:$D$501&lt;AS$7)*($E$2:$E$501&gt;=$H47)*($E$2:$E$501&lt;$H46)," ")))</f>
        <v xml:space="preserve"> </v>
      </c>
      <c r="AT46" t="str" cm="1">
        <f t="array" ref="AT46">_xlfn.TEXTJOIN(",",TRUE,(_xlfn._xlws.FILTER($A$2:$A$501,($D$2:$D$501&gt;=AU$7)*($D$2:$D$501&lt;AT$7)*($E$2:$E$501&gt;=$H47)*($E$2:$E$501&lt;$H46)," ")))</f>
        <v xml:space="preserve"> </v>
      </c>
      <c r="AU46" t="str" cm="1">
        <f t="array" ref="AU46">_xlfn.TEXTJOIN(",",TRUE,(_xlfn._xlws.FILTER($A$2:$A$501,($D$2:$D$501&gt;=AV$7)*($D$2:$D$501&lt;AU$7)*($E$2:$E$501&gt;=$H47)*($E$2:$E$501&lt;$H46)," ")))</f>
        <v xml:space="preserve"> </v>
      </c>
      <c r="AV46" t="str" cm="1">
        <f t="array" ref="AV46">_xlfn.TEXTJOIN(",",TRUE,(_xlfn._xlws.FILTER($A$2:$A$501,($D$2:$D$501&gt;=AW$7)*($D$2:$D$501&lt;AV$7)*($E$2:$E$501&gt;=$H47)*($E$2:$E$501&lt;$H46)," ")))</f>
        <v xml:space="preserve"> </v>
      </c>
      <c r="AW46" t="str" cm="1">
        <f t="array" ref="AW46">_xlfn.TEXTJOIN(",",TRUE,(_xlfn._xlws.FILTER($A$2:$A$501,($D$2:$D$501&gt;=AX$7)*($D$2:$D$501&lt;AW$7)*($E$2:$E$501&gt;=$H47)*($E$2:$E$501&lt;$H46)," ")))</f>
        <v xml:space="preserve"> </v>
      </c>
      <c r="AX46" t="str" cm="1">
        <f t="array" ref="AX46">_xlfn.TEXTJOIN(",",TRUE,(_xlfn._xlws.FILTER($A$2:$A$501,($D$2:$D$501&gt;=AY$7)*($D$2:$D$501&lt;AX$7)*($E$2:$E$501&gt;=$H47)*($E$2:$E$501&lt;$H46)," ")))</f>
        <v xml:space="preserve"> </v>
      </c>
      <c r="AY46" t="str" cm="1">
        <f t="array" ref="AY46">_xlfn.TEXTJOIN(",",TRUE,(_xlfn._xlws.FILTER($A$2:$A$501,($D$2:$D$501&gt;=AZ$7)*($D$2:$D$501&lt;AY$7)*($E$2:$E$501&gt;=$H47)*($E$2:$E$501&lt;$H46)," ")))</f>
        <v xml:space="preserve"> </v>
      </c>
      <c r="AZ46" t="str" cm="1">
        <f t="array" ref="AZ46">_xlfn.TEXTJOIN(",",TRUE,(_xlfn._xlws.FILTER($A$2:$A$501,($D$2:$D$501&gt;=BA$7)*($D$2:$D$501&lt;AZ$7)*($E$2:$E$501&gt;=$H47)*($E$2:$E$501&lt;$H46)," ")))</f>
        <v xml:space="preserve"> </v>
      </c>
      <c r="BA46" t="str" cm="1">
        <f t="array" ref="BA46">_xlfn.TEXTJOIN(",",TRUE,(_xlfn._xlws.FILTER($A$2:$A$501,($D$2:$D$501&gt;=BB$7)*($D$2:$D$501&lt;BA$7)*($E$2:$E$501&gt;=$H47)*($E$2:$E$501&lt;$H46)," ")))</f>
        <v xml:space="preserve"> </v>
      </c>
      <c r="BB46" t="str" cm="1">
        <f t="array" ref="BB46">_xlfn.TEXTJOIN(",",TRUE,(_xlfn._xlws.FILTER($A$2:$A$501,($D$2:$D$501&gt;=BC$7)*($D$2:$D$501&lt;BB$7)*($E$2:$E$501&gt;=$H47)*($E$2:$E$501&lt;$H46)," ")))</f>
        <v xml:space="preserve"> </v>
      </c>
    </row>
    <row r="47" spans="1:54" x14ac:dyDescent="0.2">
      <c r="A47" s="3" t="s">
        <v>38</v>
      </c>
      <c r="B47" s="3" t="s">
        <v>11</v>
      </c>
      <c r="C47" s="13">
        <v>40354759.979999997</v>
      </c>
      <c r="D47" s="15">
        <v>746818491.24000001</v>
      </c>
      <c r="E47" s="22">
        <f>TuitionRates3[[#This Row],[Tuition]]/D47</f>
        <v>5.4035566142712793E-2</v>
      </c>
      <c r="F47"/>
      <c r="H47" s="18">
        <v>0.111</v>
      </c>
      <c r="I47" t="str" cm="1">
        <f t="array" ref="I47">_xlfn.TEXTJOIN(",",TRUE,(_xlfn._xlws.FILTER($A$2:$A$501,($D$2:$D$501&gt;=J$7)*($D$2:$D$501&lt;I$7)*($E$2:$E$501&gt;=$H48)*($E$2:$E$501&lt;$H47)," ")))</f>
        <v xml:space="preserve"> </v>
      </c>
      <c r="J47" t="str" cm="1">
        <f t="array" ref="J47">_xlfn.TEXTJOIN(",",TRUE,(_xlfn._xlws.FILTER($A$2:$A$501,($D$2:$D$501&gt;=K$7)*($D$2:$D$501&lt;J$7)*($E$2:$E$501&gt;=$H48)*($E$2:$E$501&lt;$H47)," ")))</f>
        <v xml:space="preserve"> </v>
      </c>
      <c r="K47" t="str" cm="1">
        <f t="array" ref="K47">_xlfn.TEXTJOIN(",",TRUE,(_xlfn._xlws.FILTER($A$2:$A$501,($D$2:$D$501&gt;=L$7)*($D$2:$D$501&lt;K$7)*($E$2:$E$501&gt;=$H48)*($E$2:$E$501&lt;$H47)," ")))</f>
        <v xml:space="preserve"> </v>
      </c>
      <c r="L47" t="str" cm="1">
        <f t="array" ref="L47">_xlfn.TEXTJOIN(",",TRUE,(_xlfn._xlws.FILTER($A$2:$A$501,($D$2:$D$501&gt;=M$7)*($D$2:$D$501&lt;L$7)*($E$2:$E$501&gt;=$H48)*($E$2:$E$501&lt;$H47)," ")))</f>
        <v xml:space="preserve"> </v>
      </c>
      <c r="M47" t="str" cm="1">
        <f t="array" ref="M47">_xlfn.TEXTJOIN(",",TRUE,(_xlfn._xlws.FILTER($A$2:$A$501,($D$2:$D$501&gt;=N$7)*($D$2:$D$501&lt;M$7)*($E$2:$E$501&gt;=$H48)*($E$2:$E$501&lt;$H47)," ")))</f>
        <v xml:space="preserve"> </v>
      </c>
      <c r="N47" t="str" cm="1">
        <f t="array" ref="N47">_xlfn.TEXTJOIN(",",TRUE,(_xlfn._xlws.FILTER($A$2:$A$501,($D$2:$D$501&gt;=O$7)*($D$2:$D$501&lt;N$7)*($E$2:$E$501&gt;=$H48)*($E$2:$E$501&lt;$H47)," ")))</f>
        <v xml:space="preserve"> </v>
      </c>
      <c r="O47" t="str" cm="1">
        <f t="array" ref="O47">_xlfn.TEXTJOIN(",",TRUE,(_xlfn._xlws.FILTER($A$2:$A$501,($D$2:$D$501&gt;=P$7)*($D$2:$D$501&lt;O$7)*($E$2:$E$501&gt;=$H48)*($E$2:$E$501&lt;$H47)," ")))</f>
        <v xml:space="preserve"> </v>
      </c>
      <c r="P47" t="str" cm="1">
        <f t="array" ref="P47">_xlfn.TEXTJOIN(",",TRUE,(_xlfn._xlws.FILTER($A$2:$A$501,($D$2:$D$501&gt;=Q$7)*($D$2:$D$501&lt;P$7)*($E$2:$E$501&gt;=$H48)*($E$2:$E$501&lt;$H47)," ")))</f>
        <v xml:space="preserve"> </v>
      </c>
      <c r="Q47" t="str" cm="1">
        <f t="array" ref="Q47">_xlfn.TEXTJOIN(",",TRUE,(_xlfn._xlws.FILTER($A$2:$A$501,($D$2:$D$501&gt;=R$7)*($D$2:$D$501&lt;Q$7)*($E$2:$E$501&gt;=$H48)*($E$2:$E$501&lt;$H47)," ")))</f>
        <v xml:space="preserve"> </v>
      </c>
      <c r="R47" t="str" cm="1">
        <f t="array" ref="R47">_xlfn.TEXTJOIN(",",TRUE,(_xlfn._xlws.FILTER($A$2:$A$501,($D$2:$D$501&gt;=S$7)*($D$2:$D$501&lt;R$7)*($E$2:$E$501&gt;=$H48)*($E$2:$E$501&lt;$H47)," ")))</f>
        <v xml:space="preserve"> </v>
      </c>
      <c r="S47" t="str" cm="1">
        <f t="array" ref="S47">_xlfn.TEXTJOIN(",",TRUE,(_xlfn._xlws.FILTER($A$2:$A$501,($D$2:$D$501&gt;=T$7)*($D$2:$D$501&lt;S$7)*($E$2:$E$501&gt;=$H48)*($E$2:$E$501&lt;$H47)," ")))</f>
        <v xml:space="preserve"> </v>
      </c>
      <c r="T47" t="str" cm="1">
        <f t="array" ref="T47">_xlfn.TEXTJOIN(",",TRUE,(_xlfn._xlws.FILTER($A$2:$A$501,($D$2:$D$501&gt;=U$7)*($D$2:$D$501&lt;T$7)*($E$2:$E$501&gt;=$H48)*($E$2:$E$501&lt;$H47)," ")))</f>
        <v xml:space="preserve"> </v>
      </c>
      <c r="U47" t="str" cm="1">
        <f t="array" ref="U47">_xlfn.TEXTJOIN(",",TRUE,(_xlfn._xlws.FILTER($A$2:$A$501,($D$2:$D$501&gt;=V$7)*($D$2:$D$501&lt;U$7)*($E$2:$E$501&gt;=$H48)*($E$2:$E$501&lt;$H47)," ")))</f>
        <v xml:space="preserve"> </v>
      </c>
      <c r="V47" t="str" cm="1">
        <f t="array" ref="V47">_xlfn.TEXTJOIN(",",TRUE,(_xlfn._xlws.FILTER($A$2:$A$501,($D$2:$D$501&gt;=W$7)*($D$2:$D$501&lt;V$7)*($E$2:$E$501&gt;=$H48)*($E$2:$E$501&lt;$H47)," ")))</f>
        <v xml:space="preserve"> </v>
      </c>
      <c r="W47" t="str" cm="1">
        <f t="array" ref="W47">_xlfn.TEXTJOIN(",",TRUE,(_xlfn._xlws.FILTER($A$2:$A$501,($D$2:$D$501&gt;=X$7)*($D$2:$D$501&lt;W$7)*($E$2:$E$501&gt;=$H48)*($E$2:$E$501&lt;$H47)," ")))</f>
        <v xml:space="preserve"> </v>
      </c>
      <c r="X47" t="str" cm="1">
        <f t="array" ref="X47">_xlfn.TEXTJOIN(",",TRUE,(_xlfn._xlws.FILTER($A$2:$A$501,($D$2:$D$501&gt;=Y$7)*($D$2:$D$501&lt;X$7)*($E$2:$E$501&gt;=$H48)*($E$2:$E$501&lt;$H47)," ")))</f>
        <v xml:space="preserve"> </v>
      </c>
      <c r="Y47" t="str" cm="1">
        <f t="array" ref="Y47">_xlfn.TEXTJOIN(",",TRUE,(_xlfn._xlws.FILTER($A$2:$A$501,($D$2:$D$501&gt;=Z$7)*($D$2:$D$501&lt;Y$7)*($E$2:$E$501&gt;=$H48)*($E$2:$E$501&lt;$H47)," ")))</f>
        <v xml:space="preserve"> </v>
      </c>
      <c r="Z47" t="str" cm="1">
        <f t="array" ref="Z47">_xlfn.TEXTJOIN(",",TRUE,(_xlfn._xlws.FILTER($A$2:$A$501,($D$2:$D$501&gt;=AA$7)*($D$2:$D$501&lt;Z$7)*($E$2:$E$501&gt;=$H48)*($E$2:$E$501&lt;$H47)," ")))</f>
        <v xml:space="preserve"> </v>
      </c>
      <c r="AA47" t="str" cm="1">
        <f t="array" ref="AA47">_xlfn.TEXTJOIN(",",TRUE,(_xlfn._xlws.FILTER($A$2:$A$501,($D$2:$D$501&gt;=AB$7)*($D$2:$D$501&lt;AA$7)*($E$2:$E$501&gt;=$H48)*($E$2:$E$501&lt;$H47)," ")))</f>
        <v xml:space="preserve"> </v>
      </c>
      <c r="AB47" t="str" cm="1">
        <f t="array" ref="AB47">_xlfn.TEXTJOIN(",",TRUE,(_xlfn._xlws.FILTER($A$2:$A$501,($D$2:$D$501&gt;=AC$7)*($D$2:$D$501&lt;AB$7)*($E$2:$E$501&gt;=$H48)*($E$2:$E$501&lt;$H47)," ")))</f>
        <v xml:space="preserve"> </v>
      </c>
      <c r="AC47" t="str" cm="1">
        <f t="array" ref="AC47">_xlfn.TEXTJOIN(",",TRUE,(_xlfn._xlws.FILTER($A$2:$A$501,($D$2:$D$501&gt;=AD$7)*($D$2:$D$501&lt;AC$7)*($E$2:$E$501&gt;=$H48)*($E$2:$E$501&lt;$H47)," ")))</f>
        <v xml:space="preserve"> </v>
      </c>
      <c r="AD47" t="str" cm="1">
        <f t="array" ref="AD47">_xlfn.TEXTJOIN(",",TRUE,(_xlfn._xlws.FILTER($A$2:$A$501,($D$2:$D$501&gt;=AE$7)*($D$2:$D$501&lt;AD$7)*($E$2:$E$501&gt;=$H48)*($E$2:$E$501&lt;$H47)," ")))</f>
        <v xml:space="preserve"> </v>
      </c>
      <c r="AE47" t="str" cm="1">
        <f t="array" ref="AE47">_xlfn.TEXTJOIN(",",TRUE,(_xlfn._xlws.FILTER($A$2:$A$501,($D$2:$D$501&gt;=AF$7)*($D$2:$D$501&lt;AE$7)*($E$2:$E$501&gt;=$H48)*($E$2:$E$501&lt;$H47)," ")))</f>
        <v xml:space="preserve"> </v>
      </c>
      <c r="AF47" t="str" cm="1">
        <f t="array" ref="AF47">_xlfn.TEXTJOIN(",",TRUE,(_xlfn._xlws.FILTER($A$2:$A$501,($D$2:$D$501&gt;=AG$7)*($D$2:$D$501&lt;AF$7)*($E$2:$E$501&gt;=$H48)*($E$2:$E$501&lt;$H47)," ")))</f>
        <v xml:space="preserve"> </v>
      </c>
      <c r="AG47" t="str" cm="1">
        <f t="array" ref="AG47">_xlfn.TEXTJOIN(",",TRUE,(_xlfn._xlws.FILTER($A$2:$A$501,($D$2:$D$501&gt;=AH$7)*($D$2:$D$501&lt;AG$7)*($E$2:$E$501&gt;=$H48)*($E$2:$E$501&lt;$H47)," ")))</f>
        <v xml:space="preserve"> </v>
      </c>
      <c r="AH47" t="str" cm="1">
        <f t="array" ref="AH47">_xlfn.TEXTJOIN(",",TRUE,(_xlfn._xlws.FILTER($A$2:$A$501,($D$2:$D$501&gt;=AI$7)*($D$2:$D$501&lt;AH$7)*($E$2:$E$501&gt;=$H48)*($E$2:$E$501&lt;$H47)," ")))</f>
        <v xml:space="preserve"> </v>
      </c>
      <c r="AI47" t="str" cm="1">
        <f t="array" ref="AI47">_xlfn.TEXTJOIN(",",TRUE,(_xlfn._xlws.FILTER($A$2:$A$501,($D$2:$D$501&gt;=AJ$7)*($D$2:$D$501&lt;AI$7)*($E$2:$E$501&gt;=$H48)*($E$2:$E$501&lt;$H47)," ")))</f>
        <v xml:space="preserve"> </v>
      </c>
      <c r="AJ47" t="str" cm="1">
        <f t="array" ref="AJ47">_xlfn.TEXTJOIN(",",TRUE,(_xlfn._xlws.FILTER($A$2:$A$501,($D$2:$D$501&gt;=AK$7)*($D$2:$D$501&lt;AJ$7)*($E$2:$E$501&gt;=$H48)*($E$2:$E$501&lt;$H47)," ")))</f>
        <v xml:space="preserve"> </v>
      </c>
      <c r="AK47" t="str" cm="1">
        <f t="array" ref="AK47">_xlfn.TEXTJOIN(",",TRUE,(_xlfn._xlws.FILTER($A$2:$A$501,($D$2:$D$501&gt;=AL$7)*($D$2:$D$501&lt;AK$7)*($E$2:$E$501&gt;=$H48)*($E$2:$E$501&lt;$H47)," ")))</f>
        <v xml:space="preserve"> </v>
      </c>
      <c r="AL47" t="str" cm="1">
        <f t="array" ref="AL47">_xlfn.TEXTJOIN(",",TRUE,(_xlfn._xlws.FILTER($A$2:$A$501,($D$2:$D$501&gt;=AM$7)*($D$2:$D$501&lt;AL$7)*($E$2:$E$501&gt;=$H48)*($E$2:$E$501&lt;$H47)," ")))</f>
        <v xml:space="preserve"> </v>
      </c>
      <c r="AM47" t="str" cm="1">
        <f t="array" ref="AM47">_xlfn.TEXTJOIN(",",TRUE,(_xlfn._xlws.FILTER($A$2:$A$501,($D$2:$D$501&gt;=AN$7)*($D$2:$D$501&lt;AM$7)*($E$2:$E$501&gt;=$H48)*($E$2:$E$501&lt;$H47)," ")))</f>
        <v xml:space="preserve"> </v>
      </c>
      <c r="AN47" t="str" cm="1">
        <f t="array" ref="AN47">_xlfn.TEXTJOIN(",",TRUE,(_xlfn._xlws.FILTER($A$2:$A$501,($D$2:$D$501&gt;=AO$7)*($D$2:$D$501&lt;AN$7)*($E$2:$E$501&gt;=$H48)*($E$2:$E$501&lt;$H47)," ")))</f>
        <v xml:space="preserve"> </v>
      </c>
      <c r="AO47" t="str" cm="1">
        <f t="array" ref="AO47">_xlfn.TEXTJOIN(",",TRUE,(_xlfn._xlws.FILTER($A$2:$A$501,($D$2:$D$501&gt;=AP$7)*($D$2:$D$501&lt;AO$7)*($E$2:$E$501&gt;=$H48)*($E$2:$E$501&lt;$H47)," ")))</f>
        <v xml:space="preserve"> </v>
      </c>
      <c r="AP47" t="str" cm="1">
        <f t="array" ref="AP47">_xlfn.TEXTJOIN(",",TRUE,(_xlfn._xlws.FILTER($A$2:$A$501,($D$2:$D$501&gt;=AQ$7)*($D$2:$D$501&lt;AP$7)*($E$2:$E$501&gt;=$H48)*($E$2:$E$501&lt;$H47)," ")))</f>
        <v xml:space="preserve"> </v>
      </c>
      <c r="AQ47" t="str" cm="1">
        <f t="array" ref="AQ47">_xlfn.TEXTJOIN(",",TRUE,(_xlfn._xlws.FILTER($A$2:$A$501,($D$2:$D$501&gt;=AR$7)*($D$2:$D$501&lt;AQ$7)*($E$2:$E$501&gt;=$H48)*($E$2:$E$501&lt;$H47)," ")))</f>
        <v xml:space="preserve"> </v>
      </c>
      <c r="AR47" t="str" cm="1">
        <f t="array" ref="AR47">_xlfn.TEXTJOIN(",",TRUE,(_xlfn._xlws.FILTER($A$2:$A$501,($D$2:$D$501&gt;=AS$7)*($D$2:$D$501&lt;AR$7)*($E$2:$E$501&gt;=$H48)*($E$2:$E$501&lt;$H47)," ")))</f>
        <v xml:space="preserve"> </v>
      </c>
      <c r="AS47" t="str" cm="1">
        <f t="array" ref="AS47">_xlfn.TEXTJOIN(",",TRUE,(_xlfn._xlws.FILTER($A$2:$A$501,($D$2:$D$501&gt;=AT$7)*($D$2:$D$501&lt;AS$7)*($E$2:$E$501&gt;=$H48)*($E$2:$E$501&lt;$H47)," ")))</f>
        <v xml:space="preserve"> </v>
      </c>
      <c r="AT47" t="str" cm="1">
        <f t="array" ref="AT47">_xlfn.TEXTJOIN(",",TRUE,(_xlfn._xlws.FILTER($A$2:$A$501,($D$2:$D$501&gt;=AU$7)*($D$2:$D$501&lt;AT$7)*($E$2:$E$501&gt;=$H48)*($E$2:$E$501&lt;$H47)," ")))</f>
        <v xml:space="preserve"> </v>
      </c>
      <c r="AU47" t="str" cm="1">
        <f t="array" ref="AU47">_xlfn.TEXTJOIN(",",TRUE,(_xlfn._xlws.FILTER($A$2:$A$501,($D$2:$D$501&gt;=AV$7)*($D$2:$D$501&lt;AU$7)*($E$2:$E$501&gt;=$H48)*($E$2:$E$501&lt;$H47)," ")))</f>
        <v xml:space="preserve"> </v>
      </c>
      <c r="AV47" t="str" cm="1">
        <f t="array" ref="AV47">_xlfn.TEXTJOIN(",",TRUE,(_xlfn._xlws.FILTER($A$2:$A$501,($D$2:$D$501&gt;=AW$7)*($D$2:$D$501&lt;AV$7)*($E$2:$E$501&gt;=$H48)*($E$2:$E$501&lt;$H47)," ")))</f>
        <v xml:space="preserve"> </v>
      </c>
      <c r="AW47" t="str" cm="1">
        <f t="array" ref="AW47">_xlfn.TEXTJOIN(",",TRUE,(_xlfn._xlws.FILTER($A$2:$A$501,($D$2:$D$501&gt;=AX$7)*($D$2:$D$501&lt;AW$7)*($E$2:$E$501&gt;=$H48)*($E$2:$E$501&lt;$H47)," ")))</f>
        <v xml:space="preserve"> </v>
      </c>
      <c r="AX47" t="str" cm="1">
        <f t="array" ref="AX47">_xlfn.TEXTJOIN(",",TRUE,(_xlfn._xlws.FILTER($A$2:$A$501,($D$2:$D$501&gt;=AY$7)*($D$2:$D$501&lt;AX$7)*($E$2:$E$501&gt;=$H48)*($E$2:$E$501&lt;$H47)," ")))</f>
        <v xml:space="preserve"> </v>
      </c>
      <c r="AY47" t="str" cm="1">
        <f t="array" ref="AY47">_xlfn.TEXTJOIN(",",TRUE,(_xlfn._xlws.FILTER($A$2:$A$501,($D$2:$D$501&gt;=AZ$7)*($D$2:$D$501&lt;AY$7)*($E$2:$E$501&gt;=$H48)*($E$2:$E$501&lt;$H47)," ")))</f>
        <v xml:space="preserve"> </v>
      </c>
      <c r="AZ47" t="str" cm="1">
        <f t="array" ref="AZ47">_xlfn.TEXTJOIN(",",TRUE,(_xlfn._xlws.FILTER($A$2:$A$501,($D$2:$D$501&gt;=BA$7)*($D$2:$D$501&lt;AZ$7)*($E$2:$E$501&gt;=$H48)*($E$2:$E$501&lt;$H47)," ")))</f>
        <v xml:space="preserve"> </v>
      </c>
      <c r="BA47" t="str" cm="1">
        <f t="array" ref="BA47">_xlfn.TEXTJOIN(",",TRUE,(_xlfn._xlws.FILTER($A$2:$A$501,($D$2:$D$501&gt;=BB$7)*($D$2:$D$501&lt;BA$7)*($E$2:$E$501&gt;=$H48)*($E$2:$E$501&lt;$H47)," ")))</f>
        <v xml:space="preserve"> </v>
      </c>
      <c r="BB47" t="str" cm="1">
        <f t="array" ref="BB47">_xlfn.TEXTJOIN(",",TRUE,(_xlfn._xlws.FILTER($A$2:$A$501,($D$2:$D$501&gt;=BC$7)*($D$2:$D$501&lt;BB$7)*($E$2:$E$501&gt;=$H48)*($E$2:$E$501&lt;$H47)," ")))</f>
        <v xml:space="preserve"> </v>
      </c>
    </row>
    <row r="48" spans="1:54" x14ac:dyDescent="0.2">
      <c r="A48" s="3" t="s">
        <v>47</v>
      </c>
      <c r="B48" s="3" t="s">
        <v>11</v>
      </c>
      <c r="C48" s="13">
        <v>1797840.77</v>
      </c>
      <c r="D48" s="15">
        <v>33297135.34</v>
      </c>
      <c r="E48" s="22">
        <f>TuitionRates3[[#This Row],[Tuition]]/D48</f>
        <v>5.399385717846561E-2</v>
      </c>
      <c r="F48"/>
      <c r="H48" s="18">
        <v>0.11</v>
      </c>
      <c r="I48" t="str" cm="1">
        <f t="array" ref="I48">_xlfn.TEXTJOIN(",",TRUE,(_xlfn._xlws.FILTER($A$2:$A$501,($D$2:$D$501&gt;=J$7)*($D$2:$D$501&lt;I$7)*($E$2:$E$501&gt;=$H49)*($E$2:$E$501&lt;$H48)," ")))</f>
        <v xml:space="preserve"> </v>
      </c>
      <c r="J48" t="str" cm="1">
        <f t="array" ref="J48">_xlfn.TEXTJOIN(",",TRUE,(_xlfn._xlws.FILTER($A$2:$A$501,($D$2:$D$501&gt;=K$7)*($D$2:$D$501&lt;J$7)*($E$2:$E$501&gt;=$H49)*($E$2:$E$501&lt;$H48)," ")))</f>
        <v xml:space="preserve"> </v>
      </c>
      <c r="K48" t="str" cm="1">
        <f t="array" ref="K48">_xlfn.TEXTJOIN(",",TRUE,(_xlfn._xlws.FILTER($A$2:$A$501,($D$2:$D$501&gt;=L$7)*($D$2:$D$501&lt;K$7)*($E$2:$E$501&gt;=$H49)*($E$2:$E$501&lt;$H48)," ")))</f>
        <v xml:space="preserve"> </v>
      </c>
      <c r="L48" t="str" cm="1">
        <f t="array" ref="L48">_xlfn.TEXTJOIN(",",TRUE,(_xlfn._xlws.FILTER($A$2:$A$501,($D$2:$D$501&gt;=M$7)*($D$2:$D$501&lt;L$7)*($E$2:$E$501&gt;=$H49)*($E$2:$E$501&lt;$H48)," ")))</f>
        <v xml:space="preserve"> </v>
      </c>
      <c r="M48" t="str" cm="1">
        <f t="array" ref="M48">_xlfn.TEXTJOIN(",",TRUE,(_xlfn._xlws.FILTER($A$2:$A$501,($D$2:$D$501&gt;=N$7)*($D$2:$D$501&lt;M$7)*($E$2:$E$501&gt;=$H49)*($E$2:$E$501&lt;$H48)," ")))</f>
        <v xml:space="preserve"> </v>
      </c>
      <c r="N48" t="str" cm="1">
        <f t="array" ref="N48">_xlfn.TEXTJOIN(",",TRUE,(_xlfn._xlws.FILTER($A$2:$A$501,($D$2:$D$501&gt;=O$7)*($D$2:$D$501&lt;N$7)*($E$2:$E$501&gt;=$H49)*($E$2:$E$501&lt;$H48)," ")))</f>
        <v xml:space="preserve"> </v>
      </c>
      <c r="O48" t="str" cm="1">
        <f t="array" ref="O48">_xlfn.TEXTJOIN(",",TRUE,(_xlfn._xlws.FILTER($A$2:$A$501,($D$2:$D$501&gt;=P$7)*($D$2:$D$501&lt;O$7)*($E$2:$E$501&gt;=$H49)*($E$2:$E$501&lt;$H48)," ")))</f>
        <v xml:space="preserve"> </v>
      </c>
      <c r="P48" t="str" cm="1">
        <f t="array" ref="P48">_xlfn.TEXTJOIN(",",TRUE,(_xlfn._xlws.FILTER($A$2:$A$501,($D$2:$D$501&gt;=Q$7)*($D$2:$D$501&lt;P$7)*($E$2:$E$501&gt;=$H49)*($E$2:$E$501&lt;$H48)," ")))</f>
        <v xml:space="preserve"> </v>
      </c>
      <c r="Q48" t="str" cm="1">
        <f t="array" ref="Q48">_xlfn.TEXTJOIN(",",TRUE,(_xlfn._xlws.FILTER($A$2:$A$501,($D$2:$D$501&gt;=R$7)*($D$2:$D$501&lt;Q$7)*($E$2:$E$501&gt;=$H49)*($E$2:$E$501&lt;$H48)," ")))</f>
        <v xml:space="preserve"> </v>
      </c>
      <c r="R48" t="str" cm="1">
        <f t="array" ref="R48">_xlfn.TEXTJOIN(",",TRUE,(_xlfn._xlws.FILTER($A$2:$A$501,($D$2:$D$501&gt;=S$7)*($D$2:$D$501&lt;R$7)*($E$2:$E$501&gt;=$H49)*($E$2:$E$501&lt;$H48)," ")))</f>
        <v xml:space="preserve"> </v>
      </c>
      <c r="S48" t="str" cm="1">
        <f t="array" ref="S48">_xlfn.TEXTJOIN(",",TRUE,(_xlfn._xlws.FILTER($A$2:$A$501,($D$2:$D$501&gt;=T$7)*($D$2:$D$501&lt;S$7)*($E$2:$E$501&gt;=$H49)*($E$2:$E$501&lt;$H48)," ")))</f>
        <v xml:space="preserve"> </v>
      </c>
      <c r="T48" t="str" cm="1">
        <f t="array" ref="T48">_xlfn.TEXTJOIN(",",TRUE,(_xlfn._xlws.FILTER($A$2:$A$501,($D$2:$D$501&gt;=U$7)*($D$2:$D$501&lt;T$7)*($E$2:$E$501&gt;=$H49)*($E$2:$E$501&lt;$H48)," ")))</f>
        <v xml:space="preserve"> </v>
      </c>
      <c r="U48" t="str" cm="1">
        <f t="array" ref="U48">_xlfn.TEXTJOIN(",",TRUE,(_xlfn._xlws.FILTER($A$2:$A$501,($D$2:$D$501&gt;=V$7)*($D$2:$D$501&lt;U$7)*($E$2:$E$501&gt;=$H49)*($E$2:$E$501&lt;$H48)," ")))</f>
        <v xml:space="preserve"> </v>
      </c>
      <c r="V48" t="str" cm="1">
        <f t="array" ref="V48">_xlfn.TEXTJOIN(",",TRUE,(_xlfn._xlws.FILTER($A$2:$A$501,($D$2:$D$501&gt;=W$7)*($D$2:$D$501&lt;V$7)*($E$2:$E$501&gt;=$H49)*($E$2:$E$501&lt;$H48)," ")))</f>
        <v xml:space="preserve"> </v>
      </c>
      <c r="W48" t="str" cm="1">
        <f t="array" ref="W48">_xlfn.TEXTJOIN(",",TRUE,(_xlfn._xlws.FILTER($A$2:$A$501,($D$2:$D$501&gt;=X$7)*($D$2:$D$501&lt;W$7)*($E$2:$E$501&gt;=$H49)*($E$2:$E$501&lt;$H48)," ")))</f>
        <v xml:space="preserve"> </v>
      </c>
      <c r="X48" t="str" cm="1">
        <f t="array" ref="X48">_xlfn.TEXTJOIN(",",TRUE,(_xlfn._xlws.FILTER($A$2:$A$501,($D$2:$D$501&gt;=Y$7)*($D$2:$D$501&lt;X$7)*($E$2:$E$501&gt;=$H49)*($E$2:$E$501&lt;$H48)," ")))</f>
        <v xml:space="preserve"> </v>
      </c>
      <c r="Y48" t="str" cm="1">
        <f t="array" ref="Y48">_xlfn.TEXTJOIN(",",TRUE,(_xlfn._xlws.FILTER($A$2:$A$501,($D$2:$D$501&gt;=Z$7)*($D$2:$D$501&lt;Y$7)*($E$2:$E$501&gt;=$H49)*($E$2:$E$501&lt;$H48)," ")))</f>
        <v xml:space="preserve"> </v>
      </c>
      <c r="Z48" t="str" cm="1">
        <f t="array" ref="Z48">_xlfn.TEXTJOIN(",",TRUE,(_xlfn._xlws.FILTER($A$2:$A$501,($D$2:$D$501&gt;=AA$7)*($D$2:$D$501&lt;Z$7)*($E$2:$E$501&gt;=$H49)*($E$2:$E$501&lt;$H48)," ")))</f>
        <v xml:space="preserve"> </v>
      </c>
      <c r="AA48" t="str" cm="1">
        <f t="array" ref="AA48">_xlfn.TEXTJOIN(",",TRUE,(_xlfn._xlws.FILTER($A$2:$A$501,($D$2:$D$501&gt;=AB$7)*($D$2:$D$501&lt;AA$7)*($E$2:$E$501&gt;=$H49)*($E$2:$E$501&lt;$H48)," ")))</f>
        <v xml:space="preserve"> </v>
      </c>
      <c r="AB48" t="str" cm="1">
        <f t="array" ref="AB48">_xlfn.TEXTJOIN(",",TRUE,(_xlfn._xlws.FILTER($A$2:$A$501,($D$2:$D$501&gt;=AC$7)*($D$2:$D$501&lt;AB$7)*($E$2:$E$501&gt;=$H49)*($E$2:$E$501&lt;$H48)," ")))</f>
        <v xml:space="preserve"> </v>
      </c>
      <c r="AC48" t="str" cm="1">
        <f t="array" ref="AC48">_xlfn.TEXTJOIN(",",TRUE,(_xlfn._xlws.FILTER($A$2:$A$501,($D$2:$D$501&gt;=AD$7)*($D$2:$D$501&lt;AC$7)*($E$2:$E$501&gt;=$H49)*($E$2:$E$501&lt;$H48)," ")))</f>
        <v xml:space="preserve"> </v>
      </c>
      <c r="AD48" t="str" cm="1">
        <f t="array" ref="AD48">_xlfn.TEXTJOIN(",",TRUE,(_xlfn._xlws.FILTER($A$2:$A$501,($D$2:$D$501&gt;=AE$7)*($D$2:$D$501&lt;AD$7)*($E$2:$E$501&gt;=$H49)*($E$2:$E$501&lt;$H48)," ")))</f>
        <v xml:space="preserve"> </v>
      </c>
      <c r="AE48" t="str" cm="1">
        <f t="array" ref="AE48">_xlfn.TEXTJOIN(",",TRUE,(_xlfn._xlws.FILTER($A$2:$A$501,($D$2:$D$501&gt;=AF$7)*($D$2:$D$501&lt;AE$7)*($E$2:$E$501&gt;=$H49)*($E$2:$E$501&lt;$H48)," ")))</f>
        <v xml:space="preserve"> </v>
      </c>
      <c r="AF48" t="str" cm="1">
        <f t="array" ref="AF48">_xlfn.TEXTJOIN(",",TRUE,(_xlfn._xlws.FILTER($A$2:$A$501,($D$2:$D$501&gt;=AG$7)*($D$2:$D$501&lt;AF$7)*($E$2:$E$501&gt;=$H49)*($E$2:$E$501&lt;$H48)," ")))</f>
        <v xml:space="preserve"> </v>
      </c>
      <c r="AG48" t="str" cm="1">
        <f t="array" ref="AG48">_xlfn.TEXTJOIN(",",TRUE,(_xlfn._xlws.FILTER($A$2:$A$501,($D$2:$D$501&gt;=AH$7)*($D$2:$D$501&lt;AG$7)*($E$2:$E$501&gt;=$H49)*($E$2:$E$501&lt;$H48)," ")))</f>
        <v xml:space="preserve"> </v>
      </c>
      <c r="AH48" t="str" cm="1">
        <f t="array" ref="AH48">_xlfn.TEXTJOIN(",",TRUE,(_xlfn._xlws.FILTER($A$2:$A$501,($D$2:$D$501&gt;=AI$7)*($D$2:$D$501&lt;AH$7)*($E$2:$E$501&gt;=$H49)*($E$2:$E$501&lt;$H48)," ")))</f>
        <v xml:space="preserve"> </v>
      </c>
      <c r="AI48" t="str" cm="1">
        <f t="array" ref="AI48">_xlfn.TEXTJOIN(",",TRUE,(_xlfn._xlws.FILTER($A$2:$A$501,($D$2:$D$501&gt;=AJ$7)*($D$2:$D$501&lt;AI$7)*($E$2:$E$501&gt;=$H49)*($E$2:$E$501&lt;$H48)," ")))</f>
        <v xml:space="preserve"> </v>
      </c>
      <c r="AJ48" t="str" cm="1">
        <f t="array" ref="AJ48">_xlfn.TEXTJOIN(",",TRUE,(_xlfn._xlws.FILTER($A$2:$A$501,($D$2:$D$501&gt;=AK$7)*($D$2:$D$501&lt;AJ$7)*($E$2:$E$501&gt;=$H49)*($E$2:$E$501&lt;$H48)," ")))</f>
        <v xml:space="preserve"> </v>
      </c>
      <c r="AK48" t="str" cm="1">
        <f t="array" ref="AK48">_xlfn.TEXTJOIN(",",TRUE,(_xlfn._xlws.FILTER($A$2:$A$501,($D$2:$D$501&gt;=AL$7)*($D$2:$D$501&lt;AK$7)*($E$2:$E$501&gt;=$H49)*($E$2:$E$501&lt;$H48)," ")))</f>
        <v xml:space="preserve"> </v>
      </c>
      <c r="AL48" t="str" cm="1">
        <f t="array" ref="AL48">_xlfn.TEXTJOIN(",",TRUE,(_xlfn._xlws.FILTER($A$2:$A$501,($D$2:$D$501&gt;=AM$7)*($D$2:$D$501&lt;AL$7)*($E$2:$E$501&gt;=$H49)*($E$2:$E$501&lt;$H48)," ")))</f>
        <v xml:space="preserve"> </v>
      </c>
      <c r="AM48" t="str" cm="1">
        <f t="array" ref="AM48">_xlfn.TEXTJOIN(",",TRUE,(_xlfn._xlws.FILTER($A$2:$A$501,($D$2:$D$501&gt;=AN$7)*($D$2:$D$501&lt;AM$7)*($E$2:$E$501&gt;=$H49)*($E$2:$E$501&lt;$H48)," ")))</f>
        <v xml:space="preserve"> </v>
      </c>
      <c r="AN48" t="str" cm="1">
        <f t="array" ref="AN48">_xlfn.TEXTJOIN(",",TRUE,(_xlfn._xlws.FILTER($A$2:$A$501,($D$2:$D$501&gt;=AO$7)*($D$2:$D$501&lt;AN$7)*($E$2:$E$501&gt;=$H49)*($E$2:$E$501&lt;$H48)," ")))</f>
        <v xml:space="preserve"> </v>
      </c>
      <c r="AO48" t="str" cm="1">
        <f t="array" ref="AO48">_xlfn.TEXTJOIN(",",TRUE,(_xlfn._xlws.FILTER($A$2:$A$501,($D$2:$D$501&gt;=AP$7)*($D$2:$D$501&lt;AO$7)*($E$2:$E$501&gt;=$H49)*($E$2:$E$501&lt;$H48)," ")))</f>
        <v xml:space="preserve"> </v>
      </c>
      <c r="AP48" t="str" cm="1">
        <f t="array" ref="AP48">_xlfn.TEXTJOIN(",",TRUE,(_xlfn._xlws.FILTER($A$2:$A$501,($D$2:$D$501&gt;=AQ$7)*($D$2:$D$501&lt;AP$7)*($E$2:$E$501&gt;=$H49)*($E$2:$E$501&lt;$H48)," ")))</f>
        <v xml:space="preserve"> </v>
      </c>
      <c r="AQ48" t="str" cm="1">
        <f t="array" ref="AQ48">_xlfn.TEXTJOIN(",",TRUE,(_xlfn._xlws.FILTER($A$2:$A$501,($D$2:$D$501&gt;=AR$7)*($D$2:$D$501&lt;AQ$7)*($E$2:$E$501&gt;=$H49)*($E$2:$E$501&lt;$H48)," ")))</f>
        <v xml:space="preserve"> </v>
      </c>
      <c r="AR48" t="str" cm="1">
        <f t="array" ref="AR48">_xlfn.TEXTJOIN(",",TRUE,(_xlfn._xlws.FILTER($A$2:$A$501,($D$2:$D$501&gt;=AS$7)*($D$2:$D$501&lt;AR$7)*($E$2:$E$501&gt;=$H49)*($E$2:$E$501&lt;$H48)," ")))</f>
        <v xml:space="preserve"> </v>
      </c>
      <c r="AS48" t="str" cm="1">
        <f t="array" ref="AS48">_xlfn.TEXTJOIN(",",TRUE,(_xlfn._xlws.FILTER($A$2:$A$501,($D$2:$D$501&gt;=AT$7)*($D$2:$D$501&lt;AS$7)*($E$2:$E$501&gt;=$H49)*($E$2:$E$501&lt;$H48)," ")))</f>
        <v xml:space="preserve"> </v>
      </c>
      <c r="AT48" t="str" cm="1">
        <f t="array" ref="AT48">_xlfn.TEXTJOIN(",",TRUE,(_xlfn._xlws.FILTER($A$2:$A$501,($D$2:$D$501&gt;=AU$7)*($D$2:$D$501&lt;AT$7)*($E$2:$E$501&gt;=$H49)*($E$2:$E$501&lt;$H48)," ")))</f>
        <v xml:space="preserve"> </v>
      </c>
      <c r="AU48" t="str" cm="1">
        <f t="array" ref="AU48">_xlfn.TEXTJOIN(",",TRUE,(_xlfn._xlws.FILTER($A$2:$A$501,($D$2:$D$501&gt;=AV$7)*($D$2:$D$501&lt;AU$7)*($E$2:$E$501&gt;=$H49)*($E$2:$E$501&lt;$H48)," ")))</f>
        <v xml:space="preserve"> </v>
      </c>
      <c r="AV48" t="str" cm="1">
        <f t="array" ref="AV48">_xlfn.TEXTJOIN(",",TRUE,(_xlfn._xlws.FILTER($A$2:$A$501,($D$2:$D$501&gt;=AW$7)*($D$2:$D$501&lt;AV$7)*($E$2:$E$501&gt;=$H49)*($E$2:$E$501&lt;$H48)," ")))</f>
        <v xml:space="preserve"> </v>
      </c>
      <c r="AW48" t="str" cm="1">
        <f t="array" ref="AW48">_xlfn.TEXTJOIN(",",TRUE,(_xlfn._xlws.FILTER($A$2:$A$501,($D$2:$D$501&gt;=AX$7)*($D$2:$D$501&lt;AW$7)*($E$2:$E$501&gt;=$H49)*($E$2:$E$501&lt;$H48)," ")))</f>
        <v xml:space="preserve"> </v>
      </c>
      <c r="AX48" t="str" cm="1">
        <f t="array" ref="AX48">_xlfn.TEXTJOIN(",",TRUE,(_xlfn._xlws.FILTER($A$2:$A$501,($D$2:$D$501&gt;=AY$7)*($D$2:$D$501&lt;AX$7)*($E$2:$E$501&gt;=$H49)*($E$2:$E$501&lt;$H48)," ")))</f>
        <v xml:space="preserve"> </v>
      </c>
      <c r="AY48" t="str" cm="1">
        <f t="array" ref="AY48">_xlfn.TEXTJOIN(",",TRUE,(_xlfn._xlws.FILTER($A$2:$A$501,($D$2:$D$501&gt;=AZ$7)*($D$2:$D$501&lt;AY$7)*($E$2:$E$501&gt;=$H49)*($E$2:$E$501&lt;$H48)," ")))</f>
        <v xml:space="preserve"> </v>
      </c>
      <c r="AZ48" t="str" cm="1">
        <f t="array" ref="AZ48">_xlfn.TEXTJOIN(",",TRUE,(_xlfn._xlws.FILTER($A$2:$A$501,($D$2:$D$501&gt;=BA$7)*($D$2:$D$501&lt;AZ$7)*($E$2:$E$501&gt;=$H49)*($E$2:$E$501&lt;$H48)," ")))</f>
        <v xml:space="preserve"> </v>
      </c>
      <c r="BA48" t="str" cm="1">
        <f t="array" ref="BA48">_xlfn.TEXTJOIN(",",TRUE,(_xlfn._xlws.FILTER($A$2:$A$501,($D$2:$D$501&gt;=BB$7)*($D$2:$D$501&lt;BA$7)*($E$2:$E$501&gt;=$H49)*($E$2:$E$501&lt;$H48)," ")))</f>
        <v xml:space="preserve"> </v>
      </c>
      <c r="BB48" t="str" cm="1">
        <f t="array" ref="BB48">_xlfn.TEXTJOIN(",",TRUE,(_xlfn._xlws.FILTER($A$2:$A$501,($D$2:$D$501&gt;=BC$7)*($D$2:$D$501&lt;BB$7)*($E$2:$E$501&gt;=$H49)*($E$2:$E$501&lt;$H48)," ")))</f>
        <v xml:space="preserve"> </v>
      </c>
    </row>
    <row r="49" spans="1:54" x14ac:dyDescent="0.2">
      <c r="A49" s="3" t="s">
        <v>176</v>
      </c>
      <c r="B49" s="3" t="s">
        <v>177</v>
      </c>
      <c r="C49" s="13">
        <v>879319.44</v>
      </c>
      <c r="D49" s="15">
        <v>16335237.42</v>
      </c>
      <c r="E49" s="22">
        <f>TuitionRates3[[#This Row],[Tuition]]/D49</f>
        <v>5.3829608801608711E-2</v>
      </c>
      <c r="F49"/>
      <c r="H49" s="18">
        <v>0.109</v>
      </c>
      <c r="I49" t="str" cm="1">
        <f t="array" ref="I49">_xlfn.TEXTJOIN(",",TRUE,(_xlfn._xlws.FILTER($A$2:$A$501,($D$2:$D$501&gt;=J$7)*($D$2:$D$501&lt;I$7)*($E$2:$E$501&gt;=$H50)*($E$2:$E$501&lt;$H49)," ")))</f>
        <v xml:space="preserve"> </v>
      </c>
      <c r="J49" t="str" cm="1">
        <f t="array" ref="J49">_xlfn.TEXTJOIN(",",TRUE,(_xlfn._xlws.FILTER($A$2:$A$501,($D$2:$D$501&gt;=K$7)*($D$2:$D$501&lt;J$7)*($E$2:$E$501&gt;=$H50)*($E$2:$E$501&lt;$H49)," ")))</f>
        <v xml:space="preserve"> </v>
      </c>
      <c r="K49" t="str" cm="1">
        <f t="array" ref="K49">_xlfn.TEXTJOIN(",",TRUE,(_xlfn._xlws.FILTER($A$2:$A$501,($D$2:$D$501&gt;=L$7)*($D$2:$D$501&lt;K$7)*($E$2:$E$501&gt;=$H50)*($E$2:$E$501&lt;$H49)," ")))</f>
        <v xml:space="preserve"> </v>
      </c>
      <c r="L49" t="str" cm="1">
        <f t="array" ref="L49">_xlfn.TEXTJOIN(",",TRUE,(_xlfn._xlws.FILTER($A$2:$A$501,($D$2:$D$501&gt;=M$7)*($D$2:$D$501&lt;L$7)*($E$2:$E$501&gt;=$H50)*($E$2:$E$501&lt;$H49)," ")))</f>
        <v xml:space="preserve"> </v>
      </c>
      <c r="M49" t="str" cm="1">
        <f t="array" ref="M49">_xlfn.TEXTJOIN(",",TRUE,(_xlfn._xlws.FILTER($A$2:$A$501,($D$2:$D$501&gt;=N$7)*($D$2:$D$501&lt;M$7)*($E$2:$E$501&gt;=$H50)*($E$2:$E$501&lt;$H49)," ")))</f>
        <v xml:space="preserve"> </v>
      </c>
      <c r="N49" t="str" cm="1">
        <f t="array" ref="N49">_xlfn.TEXTJOIN(",",TRUE,(_xlfn._xlws.FILTER($A$2:$A$501,($D$2:$D$501&gt;=O$7)*($D$2:$D$501&lt;N$7)*($E$2:$E$501&gt;=$H50)*($E$2:$E$501&lt;$H49)," ")))</f>
        <v xml:space="preserve"> </v>
      </c>
      <c r="O49" t="str" cm="1">
        <f t="array" ref="O49">_xlfn.TEXTJOIN(",",TRUE,(_xlfn._xlws.FILTER($A$2:$A$501,($D$2:$D$501&gt;=P$7)*($D$2:$D$501&lt;O$7)*($E$2:$E$501&gt;=$H50)*($E$2:$E$501&lt;$H49)," ")))</f>
        <v xml:space="preserve"> </v>
      </c>
      <c r="P49" t="str" cm="1">
        <f t="array" ref="P49">_xlfn.TEXTJOIN(",",TRUE,(_xlfn._xlws.FILTER($A$2:$A$501,($D$2:$D$501&gt;=Q$7)*($D$2:$D$501&lt;P$7)*($E$2:$E$501&gt;=$H50)*($E$2:$E$501&lt;$H49)," ")))</f>
        <v xml:space="preserve"> </v>
      </c>
      <c r="Q49" t="str" cm="1">
        <f t="array" ref="Q49">_xlfn.TEXTJOIN(",",TRUE,(_xlfn._xlws.FILTER($A$2:$A$501,($D$2:$D$501&gt;=R$7)*($D$2:$D$501&lt;Q$7)*($E$2:$E$501&gt;=$H50)*($E$2:$E$501&lt;$H49)," ")))</f>
        <v xml:space="preserve"> </v>
      </c>
      <c r="R49" t="str" cm="1">
        <f t="array" ref="R49">_xlfn.TEXTJOIN(",",TRUE,(_xlfn._xlws.FILTER($A$2:$A$501,($D$2:$D$501&gt;=S$7)*($D$2:$D$501&lt;R$7)*($E$2:$E$501&gt;=$H50)*($E$2:$E$501&lt;$H49)," ")))</f>
        <v xml:space="preserve"> </v>
      </c>
      <c r="S49" t="str" cm="1">
        <f t="array" ref="S49">_xlfn.TEXTJOIN(",",TRUE,(_xlfn._xlws.FILTER($A$2:$A$501,($D$2:$D$501&gt;=T$7)*($D$2:$D$501&lt;S$7)*($E$2:$E$501&gt;=$H50)*($E$2:$E$501&lt;$H49)," ")))</f>
        <v xml:space="preserve"> </v>
      </c>
      <c r="T49" t="str" cm="1">
        <f t="array" ref="T49">_xlfn.TEXTJOIN(",",TRUE,(_xlfn._xlws.FILTER($A$2:$A$501,($D$2:$D$501&gt;=U$7)*($D$2:$D$501&lt;T$7)*($E$2:$E$501&gt;=$H50)*($E$2:$E$501&lt;$H49)," ")))</f>
        <v xml:space="preserve"> </v>
      </c>
      <c r="U49" t="str" cm="1">
        <f t="array" ref="U49">_xlfn.TEXTJOIN(",",TRUE,(_xlfn._xlws.FILTER($A$2:$A$501,($D$2:$D$501&gt;=V$7)*($D$2:$D$501&lt;U$7)*($E$2:$E$501&gt;=$H50)*($E$2:$E$501&lt;$H49)," ")))</f>
        <v xml:space="preserve"> </v>
      </c>
      <c r="V49" t="str" cm="1">
        <f t="array" ref="V49">_xlfn.TEXTJOIN(",",TRUE,(_xlfn._xlws.FILTER($A$2:$A$501,($D$2:$D$501&gt;=W$7)*($D$2:$D$501&lt;V$7)*($E$2:$E$501&gt;=$H50)*($E$2:$E$501&lt;$H49)," ")))</f>
        <v xml:space="preserve"> </v>
      </c>
      <c r="W49" t="str" cm="1">
        <f t="array" ref="W49">_xlfn.TEXTJOIN(",",TRUE,(_xlfn._xlws.FILTER($A$2:$A$501,($D$2:$D$501&gt;=X$7)*($D$2:$D$501&lt;W$7)*($E$2:$E$501&gt;=$H50)*($E$2:$E$501&lt;$H49)," ")))</f>
        <v xml:space="preserve"> </v>
      </c>
      <c r="X49" t="str" cm="1">
        <f t="array" ref="X49">_xlfn.TEXTJOIN(",",TRUE,(_xlfn._xlws.FILTER($A$2:$A$501,($D$2:$D$501&gt;=Y$7)*($D$2:$D$501&lt;X$7)*($E$2:$E$501&gt;=$H50)*($E$2:$E$501&lt;$H49)," ")))</f>
        <v xml:space="preserve"> </v>
      </c>
      <c r="Y49" t="str" cm="1">
        <f t="array" ref="Y49">_xlfn.TEXTJOIN(",",TRUE,(_xlfn._xlws.FILTER($A$2:$A$501,($D$2:$D$501&gt;=Z$7)*($D$2:$D$501&lt;Y$7)*($E$2:$E$501&gt;=$H50)*($E$2:$E$501&lt;$H49)," ")))</f>
        <v xml:space="preserve"> </v>
      </c>
      <c r="Z49" t="str" cm="1">
        <f t="array" ref="Z49">_xlfn.TEXTJOIN(",",TRUE,(_xlfn._xlws.FILTER($A$2:$A$501,($D$2:$D$501&gt;=AA$7)*($D$2:$D$501&lt;Z$7)*($E$2:$E$501&gt;=$H50)*($E$2:$E$501&lt;$H49)," ")))</f>
        <v xml:space="preserve"> </v>
      </c>
      <c r="AA49" t="str" cm="1">
        <f t="array" ref="AA49">_xlfn.TEXTJOIN(",",TRUE,(_xlfn._xlws.FILTER($A$2:$A$501,($D$2:$D$501&gt;=AB$7)*($D$2:$D$501&lt;AA$7)*($E$2:$E$501&gt;=$H50)*($E$2:$E$501&lt;$H49)," ")))</f>
        <v xml:space="preserve"> </v>
      </c>
      <c r="AB49" t="str" cm="1">
        <f t="array" ref="AB49">_xlfn.TEXTJOIN(",",TRUE,(_xlfn._xlws.FILTER($A$2:$A$501,($D$2:$D$501&gt;=AC$7)*($D$2:$D$501&lt;AB$7)*($E$2:$E$501&gt;=$H50)*($E$2:$E$501&lt;$H49)," ")))</f>
        <v xml:space="preserve"> </v>
      </c>
      <c r="AC49" t="str" cm="1">
        <f t="array" ref="AC49">_xlfn.TEXTJOIN(",",TRUE,(_xlfn._xlws.FILTER($A$2:$A$501,($D$2:$D$501&gt;=AD$7)*($D$2:$D$501&lt;AC$7)*($E$2:$E$501&gt;=$H50)*($E$2:$E$501&lt;$H49)," ")))</f>
        <v xml:space="preserve"> </v>
      </c>
      <c r="AD49" t="str" cm="1">
        <f t="array" ref="AD49">_xlfn.TEXTJOIN(",",TRUE,(_xlfn._xlws.FILTER($A$2:$A$501,($D$2:$D$501&gt;=AE$7)*($D$2:$D$501&lt;AD$7)*($E$2:$E$501&gt;=$H50)*($E$2:$E$501&lt;$H49)," ")))</f>
        <v xml:space="preserve"> </v>
      </c>
      <c r="AE49" t="str" cm="1">
        <f t="array" ref="AE49">_xlfn.TEXTJOIN(",",TRUE,(_xlfn._xlws.FILTER($A$2:$A$501,($D$2:$D$501&gt;=AF$7)*($D$2:$D$501&lt;AE$7)*($E$2:$E$501&gt;=$H50)*($E$2:$E$501&lt;$H49)," ")))</f>
        <v xml:space="preserve"> </v>
      </c>
      <c r="AF49" t="str" cm="1">
        <f t="array" ref="AF49">_xlfn.TEXTJOIN(",",TRUE,(_xlfn._xlws.FILTER($A$2:$A$501,($D$2:$D$501&gt;=AG$7)*($D$2:$D$501&lt;AF$7)*($E$2:$E$501&gt;=$H50)*($E$2:$E$501&lt;$H49)," ")))</f>
        <v xml:space="preserve"> </v>
      </c>
      <c r="AG49" t="str" cm="1">
        <f t="array" ref="AG49">_xlfn.TEXTJOIN(",",TRUE,(_xlfn._xlws.FILTER($A$2:$A$501,($D$2:$D$501&gt;=AH$7)*($D$2:$D$501&lt;AG$7)*($E$2:$E$501&gt;=$H50)*($E$2:$E$501&lt;$H49)," ")))</f>
        <v xml:space="preserve"> </v>
      </c>
      <c r="AH49" t="str" cm="1">
        <f t="array" ref="AH49">_xlfn.TEXTJOIN(",",TRUE,(_xlfn._xlws.FILTER($A$2:$A$501,($D$2:$D$501&gt;=AI$7)*($D$2:$D$501&lt;AH$7)*($E$2:$E$501&gt;=$H50)*($E$2:$E$501&lt;$H49)," ")))</f>
        <v xml:space="preserve"> </v>
      </c>
      <c r="AI49" t="str" cm="1">
        <f t="array" ref="AI49">_xlfn.TEXTJOIN(",",TRUE,(_xlfn._xlws.FILTER($A$2:$A$501,($D$2:$D$501&gt;=AJ$7)*($D$2:$D$501&lt;AI$7)*($E$2:$E$501&gt;=$H50)*($E$2:$E$501&lt;$H49)," ")))</f>
        <v xml:space="preserve"> </v>
      </c>
      <c r="AJ49" t="str" cm="1">
        <f t="array" ref="AJ49">_xlfn.TEXTJOIN(",",TRUE,(_xlfn._xlws.FILTER($A$2:$A$501,($D$2:$D$501&gt;=AK$7)*($D$2:$D$501&lt;AJ$7)*($E$2:$E$501&gt;=$H50)*($E$2:$E$501&lt;$H49)," ")))</f>
        <v xml:space="preserve"> </v>
      </c>
      <c r="AK49" t="str" cm="1">
        <f t="array" ref="AK49">_xlfn.TEXTJOIN(",",TRUE,(_xlfn._xlws.FILTER($A$2:$A$501,($D$2:$D$501&gt;=AL$7)*($D$2:$D$501&lt;AK$7)*($E$2:$E$501&gt;=$H50)*($E$2:$E$501&lt;$H49)," ")))</f>
        <v xml:space="preserve"> </v>
      </c>
      <c r="AL49" t="str" cm="1">
        <f t="array" ref="AL49">_xlfn.TEXTJOIN(",",TRUE,(_xlfn._xlws.FILTER($A$2:$A$501,($D$2:$D$501&gt;=AM$7)*($D$2:$D$501&lt;AL$7)*($E$2:$E$501&gt;=$H50)*($E$2:$E$501&lt;$H49)," ")))</f>
        <v xml:space="preserve"> </v>
      </c>
      <c r="AM49" t="str" cm="1">
        <f t="array" ref="AM49">_xlfn.TEXTJOIN(",",TRUE,(_xlfn._xlws.FILTER($A$2:$A$501,($D$2:$D$501&gt;=AN$7)*($D$2:$D$501&lt;AM$7)*($E$2:$E$501&gt;=$H50)*($E$2:$E$501&lt;$H49)," ")))</f>
        <v xml:space="preserve"> </v>
      </c>
      <c r="AN49" t="str" cm="1">
        <f t="array" ref="AN49">_xlfn.TEXTJOIN(",",TRUE,(_xlfn._xlws.FILTER($A$2:$A$501,($D$2:$D$501&gt;=AO$7)*($D$2:$D$501&lt;AN$7)*($E$2:$E$501&gt;=$H50)*($E$2:$E$501&lt;$H49)," ")))</f>
        <v xml:space="preserve"> </v>
      </c>
      <c r="AO49" t="str" cm="1">
        <f t="array" ref="AO49">_xlfn.TEXTJOIN(",",TRUE,(_xlfn._xlws.FILTER($A$2:$A$501,($D$2:$D$501&gt;=AP$7)*($D$2:$D$501&lt;AO$7)*($E$2:$E$501&gt;=$H50)*($E$2:$E$501&lt;$H49)," ")))</f>
        <v xml:space="preserve"> </v>
      </c>
      <c r="AP49" t="str" cm="1">
        <f t="array" ref="AP49">_xlfn.TEXTJOIN(",",TRUE,(_xlfn._xlws.FILTER($A$2:$A$501,($D$2:$D$501&gt;=AQ$7)*($D$2:$D$501&lt;AP$7)*($E$2:$E$501&gt;=$H50)*($E$2:$E$501&lt;$H49)," ")))</f>
        <v xml:space="preserve"> </v>
      </c>
      <c r="AQ49" t="str" cm="1">
        <f t="array" ref="AQ49">_xlfn.TEXTJOIN(",",TRUE,(_xlfn._xlws.FILTER($A$2:$A$501,($D$2:$D$501&gt;=AR$7)*($D$2:$D$501&lt;AQ$7)*($E$2:$E$501&gt;=$H50)*($E$2:$E$501&lt;$H49)," ")))</f>
        <v xml:space="preserve"> </v>
      </c>
      <c r="AR49" t="str" cm="1">
        <f t="array" ref="AR49">_xlfn.TEXTJOIN(",",TRUE,(_xlfn._xlws.FILTER($A$2:$A$501,($D$2:$D$501&gt;=AS$7)*($D$2:$D$501&lt;AR$7)*($E$2:$E$501&gt;=$H50)*($E$2:$E$501&lt;$H49)," ")))</f>
        <v xml:space="preserve"> </v>
      </c>
      <c r="AS49" t="str" cm="1">
        <f t="array" ref="AS49">_xlfn.TEXTJOIN(",",TRUE,(_xlfn._xlws.FILTER($A$2:$A$501,($D$2:$D$501&gt;=AT$7)*($D$2:$D$501&lt;AS$7)*($E$2:$E$501&gt;=$H50)*($E$2:$E$501&lt;$H49)," ")))</f>
        <v xml:space="preserve"> </v>
      </c>
      <c r="AT49" t="str" cm="1">
        <f t="array" ref="AT49">_xlfn.TEXTJOIN(",",TRUE,(_xlfn._xlws.FILTER($A$2:$A$501,($D$2:$D$501&gt;=AU$7)*($D$2:$D$501&lt;AT$7)*($E$2:$E$501&gt;=$H50)*($E$2:$E$501&lt;$H49)," ")))</f>
        <v xml:space="preserve"> </v>
      </c>
      <c r="AU49" t="str" cm="1">
        <f t="array" ref="AU49">_xlfn.TEXTJOIN(",",TRUE,(_xlfn._xlws.FILTER($A$2:$A$501,($D$2:$D$501&gt;=AV$7)*($D$2:$D$501&lt;AU$7)*($E$2:$E$501&gt;=$H50)*($E$2:$E$501&lt;$H49)," ")))</f>
        <v xml:space="preserve"> </v>
      </c>
      <c r="AV49" t="str" cm="1">
        <f t="array" ref="AV49">_xlfn.TEXTJOIN(",",TRUE,(_xlfn._xlws.FILTER($A$2:$A$501,($D$2:$D$501&gt;=AW$7)*($D$2:$D$501&lt;AV$7)*($E$2:$E$501&gt;=$H50)*($E$2:$E$501&lt;$H49)," ")))</f>
        <v xml:space="preserve"> </v>
      </c>
      <c r="AW49" t="str" cm="1">
        <f t="array" ref="AW49">_xlfn.TEXTJOIN(",",TRUE,(_xlfn._xlws.FILTER($A$2:$A$501,($D$2:$D$501&gt;=AX$7)*($D$2:$D$501&lt;AW$7)*($E$2:$E$501&gt;=$H50)*($E$2:$E$501&lt;$H49)," ")))</f>
        <v xml:space="preserve"> </v>
      </c>
      <c r="AX49" t="str" cm="1">
        <f t="array" ref="AX49">_xlfn.TEXTJOIN(",",TRUE,(_xlfn._xlws.FILTER($A$2:$A$501,($D$2:$D$501&gt;=AY$7)*($D$2:$D$501&lt;AX$7)*($E$2:$E$501&gt;=$H50)*($E$2:$E$501&lt;$H49)," ")))</f>
        <v xml:space="preserve"> </v>
      </c>
      <c r="AY49" t="str" cm="1">
        <f t="array" ref="AY49">_xlfn.TEXTJOIN(",",TRUE,(_xlfn._xlws.FILTER($A$2:$A$501,($D$2:$D$501&gt;=AZ$7)*($D$2:$D$501&lt;AY$7)*($E$2:$E$501&gt;=$H50)*($E$2:$E$501&lt;$H49)," ")))</f>
        <v xml:space="preserve"> </v>
      </c>
      <c r="AZ49" t="str" cm="1">
        <f t="array" ref="AZ49">_xlfn.TEXTJOIN(",",TRUE,(_xlfn._xlws.FILTER($A$2:$A$501,($D$2:$D$501&gt;=BA$7)*($D$2:$D$501&lt;AZ$7)*($E$2:$E$501&gt;=$H50)*($E$2:$E$501&lt;$H49)," ")))</f>
        <v xml:space="preserve"> </v>
      </c>
      <c r="BA49" t="str" cm="1">
        <f t="array" ref="BA49">_xlfn.TEXTJOIN(",",TRUE,(_xlfn._xlws.FILTER($A$2:$A$501,($D$2:$D$501&gt;=BB$7)*($D$2:$D$501&lt;BA$7)*($E$2:$E$501&gt;=$H50)*($E$2:$E$501&lt;$H49)," ")))</f>
        <v xml:space="preserve"> </v>
      </c>
      <c r="BB49" t="str" cm="1">
        <f t="array" ref="BB49">_xlfn.TEXTJOIN(",",TRUE,(_xlfn._xlws.FILTER($A$2:$A$501,($D$2:$D$501&gt;=BC$7)*($D$2:$D$501&lt;BB$7)*($E$2:$E$501&gt;=$H50)*($E$2:$E$501&lt;$H49)," ")))</f>
        <v xml:space="preserve"> </v>
      </c>
    </row>
    <row r="50" spans="1:54" x14ac:dyDescent="0.2">
      <c r="A50" s="3" t="s">
        <v>224</v>
      </c>
      <c r="B50" s="3" t="s">
        <v>216</v>
      </c>
      <c r="C50" s="13">
        <v>3245876.17</v>
      </c>
      <c r="D50" s="15">
        <v>60696254.359999999</v>
      </c>
      <c r="E50" s="22">
        <f>TuitionRates3[[#This Row],[Tuition]]/D50</f>
        <v>5.3477371943714123E-2</v>
      </c>
      <c r="F50"/>
      <c r="H50" s="18">
        <v>0.108</v>
      </c>
      <c r="I50" t="str" cm="1">
        <f t="array" ref="I50">_xlfn.TEXTJOIN(",",TRUE,(_xlfn._xlws.FILTER($A$2:$A$501,($D$2:$D$501&gt;=J$7)*($D$2:$D$501&lt;I$7)*($E$2:$E$501&gt;=$H51)*($E$2:$E$501&lt;$H50)," ")))</f>
        <v xml:space="preserve"> </v>
      </c>
      <c r="J50" t="str" cm="1">
        <f t="array" ref="J50">_xlfn.TEXTJOIN(",",TRUE,(_xlfn._xlws.FILTER($A$2:$A$501,($D$2:$D$501&gt;=K$7)*($D$2:$D$501&lt;J$7)*($E$2:$E$501&gt;=$H51)*($E$2:$E$501&lt;$H50)," ")))</f>
        <v xml:space="preserve"> </v>
      </c>
      <c r="K50" t="str" cm="1">
        <f t="array" ref="K50">_xlfn.TEXTJOIN(",",TRUE,(_xlfn._xlws.FILTER($A$2:$A$501,($D$2:$D$501&gt;=L$7)*($D$2:$D$501&lt;K$7)*($E$2:$E$501&gt;=$H51)*($E$2:$E$501&lt;$H50)," ")))</f>
        <v xml:space="preserve"> </v>
      </c>
      <c r="L50" t="str" cm="1">
        <f t="array" ref="L50">_xlfn.TEXTJOIN(",",TRUE,(_xlfn._xlws.FILTER($A$2:$A$501,($D$2:$D$501&gt;=M$7)*($D$2:$D$501&lt;L$7)*($E$2:$E$501&gt;=$H51)*($E$2:$E$501&lt;$H50)," ")))</f>
        <v xml:space="preserve"> </v>
      </c>
      <c r="M50" t="str" cm="1">
        <f t="array" ref="M50">_xlfn.TEXTJOIN(",",TRUE,(_xlfn._xlws.FILTER($A$2:$A$501,($D$2:$D$501&gt;=N$7)*($D$2:$D$501&lt;M$7)*($E$2:$E$501&gt;=$H51)*($E$2:$E$501&lt;$H50)," ")))</f>
        <v xml:space="preserve"> </v>
      </c>
      <c r="N50" t="str" cm="1">
        <f t="array" ref="N50">_xlfn.TEXTJOIN(",",TRUE,(_xlfn._xlws.FILTER($A$2:$A$501,($D$2:$D$501&gt;=O$7)*($D$2:$D$501&lt;N$7)*($E$2:$E$501&gt;=$H51)*($E$2:$E$501&lt;$H50)," ")))</f>
        <v xml:space="preserve"> </v>
      </c>
      <c r="O50" t="str" cm="1">
        <f t="array" ref="O50">_xlfn.TEXTJOIN(",",TRUE,(_xlfn._xlws.FILTER($A$2:$A$501,($D$2:$D$501&gt;=P$7)*($D$2:$D$501&lt;O$7)*($E$2:$E$501&gt;=$H51)*($E$2:$E$501&lt;$H50)," ")))</f>
        <v xml:space="preserve"> </v>
      </c>
      <c r="P50" t="str" cm="1">
        <f t="array" ref="P50">_xlfn.TEXTJOIN(",",TRUE,(_xlfn._xlws.FILTER($A$2:$A$501,($D$2:$D$501&gt;=Q$7)*($D$2:$D$501&lt;P$7)*($E$2:$E$501&gt;=$H51)*($E$2:$E$501&lt;$H50)," ")))</f>
        <v xml:space="preserve"> </v>
      </c>
      <c r="Q50" t="str" cm="1">
        <f t="array" ref="Q50">_xlfn.TEXTJOIN(",",TRUE,(_xlfn._xlws.FILTER($A$2:$A$501,($D$2:$D$501&gt;=R$7)*($D$2:$D$501&lt;Q$7)*($E$2:$E$501&gt;=$H51)*($E$2:$E$501&lt;$H50)," ")))</f>
        <v xml:space="preserve"> </v>
      </c>
      <c r="R50" t="str" cm="1">
        <f t="array" ref="R50">_xlfn.TEXTJOIN(",",TRUE,(_xlfn._xlws.FILTER($A$2:$A$501,($D$2:$D$501&gt;=S$7)*($D$2:$D$501&lt;R$7)*($E$2:$E$501&gt;=$H51)*($E$2:$E$501&lt;$H50)," ")))</f>
        <v xml:space="preserve"> </v>
      </c>
      <c r="S50" t="str" cm="1">
        <f t="array" ref="S50">_xlfn.TEXTJOIN(",",TRUE,(_xlfn._xlws.FILTER($A$2:$A$501,($D$2:$D$501&gt;=T$7)*($D$2:$D$501&lt;S$7)*($E$2:$E$501&gt;=$H51)*($E$2:$E$501&lt;$H50)," ")))</f>
        <v xml:space="preserve"> </v>
      </c>
      <c r="T50" t="str" cm="1">
        <f t="array" ref="T50">_xlfn.TEXTJOIN(",",TRUE,(_xlfn._xlws.FILTER($A$2:$A$501,($D$2:$D$501&gt;=U$7)*($D$2:$D$501&lt;T$7)*($E$2:$E$501&gt;=$H51)*($E$2:$E$501&lt;$H50)," ")))</f>
        <v xml:space="preserve"> </v>
      </c>
      <c r="U50" t="str" cm="1">
        <f t="array" ref="U50">_xlfn.TEXTJOIN(",",TRUE,(_xlfn._xlws.FILTER($A$2:$A$501,($D$2:$D$501&gt;=V$7)*($D$2:$D$501&lt;U$7)*($E$2:$E$501&gt;=$H51)*($E$2:$E$501&lt;$H50)," ")))</f>
        <v xml:space="preserve"> </v>
      </c>
      <c r="V50" t="str" cm="1">
        <f t="array" ref="V50">_xlfn.TEXTJOIN(",",TRUE,(_xlfn._xlws.FILTER($A$2:$A$501,($D$2:$D$501&gt;=W$7)*($D$2:$D$501&lt;V$7)*($E$2:$E$501&gt;=$H51)*($E$2:$E$501&lt;$H50)," ")))</f>
        <v xml:space="preserve"> </v>
      </c>
      <c r="W50" t="str" cm="1">
        <f t="array" ref="W50">_xlfn.TEXTJOIN(",",TRUE,(_xlfn._xlws.FILTER($A$2:$A$501,($D$2:$D$501&gt;=X$7)*($D$2:$D$501&lt;W$7)*($E$2:$E$501&gt;=$H51)*($E$2:$E$501&lt;$H50)," ")))</f>
        <v xml:space="preserve"> </v>
      </c>
      <c r="X50" t="str" cm="1">
        <f t="array" ref="X50">_xlfn.TEXTJOIN(",",TRUE,(_xlfn._xlws.FILTER($A$2:$A$501,($D$2:$D$501&gt;=Y$7)*($D$2:$D$501&lt;X$7)*($E$2:$E$501&gt;=$H51)*($E$2:$E$501&lt;$H50)," ")))</f>
        <v xml:space="preserve"> </v>
      </c>
      <c r="Y50" t="str" cm="1">
        <f t="array" ref="Y50">_xlfn.TEXTJOIN(",",TRUE,(_xlfn._xlws.FILTER($A$2:$A$501,($D$2:$D$501&gt;=Z$7)*($D$2:$D$501&lt;Y$7)*($E$2:$E$501&gt;=$H51)*($E$2:$E$501&lt;$H50)," ")))</f>
        <v xml:space="preserve"> </v>
      </c>
      <c r="Z50" t="str" cm="1">
        <f t="array" ref="Z50">_xlfn.TEXTJOIN(",",TRUE,(_xlfn._xlws.FILTER($A$2:$A$501,($D$2:$D$501&gt;=AA$7)*($D$2:$D$501&lt;Z$7)*($E$2:$E$501&gt;=$H51)*($E$2:$E$501&lt;$H50)," ")))</f>
        <v xml:space="preserve"> </v>
      </c>
      <c r="AA50" t="str" cm="1">
        <f t="array" ref="AA50">_xlfn.TEXTJOIN(",",TRUE,(_xlfn._xlws.FILTER($A$2:$A$501,($D$2:$D$501&gt;=AB$7)*($D$2:$D$501&lt;AA$7)*($E$2:$E$501&gt;=$H51)*($E$2:$E$501&lt;$H50)," ")))</f>
        <v xml:space="preserve"> </v>
      </c>
      <c r="AB50" t="str" cm="1">
        <f t="array" ref="AB50">_xlfn.TEXTJOIN(",",TRUE,(_xlfn._xlws.FILTER($A$2:$A$501,($D$2:$D$501&gt;=AC$7)*($D$2:$D$501&lt;AB$7)*($E$2:$E$501&gt;=$H51)*($E$2:$E$501&lt;$H50)," ")))</f>
        <v xml:space="preserve"> </v>
      </c>
      <c r="AC50" t="str" cm="1">
        <f t="array" ref="AC50">_xlfn.TEXTJOIN(",",TRUE,(_xlfn._xlws.FILTER($A$2:$A$501,($D$2:$D$501&gt;=AD$7)*($D$2:$D$501&lt;AC$7)*($E$2:$E$501&gt;=$H51)*($E$2:$E$501&lt;$H50)," ")))</f>
        <v xml:space="preserve"> </v>
      </c>
      <c r="AD50" t="str" cm="1">
        <f t="array" ref="AD50">_xlfn.TEXTJOIN(",",TRUE,(_xlfn._xlws.FILTER($A$2:$A$501,($D$2:$D$501&gt;=AE$7)*($D$2:$D$501&lt;AD$7)*($E$2:$E$501&gt;=$H51)*($E$2:$E$501&lt;$H50)," ")))</f>
        <v xml:space="preserve"> </v>
      </c>
      <c r="AE50" t="str" cm="1">
        <f t="array" ref="AE50">_xlfn.TEXTJOIN(",",TRUE,(_xlfn._xlws.FILTER($A$2:$A$501,($D$2:$D$501&gt;=AF$7)*($D$2:$D$501&lt;AE$7)*($E$2:$E$501&gt;=$H51)*($E$2:$E$501&lt;$H50)," ")))</f>
        <v xml:space="preserve"> </v>
      </c>
      <c r="AF50" t="str" cm="1">
        <f t="array" ref="AF50">_xlfn.TEXTJOIN(",",TRUE,(_xlfn._xlws.FILTER($A$2:$A$501,($D$2:$D$501&gt;=AG$7)*($D$2:$D$501&lt;AF$7)*($E$2:$E$501&gt;=$H51)*($E$2:$E$501&lt;$H50)," ")))</f>
        <v xml:space="preserve"> </v>
      </c>
      <c r="AG50" t="str" cm="1">
        <f t="array" ref="AG50">_xlfn.TEXTJOIN(",",TRUE,(_xlfn._xlws.FILTER($A$2:$A$501,($D$2:$D$501&gt;=AH$7)*($D$2:$D$501&lt;AG$7)*($E$2:$E$501&gt;=$H51)*($E$2:$E$501&lt;$H50)," ")))</f>
        <v xml:space="preserve"> </v>
      </c>
      <c r="AH50" t="str" cm="1">
        <f t="array" ref="AH50">_xlfn.TEXTJOIN(",",TRUE,(_xlfn._xlws.FILTER($A$2:$A$501,($D$2:$D$501&gt;=AI$7)*($D$2:$D$501&lt;AH$7)*($E$2:$E$501&gt;=$H51)*($E$2:$E$501&lt;$H50)," ")))</f>
        <v xml:space="preserve"> </v>
      </c>
      <c r="AI50" t="str" cm="1">
        <f t="array" ref="AI50">_xlfn.TEXTJOIN(",",TRUE,(_xlfn._xlws.FILTER($A$2:$A$501,($D$2:$D$501&gt;=AJ$7)*($D$2:$D$501&lt;AI$7)*($E$2:$E$501&gt;=$H51)*($E$2:$E$501&lt;$H50)," ")))</f>
        <v xml:space="preserve"> </v>
      </c>
      <c r="AJ50" t="str" cm="1">
        <f t="array" ref="AJ50">_xlfn.TEXTJOIN(",",TRUE,(_xlfn._xlws.FILTER($A$2:$A$501,($D$2:$D$501&gt;=AK$7)*($D$2:$D$501&lt;AJ$7)*($E$2:$E$501&gt;=$H51)*($E$2:$E$501&lt;$H50)," ")))</f>
        <v xml:space="preserve"> </v>
      </c>
      <c r="AK50" t="str" cm="1">
        <f t="array" ref="AK50">_xlfn.TEXTJOIN(",",TRUE,(_xlfn._xlws.FILTER($A$2:$A$501,($D$2:$D$501&gt;=AL$7)*($D$2:$D$501&lt;AK$7)*($E$2:$E$501&gt;=$H51)*($E$2:$E$501&lt;$H50)," ")))</f>
        <v xml:space="preserve"> </v>
      </c>
      <c r="AL50" t="str" cm="1">
        <f t="array" ref="AL50">_xlfn.TEXTJOIN(",",TRUE,(_xlfn._xlws.FILTER($A$2:$A$501,($D$2:$D$501&gt;=AM$7)*($D$2:$D$501&lt;AL$7)*($E$2:$E$501&gt;=$H51)*($E$2:$E$501&lt;$H50)," ")))</f>
        <v xml:space="preserve"> </v>
      </c>
      <c r="AM50" t="str" cm="1">
        <f t="array" ref="AM50">_xlfn.TEXTJOIN(",",TRUE,(_xlfn._xlws.FILTER($A$2:$A$501,($D$2:$D$501&gt;=AN$7)*($D$2:$D$501&lt;AM$7)*($E$2:$E$501&gt;=$H51)*($E$2:$E$501&lt;$H50)," ")))</f>
        <v xml:space="preserve"> </v>
      </c>
      <c r="AN50" t="str" cm="1">
        <f t="array" ref="AN50">_xlfn.TEXTJOIN(",",TRUE,(_xlfn._xlws.FILTER($A$2:$A$501,($D$2:$D$501&gt;=AO$7)*($D$2:$D$501&lt;AN$7)*($E$2:$E$501&gt;=$H51)*($E$2:$E$501&lt;$H50)," ")))</f>
        <v xml:space="preserve"> </v>
      </c>
      <c r="AO50" t="str" cm="1">
        <f t="array" ref="AO50">_xlfn.TEXTJOIN(",",TRUE,(_xlfn._xlws.FILTER($A$2:$A$501,($D$2:$D$501&gt;=AP$7)*($D$2:$D$501&lt;AO$7)*($E$2:$E$501&gt;=$H51)*($E$2:$E$501&lt;$H50)," ")))</f>
        <v xml:space="preserve"> </v>
      </c>
      <c r="AP50" t="str" cm="1">
        <f t="array" ref="AP50">_xlfn.TEXTJOIN(",",TRUE,(_xlfn._xlws.FILTER($A$2:$A$501,($D$2:$D$501&gt;=AQ$7)*($D$2:$D$501&lt;AP$7)*($E$2:$E$501&gt;=$H51)*($E$2:$E$501&lt;$H50)," ")))</f>
        <v xml:space="preserve"> </v>
      </c>
      <c r="AQ50" t="str" cm="1">
        <f t="array" ref="AQ50">_xlfn.TEXTJOIN(",",TRUE,(_xlfn._xlws.FILTER($A$2:$A$501,($D$2:$D$501&gt;=AR$7)*($D$2:$D$501&lt;AQ$7)*($E$2:$E$501&gt;=$H51)*($E$2:$E$501&lt;$H50)," ")))</f>
        <v xml:space="preserve"> </v>
      </c>
      <c r="AR50" t="str" cm="1">
        <f t="array" ref="AR50">_xlfn.TEXTJOIN(",",TRUE,(_xlfn._xlws.FILTER($A$2:$A$501,($D$2:$D$501&gt;=AS$7)*($D$2:$D$501&lt;AR$7)*($E$2:$E$501&gt;=$H51)*($E$2:$E$501&lt;$H50)," ")))</f>
        <v xml:space="preserve"> </v>
      </c>
      <c r="AS50" t="str" cm="1">
        <f t="array" ref="AS50">_xlfn.TEXTJOIN(",",TRUE,(_xlfn._xlws.FILTER($A$2:$A$501,($D$2:$D$501&gt;=AT$7)*($D$2:$D$501&lt;AS$7)*($E$2:$E$501&gt;=$H51)*($E$2:$E$501&lt;$H50)," ")))</f>
        <v xml:space="preserve"> </v>
      </c>
      <c r="AT50" t="str" cm="1">
        <f t="array" ref="AT50">_xlfn.TEXTJOIN(",",TRUE,(_xlfn._xlws.FILTER($A$2:$A$501,($D$2:$D$501&gt;=AU$7)*($D$2:$D$501&lt;AT$7)*($E$2:$E$501&gt;=$H51)*($E$2:$E$501&lt;$H50)," ")))</f>
        <v xml:space="preserve"> </v>
      </c>
      <c r="AU50" t="str" cm="1">
        <f t="array" ref="AU50">_xlfn.TEXTJOIN(",",TRUE,(_xlfn._xlws.FILTER($A$2:$A$501,($D$2:$D$501&gt;=AV$7)*($D$2:$D$501&lt;AU$7)*($E$2:$E$501&gt;=$H51)*($E$2:$E$501&lt;$H50)," ")))</f>
        <v xml:space="preserve"> </v>
      </c>
      <c r="AV50" t="str" cm="1">
        <f t="array" ref="AV50">_xlfn.TEXTJOIN(",",TRUE,(_xlfn._xlws.FILTER($A$2:$A$501,($D$2:$D$501&gt;=AW$7)*($D$2:$D$501&lt;AV$7)*($E$2:$E$501&gt;=$H51)*($E$2:$E$501&lt;$H50)," ")))</f>
        <v xml:space="preserve"> </v>
      </c>
      <c r="AW50" t="str" cm="1">
        <f t="array" ref="AW50">_xlfn.TEXTJOIN(",",TRUE,(_xlfn._xlws.FILTER($A$2:$A$501,($D$2:$D$501&gt;=AX$7)*($D$2:$D$501&lt;AW$7)*($E$2:$E$501&gt;=$H51)*($E$2:$E$501&lt;$H50)," ")))</f>
        <v xml:space="preserve"> </v>
      </c>
      <c r="AX50" t="str" cm="1">
        <f t="array" ref="AX50">_xlfn.TEXTJOIN(",",TRUE,(_xlfn._xlws.FILTER($A$2:$A$501,($D$2:$D$501&gt;=AY$7)*($D$2:$D$501&lt;AX$7)*($E$2:$E$501&gt;=$H51)*($E$2:$E$501&lt;$H50)," ")))</f>
        <v xml:space="preserve"> </v>
      </c>
      <c r="AY50" t="str" cm="1">
        <f t="array" ref="AY50">_xlfn.TEXTJOIN(",",TRUE,(_xlfn._xlws.FILTER($A$2:$A$501,($D$2:$D$501&gt;=AZ$7)*($D$2:$D$501&lt;AY$7)*($E$2:$E$501&gt;=$H51)*($E$2:$E$501&lt;$H50)," ")))</f>
        <v xml:space="preserve"> </v>
      </c>
      <c r="AZ50" t="str" cm="1">
        <f t="array" ref="AZ50">_xlfn.TEXTJOIN(",",TRUE,(_xlfn._xlws.FILTER($A$2:$A$501,($D$2:$D$501&gt;=BA$7)*($D$2:$D$501&lt;AZ$7)*($E$2:$E$501&gt;=$H51)*($E$2:$E$501&lt;$H50)," ")))</f>
        <v xml:space="preserve"> </v>
      </c>
      <c r="BA50" t="str" cm="1">
        <f t="array" ref="BA50">_xlfn.TEXTJOIN(",",TRUE,(_xlfn._xlws.FILTER($A$2:$A$501,($D$2:$D$501&gt;=BB$7)*($D$2:$D$501&lt;BA$7)*($E$2:$E$501&gt;=$H51)*($E$2:$E$501&lt;$H50)," ")))</f>
        <v xml:space="preserve"> </v>
      </c>
      <c r="BB50" t="str" cm="1">
        <f t="array" ref="BB50">_xlfn.TEXTJOIN(",",TRUE,(_xlfn._xlws.FILTER($A$2:$A$501,($D$2:$D$501&gt;=BC$7)*($D$2:$D$501&lt;BB$7)*($E$2:$E$501&gt;=$H51)*($E$2:$E$501&lt;$H50)," ")))</f>
        <v xml:space="preserve"> </v>
      </c>
    </row>
    <row r="51" spans="1:54" x14ac:dyDescent="0.2">
      <c r="A51" s="3" t="s">
        <v>378</v>
      </c>
      <c r="B51" s="3" t="s">
        <v>371</v>
      </c>
      <c r="C51" s="13">
        <v>5956720.0199999996</v>
      </c>
      <c r="D51" s="15">
        <v>111725472.09</v>
      </c>
      <c r="E51" s="22">
        <f>TuitionRates3[[#This Row],[Tuition]]/D51</f>
        <v>5.3315684494951943E-2</v>
      </c>
      <c r="F51"/>
      <c r="H51" s="18">
        <v>0.107</v>
      </c>
      <c r="I51" t="str" cm="1">
        <f t="array" ref="I51">_xlfn.TEXTJOIN(",",TRUE,(_xlfn._xlws.FILTER($A$2:$A$501,($D$2:$D$501&gt;=J$7)*($D$2:$D$501&lt;I$7)*($E$2:$E$501&gt;=$H52)*($E$2:$E$501&lt;$H51)," ")))</f>
        <v xml:space="preserve"> </v>
      </c>
      <c r="J51" t="str" cm="1">
        <f t="array" ref="J51">_xlfn.TEXTJOIN(",",TRUE,(_xlfn._xlws.FILTER($A$2:$A$501,($D$2:$D$501&gt;=K$7)*($D$2:$D$501&lt;J$7)*($E$2:$E$501&gt;=$H52)*($E$2:$E$501&lt;$H51)," ")))</f>
        <v xml:space="preserve"> </v>
      </c>
      <c r="K51" t="str" cm="1">
        <f t="array" ref="K51">_xlfn.TEXTJOIN(",",TRUE,(_xlfn._xlws.FILTER($A$2:$A$501,($D$2:$D$501&gt;=L$7)*($D$2:$D$501&lt;K$7)*($E$2:$E$501&gt;=$H52)*($E$2:$E$501&lt;$H51)," ")))</f>
        <v xml:space="preserve"> </v>
      </c>
      <c r="L51" t="str" cm="1">
        <f t="array" ref="L51">_xlfn.TEXTJOIN(",",TRUE,(_xlfn._xlws.FILTER($A$2:$A$501,($D$2:$D$501&gt;=M$7)*($D$2:$D$501&lt;L$7)*($E$2:$E$501&gt;=$H52)*($E$2:$E$501&lt;$H51)," ")))</f>
        <v xml:space="preserve"> </v>
      </c>
      <c r="M51" t="str" cm="1">
        <f t="array" ref="M51">_xlfn.TEXTJOIN(",",TRUE,(_xlfn._xlws.FILTER($A$2:$A$501,($D$2:$D$501&gt;=N$7)*($D$2:$D$501&lt;M$7)*($E$2:$E$501&gt;=$H52)*($E$2:$E$501&lt;$H51)," ")))</f>
        <v xml:space="preserve"> </v>
      </c>
      <c r="N51" t="str" cm="1">
        <f t="array" ref="N51">_xlfn.TEXTJOIN(",",TRUE,(_xlfn._xlws.FILTER($A$2:$A$501,($D$2:$D$501&gt;=O$7)*($D$2:$D$501&lt;N$7)*($E$2:$E$501&gt;=$H52)*($E$2:$E$501&lt;$H51)," ")))</f>
        <v xml:space="preserve"> </v>
      </c>
      <c r="O51" t="str" cm="1">
        <f t="array" ref="O51">_xlfn.TEXTJOIN(",",TRUE,(_xlfn._xlws.FILTER($A$2:$A$501,($D$2:$D$501&gt;=P$7)*($D$2:$D$501&lt;O$7)*($E$2:$E$501&gt;=$H52)*($E$2:$E$501&lt;$H51)," ")))</f>
        <v xml:space="preserve"> </v>
      </c>
      <c r="P51" t="str" cm="1">
        <f t="array" ref="P51">_xlfn.TEXTJOIN(",",TRUE,(_xlfn._xlws.FILTER($A$2:$A$501,($D$2:$D$501&gt;=Q$7)*($D$2:$D$501&lt;P$7)*($E$2:$E$501&gt;=$H52)*($E$2:$E$501&lt;$H51)," ")))</f>
        <v xml:space="preserve"> </v>
      </c>
      <c r="Q51" t="str" cm="1">
        <f t="array" ref="Q51">_xlfn.TEXTJOIN(",",TRUE,(_xlfn._xlws.FILTER($A$2:$A$501,($D$2:$D$501&gt;=R$7)*($D$2:$D$501&lt;Q$7)*($E$2:$E$501&gt;=$H52)*($E$2:$E$501&lt;$H51)," ")))</f>
        <v xml:space="preserve"> </v>
      </c>
      <c r="R51" t="str" cm="1">
        <f t="array" ref="R51">_xlfn.TEXTJOIN(",",TRUE,(_xlfn._xlws.FILTER($A$2:$A$501,($D$2:$D$501&gt;=S$7)*($D$2:$D$501&lt;R$7)*($E$2:$E$501&gt;=$H52)*($E$2:$E$501&lt;$H51)," ")))</f>
        <v xml:space="preserve"> </v>
      </c>
      <c r="S51" t="str" cm="1">
        <f t="array" ref="S51">_xlfn.TEXTJOIN(",",TRUE,(_xlfn._xlws.FILTER($A$2:$A$501,($D$2:$D$501&gt;=T$7)*($D$2:$D$501&lt;S$7)*($E$2:$E$501&gt;=$H52)*($E$2:$E$501&lt;$H51)," ")))</f>
        <v xml:space="preserve"> </v>
      </c>
      <c r="T51" t="str" cm="1">
        <f t="array" ref="T51">_xlfn.TEXTJOIN(",",TRUE,(_xlfn._xlws.FILTER($A$2:$A$501,($D$2:$D$501&gt;=U$7)*($D$2:$D$501&lt;T$7)*($E$2:$E$501&gt;=$H52)*($E$2:$E$501&lt;$H51)," ")))</f>
        <v xml:space="preserve"> </v>
      </c>
      <c r="U51" t="str" cm="1">
        <f t="array" ref="U51">_xlfn.TEXTJOIN(",",TRUE,(_xlfn._xlws.FILTER($A$2:$A$501,($D$2:$D$501&gt;=V$7)*($D$2:$D$501&lt;U$7)*($E$2:$E$501&gt;=$H52)*($E$2:$E$501&lt;$H51)," ")))</f>
        <v xml:space="preserve"> </v>
      </c>
      <c r="V51" t="str" cm="1">
        <f t="array" ref="V51">_xlfn.TEXTJOIN(",",TRUE,(_xlfn._xlws.FILTER($A$2:$A$501,($D$2:$D$501&gt;=W$7)*($D$2:$D$501&lt;V$7)*($E$2:$E$501&gt;=$H52)*($E$2:$E$501&lt;$H51)," ")))</f>
        <v xml:space="preserve"> </v>
      </c>
      <c r="W51" t="str" cm="1">
        <f t="array" ref="W51">_xlfn.TEXTJOIN(",",TRUE,(_xlfn._xlws.FILTER($A$2:$A$501,($D$2:$D$501&gt;=X$7)*($D$2:$D$501&lt;W$7)*($E$2:$E$501&gt;=$H52)*($E$2:$E$501&lt;$H51)," ")))</f>
        <v xml:space="preserve"> </v>
      </c>
      <c r="X51" t="str" cm="1">
        <f t="array" ref="X51">_xlfn.TEXTJOIN(",",TRUE,(_xlfn._xlws.FILTER($A$2:$A$501,($D$2:$D$501&gt;=Y$7)*($D$2:$D$501&lt;X$7)*($E$2:$E$501&gt;=$H52)*($E$2:$E$501&lt;$H51)," ")))</f>
        <v xml:space="preserve"> </v>
      </c>
      <c r="Y51" t="str" cm="1">
        <f t="array" ref="Y51">_xlfn.TEXTJOIN(",",TRUE,(_xlfn._xlws.FILTER($A$2:$A$501,($D$2:$D$501&gt;=Z$7)*($D$2:$D$501&lt;Y$7)*($E$2:$E$501&gt;=$H52)*($E$2:$E$501&lt;$H51)," ")))</f>
        <v xml:space="preserve"> </v>
      </c>
      <c r="Z51" t="str" cm="1">
        <f t="array" ref="Z51">_xlfn.TEXTJOIN(",",TRUE,(_xlfn._xlws.FILTER($A$2:$A$501,($D$2:$D$501&gt;=AA$7)*($D$2:$D$501&lt;Z$7)*($E$2:$E$501&gt;=$H52)*($E$2:$E$501&lt;$H51)," ")))</f>
        <v xml:space="preserve"> </v>
      </c>
      <c r="AA51" t="str" cm="1">
        <f t="array" ref="AA51">_xlfn.TEXTJOIN(",",TRUE,(_xlfn._xlws.FILTER($A$2:$A$501,($D$2:$D$501&gt;=AB$7)*($D$2:$D$501&lt;AA$7)*($E$2:$E$501&gt;=$H52)*($E$2:$E$501&lt;$H51)," ")))</f>
        <v>West Perry SD</v>
      </c>
      <c r="AB51" t="str" cm="1">
        <f t="array" ref="AB51">_xlfn.TEXTJOIN(",",TRUE,(_xlfn._xlws.FILTER($A$2:$A$501,($D$2:$D$501&gt;=AC$7)*($D$2:$D$501&lt;AB$7)*($E$2:$E$501&gt;=$H52)*($E$2:$E$501&lt;$H51)," ")))</f>
        <v xml:space="preserve"> </v>
      </c>
      <c r="AC51" t="str" cm="1">
        <f t="array" ref="AC51">_xlfn.TEXTJOIN(",",TRUE,(_xlfn._xlws.FILTER($A$2:$A$501,($D$2:$D$501&gt;=AD$7)*($D$2:$D$501&lt;AC$7)*($E$2:$E$501&gt;=$H52)*($E$2:$E$501&lt;$H51)," ")))</f>
        <v xml:space="preserve"> </v>
      </c>
      <c r="AD51" t="str" cm="1">
        <f t="array" ref="AD51">_xlfn.TEXTJOIN(",",TRUE,(_xlfn._xlws.FILTER($A$2:$A$501,($D$2:$D$501&gt;=AE$7)*($D$2:$D$501&lt;AD$7)*($E$2:$E$501&gt;=$H52)*($E$2:$E$501&lt;$H51)," ")))</f>
        <v xml:space="preserve"> </v>
      </c>
      <c r="AE51" t="str" cm="1">
        <f t="array" ref="AE51">_xlfn.TEXTJOIN(",",TRUE,(_xlfn._xlws.FILTER($A$2:$A$501,($D$2:$D$501&gt;=AF$7)*($D$2:$D$501&lt;AE$7)*($E$2:$E$501&gt;=$H52)*($E$2:$E$501&lt;$H51)," ")))</f>
        <v xml:space="preserve"> </v>
      </c>
      <c r="AF51" t="str" cm="1">
        <f t="array" ref="AF51">_xlfn.TEXTJOIN(",",TRUE,(_xlfn._xlws.FILTER($A$2:$A$501,($D$2:$D$501&gt;=AG$7)*($D$2:$D$501&lt;AF$7)*($E$2:$E$501&gt;=$H52)*($E$2:$E$501&lt;$H51)," ")))</f>
        <v xml:space="preserve"> </v>
      </c>
      <c r="AG51" t="str" cm="1">
        <f t="array" ref="AG51">_xlfn.TEXTJOIN(",",TRUE,(_xlfn._xlws.FILTER($A$2:$A$501,($D$2:$D$501&gt;=AH$7)*($D$2:$D$501&lt;AG$7)*($E$2:$E$501&gt;=$H52)*($E$2:$E$501&lt;$H51)," ")))</f>
        <v xml:space="preserve"> </v>
      </c>
      <c r="AH51" t="str" cm="1">
        <f t="array" ref="AH51">_xlfn.TEXTJOIN(",",TRUE,(_xlfn._xlws.FILTER($A$2:$A$501,($D$2:$D$501&gt;=AI$7)*($D$2:$D$501&lt;AH$7)*($E$2:$E$501&gt;=$H52)*($E$2:$E$501&lt;$H51)," ")))</f>
        <v xml:space="preserve"> </v>
      </c>
      <c r="AI51" t="str" cm="1">
        <f t="array" ref="AI51">_xlfn.TEXTJOIN(",",TRUE,(_xlfn._xlws.FILTER($A$2:$A$501,($D$2:$D$501&gt;=AJ$7)*($D$2:$D$501&lt;AI$7)*($E$2:$E$501&gt;=$H52)*($E$2:$E$501&lt;$H51)," ")))</f>
        <v xml:space="preserve"> </v>
      </c>
      <c r="AJ51" t="str" cm="1">
        <f t="array" ref="AJ51">_xlfn.TEXTJOIN(",",TRUE,(_xlfn._xlws.FILTER($A$2:$A$501,($D$2:$D$501&gt;=AK$7)*($D$2:$D$501&lt;AJ$7)*($E$2:$E$501&gt;=$H52)*($E$2:$E$501&lt;$H51)," ")))</f>
        <v xml:space="preserve"> </v>
      </c>
      <c r="AK51" t="str" cm="1">
        <f t="array" ref="AK51">_xlfn.TEXTJOIN(",",TRUE,(_xlfn._xlws.FILTER($A$2:$A$501,($D$2:$D$501&gt;=AL$7)*($D$2:$D$501&lt;AK$7)*($E$2:$E$501&gt;=$H52)*($E$2:$E$501&lt;$H51)," ")))</f>
        <v xml:space="preserve"> </v>
      </c>
      <c r="AL51" t="str" cm="1">
        <f t="array" ref="AL51">_xlfn.TEXTJOIN(",",TRUE,(_xlfn._xlws.FILTER($A$2:$A$501,($D$2:$D$501&gt;=AM$7)*($D$2:$D$501&lt;AL$7)*($E$2:$E$501&gt;=$H52)*($E$2:$E$501&lt;$H51)," ")))</f>
        <v xml:space="preserve"> </v>
      </c>
      <c r="AM51" t="str" cm="1">
        <f t="array" ref="AM51">_xlfn.TEXTJOIN(",",TRUE,(_xlfn._xlws.FILTER($A$2:$A$501,($D$2:$D$501&gt;=AN$7)*($D$2:$D$501&lt;AM$7)*($E$2:$E$501&gt;=$H52)*($E$2:$E$501&lt;$H51)," ")))</f>
        <v xml:space="preserve"> </v>
      </c>
      <c r="AN51" t="str" cm="1">
        <f t="array" ref="AN51">_xlfn.TEXTJOIN(",",TRUE,(_xlfn._xlws.FILTER($A$2:$A$501,($D$2:$D$501&gt;=AO$7)*($D$2:$D$501&lt;AN$7)*($E$2:$E$501&gt;=$H52)*($E$2:$E$501&lt;$H51)," ")))</f>
        <v xml:space="preserve"> </v>
      </c>
      <c r="AO51" t="str" cm="1">
        <f t="array" ref="AO51">_xlfn.TEXTJOIN(",",TRUE,(_xlfn._xlws.FILTER($A$2:$A$501,($D$2:$D$501&gt;=AP$7)*($D$2:$D$501&lt;AO$7)*($E$2:$E$501&gt;=$H52)*($E$2:$E$501&lt;$H51)," ")))</f>
        <v xml:space="preserve"> </v>
      </c>
      <c r="AP51" t="str" cm="1">
        <f t="array" ref="AP51">_xlfn.TEXTJOIN(",",TRUE,(_xlfn._xlws.FILTER($A$2:$A$501,($D$2:$D$501&gt;=AQ$7)*($D$2:$D$501&lt;AP$7)*($E$2:$E$501&gt;=$H52)*($E$2:$E$501&lt;$H51)," ")))</f>
        <v xml:space="preserve"> </v>
      </c>
      <c r="AQ51" t="str" cm="1">
        <f t="array" ref="AQ51">_xlfn.TEXTJOIN(",",TRUE,(_xlfn._xlws.FILTER($A$2:$A$501,($D$2:$D$501&gt;=AR$7)*($D$2:$D$501&lt;AQ$7)*($E$2:$E$501&gt;=$H52)*($E$2:$E$501&lt;$H51)," ")))</f>
        <v xml:space="preserve"> </v>
      </c>
      <c r="AR51" t="str" cm="1">
        <f t="array" ref="AR51">_xlfn.TEXTJOIN(",",TRUE,(_xlfn._xlws.FILTER($A$2:$A$501,($D$2:$D$501&gt;=AS$7)*($D$2:$D$501&lt;AR$7)*($E$2:$E$501&gt;=$H52)*($E$2:$E$501&lt;$H51)," ")))</f>
        <v xml:space="preserve"> </v>
      </c>
      <c r="AS51" t="str" cm="1">
        <f t="array" ref="AS51">_xlfn.TEXTJOIN(",",TRUE,(_xlfn._xlws.FILTER($A$2:$A$501,($D$2:$D$501&gt;=AT$7)*($D$2:$D$501&lt;AS$7)*($E$2:$E$501&gt;=$H52)*($E$2:$E$501&lt;$H51)," ")))</f>
        <v xml:space="preserve"> </v>
      </c>
      <c r="AT51" t="str" cm="1">
        <f t="array" ref="AT51">_xlfn.TEXTJOIN(",",TRUE,(_xlfn._xlws.FILTER($A$2:$A$501,($D$2:$D$501&gt;=AU$7)*($D$2:$D$501&lt;AT$7)*($E$2:$E$501&gt;=$H52)*($E$2:$E$501&lt;$H51)," ")))</f>
        <v xml:space="preserve"> </v>
      </c>
      <c r="AU51" t="str" cm="1">
        <f t="array" ref="AU51">_xlfn.TEXTJOIN(",",TRUE,(_xlfn._xlws.FILTER($A$2:$A$501,($D$2:$D$501&gt;=AV$7)*($D$2:$D$501&lt;AU$7)*($E$2:$E$501&gt;=$H52)*($E$2:$E$501&lt;$H51)," ")))</f>
        <v xml:space="preserve"> </v>
      </c>
      <c r="AV51" t="str" cm="1">
        <f t="array" ref="AV51">_xlfn.TEXTJOIN(",",TRUE,(_xlfn._xlws.FILTER($A$2:$A$501,($D$2:$D$501&gt;=AW$7)*($D$2:$D$501&lt;AV$7)*($E$2:$E$501&gt;=$H52)*($E$2:$E$501&lt;$H51)," ")))</f>
        <v xml:space="preserve"> </v>
      </c>
      <c r="AW51" t="str" cm="1">
        <f t="array" ref="AW51">_xlfn.TEXTJOIN(",",TRUE,(_xlfn._xlws.FILTER($A$2:$A$501,($D$2:$D$501&gt;=AX$7)*($D$2:$D$501&lt;AW$7)*($E$2:$E$501&gt;=$H52)*($E$2:$E$501&lt;$H51)," ")))</f>
        <v xml:space="preserve"> </v>
      </c>
      <c r="AX51" t="str" cm="1">
        <f t="array" ref="AX51">_xlfn.TEXTJOIN(",",TRUE,(_xlfn._xlws.FILTER($A$2:$A$501,($D$2:$D$501&gt;=AY$7)*($D$2:$D$501&lt;AX$7)*($E$2:$E$501&gt;=$H52)*($E$2:$E$501&lt;$H51)," ")))</f>
        <v xml:space="preserve"> </v>
      </c>
      <c r="AY51" t="str" cm="1">
        <f t="array" ref="AY51">_xlfn.TEXTJOIN(",",TRUE,(_xlfn._xlws.FILTER($A$2:$A$501,($D$2:$D$501&gt;=AZ$7)*($D$2:$D$501&lt;AY$7)*($E$2:$E$501&gt;=$H52)*($E$2:$E$501&lt;$H51)," ")))</f>
        <v xml:space="preserve"> </v>
      </c>
      <c r="AZ51" t="str" cm="1">
        <f t="array" ref="AZ51">_xlfn.TEXTJOIN(",",TRUE,(_xlfn._xlws.FILTER($A$2:$A$501,($D$2:$D$501&gt;=BA$7)*($D$2:$D$501&lt;AZ$7)*($E$2:$E$501&gt;=$H52)*($E$2:$E$501&lt;$H51)," ")))</f>
        <v xml:space="preserve"> </v>
      </c>
      <c r="BA51" t="str" cm="1">
        <f t="array" ref="BA51">_xlfn.TEXTJOIN(",",TRUE,(_xlfn._xlws.FILTER($A$2:$A$501,($D$2:$D$501&gt;=BB$7)*($D$2:$D$501&lt;BA$7)*($E$2:$E$501&gt;=$H52)*($E$2:$E$501&lt;$H51)," ")))</f>
        <v xml:space="preserve"> </v>
      </c>
      <c r="BB51" t="str" cm="1">
        <f t="array" ref="BB51">_xlfn.TEXTJOIN(",",TRUE,(_xlfn._xlws.FILTER($A$2:$A$501,($D$2:$D$501&gt;=BC$7)*($D$2:$D$501&lt;BB$7)*($E$2:$E$501&gt;=$H52)*($E$2:$E$501&lt;$H51)," ")))</f>
        <v xml:space="preserve"> </v>
      </c>
    </row>
    <row r="52" spans="1:54" x14ac:dyDescent="0.2">
      <c r="A52" s="3" t="s">
        <v>122</v>
      </c>
      <c r="B52" s="3" t="s">
        <v>116</v>
      </c>
      <c r="C52" s="13">
        <v>1280940</v>
      </c>
      <c r="D52" s="15">
        <v>24220653</v>
      </c>
      <c r="E52" s="22">
        <f>TuitionRates3[[#This Row],[Tuition]]/D52</f>
        <v>5.2886270242177201E-2</v>
      </c>
      <c r="F52"/>
      <c r="H52" s="18">
        <v>0.106</v>
      </c>
      <c r="I52" t="str" cm="1">
        <f t="array" ref="I52">_xlfn.TEXTJOIN(",",TRUE,(_xlfn._xlws.FILTER($A$2:$A$501,($D$2:$D$501&gt;=J$7)*($D$2:$D$501&lt;I$7)*($E$2:$E$501&gt;=$H53)*($E$2:$E$501&lt;$H52)," ")))</f>
        <v xml:space="preserve"> </v>
      </c>
      <c r="J52" t="str" cm="1">
        <f t="array" ref="J52">_xlfn.TEXTJOIN(",",TRUE,(_xlfn._xlws.FILTER($A$2:$A$501,($D$2:$D$501&gt;=K$7)*($D$2:$D$501&lt;J$7)*($E$2:$E$501&gt;=$H53)*($E$2:$E$501&lt;$H52)," ")))</f>
        <v xml:space="preserve"> </v>
      </c>
      <c r="K52" t="str" cm="1">
        <f t="array" ref="K52">_xlfn.TEXTJOIN(",",TRUE,(_xlfn._xlws.FILTER($A$2:$A$501,($D$2:$D$501&gt;=L$7)*($D$2:$D$501&lt;K$7)*($E$2:$E$501&gt;=$H53)*($E$2:$E$501&lt;$H52)," ")))</f>
        <v xml:space="preserve"> </v>
      </c>
      <c r="L52" t="str" cm="1">
        <f t="array" ref="L52">_xlfn.TEXTJOIN(",",TRUE,(_xlfn._xlws.FILTER($A$2:$A$501,($D$2:$D$501&gt;=M$7)*($D$2:$D$501&lt;L$7)*($E$2:$E$501&gt;=$H53)*($E$2:$E$501&lt;$H52)," ")))</f>
        <v xml:space="preserve"> </v>
      </c>
      <c r="M52" t="str" cm="1">
        <f t="array" ref="M52">_xlfn.TEXTJOIN(",",TRUE,(_xlfn._xlws.FILTER($A$2:$A$501,($D$2:$D$501&gt;=N$7)*($D$2:$D$501&lt;M$7)*($E$2:$E$501&gt;=$H53)*($E$2:$E$501&lt;$H52)," ")))</f>
        <v xml:space="preserve"> </v>
      </c>
      <c r="N52" t="str" cm="1">
        <f t="array" ref="N52">_xlfn.TEXTJOIN(",",TRUE,(_xlfn._xlws.FILTER($A$2:$A$501,($D$2:$D$501&gt;=O$7)*($D$2:$D$501&lt;N$7)*($E$2:$E$501&gt;=$H53)*($E$2:$E$501&lt;$H52)," ")))</f>
        <v xml:space="preserve"> </v>
      </c>
      <c r="O52" t="str" cm="1">
        <f t="array" ref="O52">_xlfn.TEXTJOIN(",",TRUE,(_xlfn._xlws.FILTER($A$2:$A$501,($D$2:$D$501&gt;=P$7)*($D$2:$D$501&lt;O$7)*($E$2:$E$501&gt;=$H53)*($E$2:$E$501&lt;$H52)," ")))</f>
        <v xml:space="preserve"> </v>
      </c>
      <c r="P52" t="str" cm="1">
        <f t="array" ref="P52">_xlfn.TEXTJOIN(",",TRUE,(_xlfn._xlws.FILTER($A$2:$A$501,($D$2:$D$501&gt;=Q$7)*($D$2:$D$501&lt;P$7)*($E$2:$E$501&gt;=$H53)*($E$2:$E$501&lt;$H52)," ")))</f>
        <v xml:space="preserve"> </v>
      </c>
      <c r="Q52" t="str" cm="1">
        <f t="array" ref="Q52">_xlfn.TEXTJOIN(",",TRUE,(_xlfn._xlws.FILTER($A$2:$A$501,($D$2:$D$501&gt;=R$7)*($D$2:$D$501&lt;Q$7)*($E$2:$E$501&gt;=$H53)*($E$2:$E$501&lt;$H52)," ")))</f>
        <v xml:space="preserve"> </v>
      </c>
      <c r="R52" t="str" cm="1">
        <f t="array" ref="R52">_xlfn.TEXTJOIN(",",TRUE,(_xlfn._xlws.FILTER($A$2:$A$501,($D$2:$D$501&gt;=S$7)*($D$2:$D$501&lt;R$7)*($E$2:$E$501&gt;=$H53)*($E$2:$E$501&lt;$H52)," ")))</f>
        <v xml:space="preserve"> </v>
      </c>
      <c r="S52" t="str" cm="1">
        <f t="array" ref="S52">_xlfn.TEXTJOIN(",",TRUE,(_xlfn._xlws.FILTER($A$2:$A$501,($D$2:$D$501&gt;=T$7)*($D$2:$D$501&lt;S$7)*($E$2:$E$501&gt;=$H53)*($E$2:$E$501&lt;$H52)," ")))</f>
        <v xml:space="preserve"> </v>
      </c>
      <c r="T52" t="str" cm="1">
        <f t="array" ref="T52">_xlfn.TEXTJOIN(",",TRUE,(_xlfn._xlws.FILTER($A$2:$A$501,($D$2:$D$501&gt;=U$7)*($D$2:$D$501&lt;T$7)*($E$2:$E$501&gt;=$H53)*($E$2:$E$501&lt;$H52)," ")))</f>
        <v xml:space="preserve"> </v>
      </c>
      <c r="U52" t="str" cm="1">
        <f t="array" ref="U52">_xlfn.TEXTJOIN(",",TRUE,(_xlfn._xlws.FILTER($A$2:$A$501,($D$2:$D$501&gt;=V$7)*($D$2:$D$501&lt;U$7)*($E$2:$E$501&gt;=$H53)*($E$2:$E$501&lt;$H52)," ")))</f>
        <v xml:space="preserve"> </v>
      </c>
      <c r="V52" t="str" cm="1">
        <f t="array" ref="V52">_xlfn.TEXTJOIN(",",TRUE,(_xlfn._xlws.FILTER($A$2:$A$501,($D$2:$D$501&gt;=W$7)*($D$2:$D$501&lt;V$7)*($E$2:$E$501&gt;=$H53)*($E$2:$E$501&lt;$H52)," ")))</f>
        <v xml:space="preserve"> </v>
      </c>
      <c r="W52" t="str" cm="1">
        <f t="array" ref="W52">_xlfn.TEXTJOIN(",",TRUE,(_xlfn._xlws.FILTER($A$2:$A$501,($D$2:$D$501&gt;=X$7)*($D$2:$D$501&lt;W$7)*($E$2:$E$501&gt;=$H53)*($E$2:$E$501&lt;$H52)," ")))</f>
        <v xml:space="preserve"> </v>
      </c>
      <c r="X52" t="str" cm="1">
        <f t="array" ref="X52">_xlfn.TEXTJOIN(",",TRUE,(_xlfn._xlws.FILTER($A$2:$A$501,($D$2:$D$501&gt;=Y$7)*($D$2:$D$501&lt;X$7)*($E$2:$E$501&gt;=$H53)*($E$2:$E$501&lt;$H52)," ")))</f>
        <v xml:space="preserve"> </v>
      </c>
      <c r="Y52" t="str" cm="1">
        <f t="array" ref="Y52">_xlfn.TEXTJOIN(",",TRUE,(_xlfn._xlws.FILTER($A$2:$A$501,($D$2:$D$501&gt;=Z$7)*($D$2:$D$501&lt;Y$7)*($E$2:$E$501&gt;=$H53)*($E$2:$E$501&lt;$H52)," ")))</f>
        <v xml:space="preserve"> </v>
      </c>
      <c r="Z52" t="str" cm="1">
        <f t="array" ref="Z52">_xlfn.TEXTJOIN(",",TRUE,(_xlfn._xlws.FILTER($A$2:$A$501,($D$2:$D$501&gt;=AA$7)*($D$2:$D$501&lt;Z$7)*($E$2:$E$501&gt;=$H53)*($E$2:$E$501&lt;$H52)," ")))</f>
        <v xml:space="preserve"> </v>
      </c>
      <c r="AA52" t="str" cm="1">
        <f t="array" ref="AA52">_xlfn.TEXTJOIN(",",TRUE,(_xlfn._xlws.FILTER($A$2:$A$501,($D$2:$D$501&gt;=AB$7)*($D$2:$D$501&lt;AA$7)*($E$2:$E$501&gt;=$H53)*($E$2:$E$501&lt;$H52)," ")))</f>
        <v xml:space="preserve"> </v>
      </c>
      <c r="AB52" t="str" cm="1">
        <f t="array" ref="AB52">_xlfn.TEXTJOIN(",",TRUE,(_xlfn._xlws.FILTER($A$2:$A$501,($D$2:$D$501&gt;=AC$7)*($D$2:$D$501&lt;AB$7)*($E$2:$E$501&gt;=$H53)*($E$2:$E$501&lt;$H52)," ")))</f>
        <v xml:space="preserve"> </v>
      </c>
      <c r="AC52" t="str" cm="1">
        <f t="array" ref="AC52">_xlfn.TEXTJOIN(",",TRUE,(_xlfn._xlws.FILTER($A$2:$A$501,($D$2:$D$501&gt;=AD$7)*($D$2:$D$501&lt;AC$7)*($E$2:$E$501&gt;=$H53)*($E$2:$E$501&lt;$H52)," ")))</f>
        <v xml:space="preserve"> </v>
      </c>
      <c r="AD52" t="str" cm="1">
        <f t="array" ref="AD52">_xlfn.TEXTJOIN(",",TRUE,(_xlfn._xlws.FILTER($A$2:$A$501,($D$2:$D$501&gt;=AE$7)*($D$2:$D$501&lt;AD$7)*($E$2:$E$501&gt;=$H53)*($E$2:$E$501&lt;$H52)," ")))</f>
        <v xml:space="preserve"> </v>
      </c>
      <c r="AE52" t="str" cm="1">
        <f t="array" ref="AE52">_xlfn.TEXTJOIN(",",TRUE,(_xlfn._xlws.FILTER($A$2:$A$501,($D$2:$D$501&gt;=AF$7)*($D$2:$D$501&lt;AE$7)*($E$2:$E$501&gt;=$H53)*($E$2:$E$501&lt;$H52)," ")))</f>
        <v xml:space="preserve"> </v>
      </c>
      <c r="AF52" t="str" cm="1">
        <f t="array" ref="AF52">_xlfn.TEXTJOIN(",",TRUE,(_xlfn._xlws.FILTER($A$2:$A$501,($D$2:$D$501&gt;=AG$7)*($D$2:$D$501&lt;AF$7)*($E$2:$E$501&gt;=$H53)*($E$2:$E$501&lt;$H52)," ")))</f>
        <v xml:space="preserve"> </v>
      </c>
      <c r="AG52" t="str" cm="1">
        <f t="array" ref="AG52">_xlfn.TEXTJOIN(",",TRUE,(_xlfn._xlws.FILTER($A$2:$A$501,($D$2:$D$501&gt;=AH$7)*($D$2:$D$501&lt;AG$7)*($E$2:$E$501&gt;=$H53)*($E$2:$E$501&lt;$H52)," ")))</f>
        <v xml:space="preserve"> </v>
      </c>
      <c r="AH52" t="str" cm="1">
        <f t="array" ref="AH52">_xlfn.TEXTJOIN(",",TRUE,(_xlfn._xlws.FILTER($A$2:$A$501,($D$2:$D$501&gt;=AI$7)*($D$2:$D$501&lt;AH$7)*($E$2:$E$501&gt;=$H53)*($E$2:$E$501&lt;$H52)," ")))</f>
        <v xml:space="preserve"> </v>
      </c>
      <c r="AI52" t="str" cm="1">
        <f t="array" ref="AI52">_xlfn.TEXTJOIN(",",TRUE,(_xlfn._xlws.FILTER($A$2:$A$501,($D$2:$D$501&gt;=AJ$7)*($D$2:$D$501&lt;AI$7)*($E$2:$E$501&gt;=$H53)*($E$2:$E$501&lt;$H52)," ")))</f>
        <v xml:space="preserve"> </v>
      </c>
      <c r="AJ52" t="str" cm="1">
        <f t="array" ref="AJ52">_xlfn.TEXTJOIN(",",TRUE,(_xlfn._xlws.FILTER($A$2:$A$501,($D$2:$D$501&gt;=AK$7)*($D$2:$D$501&lt;AJ$7)*($E$2:$E$501&gt;=$H53)*($E$2:$E$501&lt;$H52)," ")))</f>
        <v xml:space="preserve"> </v>
      </c>
      <c r="AK52" t="str" cm="1">
        <f t="array" ref="AK52">_xlfn.TEXTJOIN(",",TRUE,(_xlfn._xlws.FILTER($A$2:$A$501,($D$2:$D$501&gt;=AL$7)*($D$2:$D$501&lt;AK$7)*($E$2:$E$501&gt;=$H53)*($E$2:$E$501&lt;$H52)," ")))</f>
        <v xml:space="preserve"> </v>
      </c>
      <c r="AL52" t="str" cm="1">
        <f t="array" ref="AL52">_xlfn.TEXTJOIN(",",TRUE,(_xlfn._xlws.FILTER($A$2:$A$501,($D$2:$D$501&gt;=AM$7)*($D$2:$D$501&lt;AL$7)*($E$2:$E$501&gt;=$H53)*($E$2:$E$501&lt;$H52)," ")))</f>
        <v xml:space="preserve"> </v>
      </c>
      <c r="AM52" t="str" cm="1">
        <f t="array" ref="AM52">_xlfn.TEXTJOIN(",",TRUE,(_xlfn._xlws.FILTER($A$2:$A$501,($D$2:$D$501&gt;=AN$7)*($D$2:$D$501&lt;AM$7)*($E$2:$E$501&gt;=$H53)*($E$2:$E$501&lt;$H52)," ")))</f>
        <v xml:space="preserve"> </v>
      </c>
      <c r="AN52" t="str" cm="1">
        <f t="array" ref="AN52">_xlfn.TEXTJOIN(",",TRUE,(_xlfn._xlws.FILTER($A$2:$A$501,($D$2:$D$501&gt;=AO$7)*($D$2:$D$501&lt;AN$7)*($E$2:$E$501&gt;=$H53)*($E$2:$E$501&lt;$H52)," ")))</f>
        <v xml:space="preserve"> </v>
      </c>
      <c r="AO52" t="str" cm="1">
        <f t="array" ref="AO52">_xlfn.TEXTJOIN(",",TRUE,(_xlfn._xlws.FILTER($A$2:$A$501,($D$2:$D$501&gt;=AP$7)*($D$2:$D$501&lt;AO$7)*($E$2:$E$501&gt;=$H53)*($E$2:$E$501&lt;$H52)," ")))</f>
        <v xml:space="preserve"> </v>
      </c>
      <c r="AP52" t="str" cm="1">
        <f t="array" ref="AP52">_xlfn.TEXTJOIN(",",TRUE,(_xlfn._xlws.FILTER($A$2:$A$501,($D$2:$D$501&gt;=AQ$7)*($D$2:$D$501&lt;AP$7)*($E$2:$E$501&gt;=$H53)*($E$2:$E$501&lt;$H52)," ")))</f>
        <v xml:space="preserve"> </v>
      </c>
      <c r="AQ52" t="str" cm="1">
        <f t="array" ref="AQ52">_xlfn.TEXTJOIN(",",TRUE,(_xlfn._xlws.FILTER($A$2:$A$501,($D$2:$D$501&gt;=AR$7)*($D$2:$D$501&lt;AQ$7)*($E$2:$E$501&gt;=$H53)*($E$2:$E$501&lt;$H52)," ")))</f>
        <v xml:space="preserve"> </v>
      </c>
      <c r="AR52" t="str" cm="1">
        <f t="array" ref="AR52">_xlfn.TEXTJOIN(",",TRUE,(_xlfn._xlws.FILTER($A$2:$A$501,($D$2:$D$501&gt;=AS$7)*($D$2:$D$501&lt;AR$7)*($E$2:$E$501&gt;=$H53)*($E$2:$E$501&lt;$H52)," ")))</f>
        <v xml:space="preserve"> </v>
      </c>
      <c r="AS52" t="str" cm="1">
        <f t="array" ref="AS52">_xlfn.TEXTJOIN(",",TRUE,(_xlfn._xlws.FILTER($A$2:$A$501,($D$2:$D$501&gt;=AT$7)*($D$2:$D$501&lt;AS$7)*($E$2:$E$501&gt;=$H53)*($E$2:$E$501&lt;$H52)," ")))</f>
        <v xml:space="preserve"> </v>
      </c>
      <c r="AT52" t="str" cm="1">
        <f t="array" ref="AT52">_xlfn.TEXTJOIN(",",TRUE,(_xlfn._xlws.FILTER($A$2:$A$501,($D$2:$D$501&gt;=AU$7)*($D$2:$D$501&lt;AT$7)*($E$2:$E$501&gt;=$H53)*($E$2:$E$501&lt;$H52)," ")))</f>
        <v xml:space="preserve"> </v>
      </c>
      <c r="AU52" t="str" cm="1">
        <f t="array" ref="AU52">_xlfn.TEXTJOIN(",",TRUE,(_xlfn._xlws.FILTER($A$2:$A$501,($D$2:$D$501&gt;=AV$7)*($D$2:$D$501&lt;AU$7)*($E$2:$E$501&gt;=$H53)*($E$2:$E$501&lt;$H52)," ")))</f>
        <v xml:space="preserve"> </v>
      </c>
      <c r="AV52" t="str" cm="1">
        <f t="array" ref="AV52">_xlfn.TEXTJOIN(",",TRUE,(_xlfn._xlws.FILTER($A$2:$A$501,($D$2:$D$501&gt;=AW$7)*($D$2:$D$501&lt;AV$7)*($E$2:$E$501&gt;=$H53)*($E$2:$E$501&lt;$H52)," ")))</f>
        <v xml:space="preserve"> </v>
      </c>
      <c r="AW52" t="str" cm="1">
        <f t="array" ref="AW52">_xlfn.TEXTJOIN(",",TRUE,(_xlfn._xlws.FILTER($A$2:$A$501,($D$2:$D$501&gt;=AX$7)*($D$2:$D$501&lt;AW$7)*($E$2:$E$501&gt;=$H53)*($E$2:$E$501&lt;$H52)," ")))</f>
        <v xml:space="preserve"> </v>
      </c>
      <c r="AX52" t="str" cm="1">
        <f t="array" ref="AX52">_xlfn.TEXTJOIN(",",TRUE,(_xlfn._xlws.FILTER($A$2:$A$501,($D$2:$D$501&gt;=AY$7)*($D$2:$D$501&lt;AX$7)*($E$2:$E$501&gt;=$H53)*($E$2:$E$501&lt;$H52)," ")))</f>
        <v xml:space="preserve"> </v>
      </c>
      <c r="AY52" t="str" cm="1">
        <f t="array" ref="AY52">_xlfn.TEXTJOIN(",",TRUE,(_xlfn._xlws.FILTER($A$2:$A$501,($D$2:$D$501&gt;=AZ$7)*($D$2:$D$501&lt;AY$7)*($E$2:$E$501&gt;=$H53)*($E$2:$E$501&lt;$H52)," ")))</f>
        <v xml:space="preserve"> </v>
      </c>
      <c r="AZ52" t="str" cm="1">
        <f t="array" ref="AZ52">_xlfn.TEXTJOIN(",",TRUE,(_xlfn._xlws.FILTER($A$2:$A$501,($D$2:$D$501&gt;=BA$7)*($D$2:$D$501&lt;AZ$7)*($E$2:$E$501&gt;=$H53)*($E$2:$E$501&lt;$H52)," ")))</f>
        <v xml:space="preserve"> </v>
      </c>
      <c r="BA52" t="str" cm="1">
        <f t="array" ref="BA52">_xlfn.TEXTJOIN(",",TRUE,(_xlfn._xlws.FILTER($A$2:$A$501,($D$2:$D$501&gt;=BB$7)*($D$2:$D$501&lt;BA$7)*($E$2:$E$501&gt;=$H53)*($E$2:$E$501&lt;$H52)," ")))</f>
        <v xml:space="preserve"> </v>
      </c>
      <c r="BB52" t="str" cm="1">
        <f t="array" ref="BB52">_xlfn.TEXTJOIN(",",TRUE,(_xlfn._xlws.FILTER($A$2:$A$501,($D$2:$D$501&gt;=BC$7)*($D$2:$D$501&lt;BB$7)*($E$2:$E$501&gt;=$H53)*($E$2:$E$501&lt;$H52)," ")))</f>
        <v xml:space="preserve"> </v>
      </c>
    </row>
    <row r="53" spans="1:54" x14ac:dyDescent="0.2">
      <c r="A53" s="3" t="s">
        <v>550</v>
      </c>
      <c r="B53" s="3" t="s">
        <v>551</v>
      </c>
      <c r="C53" s="13">
        <v>1193024</v>
      </c>
      <c r="D53" s="15">
        <v>22673059</v>
      </c>
      <c r="E53" s="22">
        <f>TuitionRates3[[#This Row],[Tuition]]/D53</f>
        <v>5.2618572553443273E-2</v>
      </c>
      <c r="F53"/>
      <c r="H53" s="18">
        <v>0.105</v>
      </c>
      <c r="I53" t="str" cm="1">
        <f t="array" ref="I53">_xlfn.TEXTJOIN(",",TRUE,(_xlfn._xlws.FILTER($A$2:$A$501,($D$2:$D$501&gt;=J$7)*($D$2:$D$501&lt;I$7)*($E$2:$E$501&gt;=$H54)*($E$2:$E$501&lt;$H53)," ")))</f>
        <v xml:space="preserve"> </v>
      </c>
      <c r="J53" t="str" cm="1">
        <f t="array" ref="J53">_xlfn.TEXTJOIN(",",TRUE,(_xlfn._xlws.FILTER($A$2:$A$501,($D$2:$D$501&gt;=K$7)*($D$2:$D$501&lt;J$7)*($E$2:$E$501&gt;=$H54)*($E$2:$E$501&lt;$H53)," ")))</f>
        <v xml:space="preserve"> </v>
      </c>
      <c r="K53" t="str" cm="1">
        <f t="array" ref="K53">_xlfn.TEXTJOIN(",",TRUE,(_xlfn._xlws.FILTER($A$2:$A$501,($D$2:$D$501&gt;=L$7)*($D$2:$D$501&lt;K$7)*($E$2:$E$501&gt;=$H54)*($E$2:$E$501&lt;$H53)," ")))</f>
        <v xml:space="preserve"> </v>
      </c>
      <c r="L53" t="str" cm="1">
        <f t="array" ref="L53">_xlfn.TEXTJOIN(",",TRUE,(_xlfn._xlws.FILTER($A$2:$A$501,($D$2:$D$501&gt;=M$7)*($D$2:$D$501&lt;L$7)*($E$2:$E$501&gt;=$H54)*($E$2:$E$501&lt;$H53)," ")))</f>
        <v xml:space="preserve"> </v>
      </c>
      <c r="M53" t="str" cm="1">
        <f t="array" ref="M53">_xlfn.TEXTJOIN(",",TRUE,(_xlfn._xlws.FILTER($A$2:$A$501,($D$2:$D$501&gt;=N$7)*($D$2:$D$501&lt;M$7)*($E$2:$E$501&gt;=$H54)*($E$2:$E$501&lt;$H53)," ")))</f>
        <v xml:space="preserve"> </v>
      </c>
      <c r="N53" t="str" cm="1">
        <f t="array" ref="N53">_xlfn.TEXTJOIN(",",TRUE,(_xlfn._xlws.FILTER($A$2:$A$501,($D$2:$D$501&gt;=O$7)*($D$2:$D$501&lt;N$7)*($E$2:$E$501&gt;=$H54)*($E$2:$E$501&lt;$H53)," ")))</f>
        <v xml:space="preserve"> </v>
      </c>
      <c r="O53" t="str" cm="1">
        <f t="array" ref="O53">_xlfn.TEXTJOIN(",",TRUE,(_xlfn._xlws.FILTER($A$2:$A$501,($D$2:$D$501&gt;=P$7)*($D$2:$D$501&lt;O$7)*($E$2:$E$501&gt;=$H54)*($E$2:$E$501&lt;$H53)," ")))</f>
        <v xml:space="preserve"> </v>
      </c>
      <c r="P53" t="str" cm="1">
        <f t="array" ref="P53">_xlfn.TEXTJOIN(",",TRUE,(_xlfn._xlws.FILTER($A$2:$A$501,($D$2:$D$501&gt;=Q$7)*($D$2:$D$501&lt;P$7)*($E$2:$E$501&gt;=$H54)*($E$2:$E$501&lt;$H53)," ")))</f>
        <v xml:space="preserve"> </v>
      </c>
      <c r="Q53" t="str" cm="1">
        <f t="array" ref="Q53">_xlfn.TEXTJOIN(",",TRUE,(_xlfn._xlws.FILTER($A$2:$A$501,($D$2:$D$501&gt;=R$7)*($D$2:$D$501&lt;Q$7)*($E$2:$E$501&gt;=$H54)*($E$2:$E$501&lt;$H53)," ")))</f>
        <v xml:space="preserve"> </v>
      </c>
      <c r="R53" t="str" cm="1">
        <f t="array" ref="R53">_xlfn.TEXTJOIN(",",TRUE,(_xlfn._xlws.FILTER($A$2:$A$501,($D$2:$D$501&gt;=S$7)*($D$2:$D$501&lt;R$7)*($E$2:$E$501&gt;=$H54)*($E$2:$E$501&lt;$H53)," ")))</f>
        <v xml:space="preserve"> </v>
      </c>
      <c r="S53" t="str" cm="1">
        <f t="array" ref="S53">_xlfn.TEXTJOIN(",",TRUE,(_xlfn._xlws.FILTER($A$2:$A$501,($D$2:$D$501&gt;=T$7)*($D$2:$D$501&lt;S$7)*($E$2:$E$501&gt;=$H54)*($E$2:$E$501&lt;$H53)," ")))</f>
        <v xml:space="preserve"> </v>
      </c>
      <c r="T53" t="str" cm="1">
        <f t="array" ref="T53">_xlfn.TEXTJOIN(",",TRUE,(_xlfn._xlws.FILTER($A$2:$A$501,($D$2:$D$501&gt;=U$7)*($D$2:$D$501&lt;T$7)*($E$2:$E$501&gt;=$H54)*($E$2:$E$501&lt;$H53)," ")))</f>
        <v xml:space="preserve"> </v>
      </c>
      <c r="U53" t="str" cm="1">
        <f t="array" ref="U53">_xlfn.TEXTJOIN(",",TRUE,(_xlfn._xlws.FILTER($A$2:$A$501,($D$2:$D$501&gt;=V$7)*($D$2:$D$501&lt;U$7)*($E$2:$E$501&gt;=$H54)*($E$2:$E$501&lt;$H53)," ")))</f>
        <v xml:space="preserve"> </v>
      </c>
      <c r="V53" t="str" cm="1">
        <f t="array" ref="V53">_xlfn.TEXTJOIN(",",TRUE,(_xlfn._xlws.FILTER($A$2:$A$501,($D$2:$D$501&gt;=W$7)*($D$2:$D$501&lt;V$7)*($E$2:$E$501&gt;=$H54)*($E$2:$E$501&lt;$H53)," ")))</f>
        <v xml:space="preserve"> </v>
      </c>
      <c r="W53" t="str" cm="1">
        <f t="array" ref="W53">_xlfn.TEXTJOIN(",",TRUE,(_xlfn._xlws.FILTER($A$2:$A$501,($D$2:$D$501&gt;=X$7)*($D$2:$D$501&lt;W$7)*($E$2:$E$501&gt;=$H54)*($E$2:$E$501&lt;$H53)," ")))</f>
        <v xml:space="preserve"> </v>
      </c>
      <c r="X53" t="str" cm="1">
        <f t="array" ref="X53">_xlfn.TEXTJOIN(",",TRUE,(_xlfn._xlws.FILTER($A$2:$A$501,($D$2:$D$501&gt;=Y$7)*($D$2:$D$501&lt;X$7)*($E$2:$E$501&gt;=$H54)*($E$2:$E$501&lt;$H53)," ")))</f>
        <v xml:space="preserve"> </v>
      </c>
      <c r="Y53" t="str" cm="1">
        <f t="array" ref="Y53">_xlfn.TEXTJOIN(",",TRUE,(_xlfn._xlws.FILTER($A$2:$A$501,($D$2:$D$501&gt;=Z$7)*($D$2:$D$501&lt;Y$7)*($E$2:$E$501&gt;=$H54)*($E$2:$E$501&lt;$H53)," ")))</f>
        <v xml:space="preserve"> </v>
      </c>
      <c r="Z53" t="str" cm="1">
        <f t="array" ref="Z53">_xlfn.TEXTJOIN(",",TRUE,(_xlfn._xlws.FILTER($A$2:$A$501,($D$2:$D$501&gt;=AA$7)*($D$2:$D$501&lt;Z$7)*($E$2:$E$501&gt;=$H54)*($E$2:$E$501&lt;$H53)," ")))</f>
        <v xml:space="preserve"> </v>
      </c>
      <c r="AA53" t="str" cm="1">
        <f t="array" ref="AA53">_xlfn.TEXTJOIN(",",TRUE,(_xlfn._xlws.FILTER($A$2:$A$501,($D$2:$D$501&gt;=AB$7)*($D$2:$D$501&lt;AA$7)*($E$2:$E$501&gt;=$H54)*($E$2:$E$501&lt;$H53)," ")))</f>
        <v xml:space="preserve"> </v>
      </c>
      <c r="AB53" t="str" cm="1">
        <f t="array" ref="AB53">_xlfn.TEXTJOIN(",",TRUE,(_xlfn._xlws.FILTER($A$2:$A$501,($D$2:$D$501&gt;=AC$7)*($D$2:$D$501&lt;AB$7)*($E$2:$E$501&gt;=$H54)*($E$2:$E$501&lt;$H53)," ")))</f>
        <v xml:space="preserve"> </v>
      </c>
      <c r="AC53" t="str" cm="1">
        <f t="array" ref="AC53">_xlfn.TEXTJOIN(",",TRUE,(_xlfn._xlws.FILTER($A$2:$A$501,($D$2:$D$501&gt;=AD$7)*($D$2:$D$501&lt;AC$7)*($E$2:$E$501&gt;=$H54)*($E$2:$E$501&lt;$H53)," ")))</f>
        <v xml:space="preserve"> </v>
      </c>
      <c r="AD53" t="str" cm="1">
        <f t="array" ref="AD53">_xlfn.TEXTJOIN(",",TRUE,(_xlfn._xlws.FILTER($A$2:$A$501,($D$2:$D$501&gt;=AE$7)*($D$2:$D$501&lt;AD$7)*($E$2:$E$501&gt;=$H54)*($E$2:$E$501&lt;$H53)," ")))</f>
        <v xml:space="preserve"> </v>
      </c>
      <c r="AE53" t="str" cm="1">
        <f t="array" ref="AE53">_xlfn.TEXTJOIN(",",TRUE,(_xlfn._xlws.FILTER($A$2:$A$501,($D$2:$D$501&gt;=AF$7)*($D$2:$D$501&lt;AE$7)*($E$2:$E$501&gt;=$H54)*($E$2:$E$501&lt;$H53)," ")))</f>
        <v xml:space="preserve"> </v>
      </c>
      <c r="AF53" t="str" cm="1">
        <f t="array" ref="AF53">_xlfn.TEXTJOIN(",",TRUE,(_xlfn._xlws.FILTER($A$2:$A$501,($D$2:$D$501&gt;=AG$7)*($D$2:$D$501&lt;AF$7)*($E$2:$E$501&gt;=$H54)*($E$2:$E$501&lt;$H53)," ")))</f>
        <v xml:space="preserve"> </v>
      </c>
      <c r="AG53" t="str" cm="1">
        <f t="array" ref="AG53">_xlfn.TEXTJOIN(",",TRUE,(_xlfn._xlws.FILTER($A$2:$A$501,($D$2:$D$501&gt;=AH$7)*($D$2:$D$501&lt;AG$7)*($E$2:$E$501&gt;=$H54)*($E$2:$E$501&lt;$H53)," ")))</f>
        <v xml:space="preserve"> </v>
      </c>
      <c r="AH53" t="str" cm="1">
        <f t="array" ref="AH53">_xlfn.TEXTJOIN(",",TRUE,(_xlfn._xlws.FILTER($A$2:$A$501,($D$2:$D$501&gt;=AI$7)*($D$2:$D$501&lt;AH$7)*($E$2:$E$501&gt;=$H54)*($E$2:$E$501&lt;$H53)," ")))</f>
        <v xml:space="preserve"> </v>
      </c>
      <c r="AI53" t="str" cm="1">
        <f t="array" ref="AI53">_xlfn.TEXTJOIN(",",TRUE,(_xlfn._xlws.FILTER($A$2:$A$501,($D$2:$D$501&gt;=AJ$7)*($D$2:$D$501&lt;AI$7)*($E$2:$E$501&gt;=$H54)*($E$2:$E$501&lt;$H53)," ")))</f>
        <v xml:space="preserve"> </v>
      </c>
      <c r="AJ53" t="str" cm="1">
        <f t="array" ref="AJ53">_xlfn.TEXTJOIN(",",TRUE,(_xlfn._xlws.FILTER($A$2:$A$501,($D$2:$D$501&gt;=AK$7)*($D$2:$D$501&lt;AJ$7)*($E$2:$E$501&gt;=$H54)*($E$2:$E$501&lt;$H53)," ")))</f>
        <v xml:space="preserve"> </v>
      </c>
      <c r="AK53" t="str" cm="1">
        <f t="array" ref="AK53">_xlfn.TEXTJOIN(",",TRUE,(_xlfn._xlws.FILTER($A$2:$A$501,($D$2:$D$501&gt;=AL$7)*($D$2:$D$501&lt;AK$7)*($E$2:$E$501&gt;=$H54)*($E$2:$E$501&lt;$H53)," ")))</f>
        <v xml:space="preserve"> </v>
      </c>
      <c r="AL53" t="str" cm="1">
        <f t="array" ref="AL53">_xlfn.TEXTJOIN(",",TRUE,(_xlfn._xlws.FILTER($A$2:$A$501,($D$2:$D$501&gt;=AM$7)*($D$2:$D$501&lt;AL$7)*($E$2:$E$501&gt;=$H54)*($E$2:$E$501&lt;$H53)," ")))</f>
        <v xml:space="preserve"> </v>
      </c>
      <c r="AM53" t="str" cm="1">
        <f t="array" ref="AM53">_xlfn.TEXTJOIN(",",TRUE,(_xlfn._xlws.FILTER($A$2:$A$501,($D$2:$D$501&gt;=AN$7)*($D$2:$D$501&lt;AM$7)*($E$2:$E$501&gt;=$H54)*($E$2:$E$501&lt;$H53)," ")))</f>
        <v xml:space="preserve"> </v>
      </c>
      <c r="AN53" t="str" cm="1">
        <f t="array" ref="AN53">_xlfn.TEXTJOIN(",",TRUE,(_xlfn._xlws.FILTER($A$2:$A$501,($D$2:$D$501&gt;=AO$7)*($D$2:$D$501&lt;AN$7)*($E$2:$E$501&gt;=$H54)*($E$2:$E$501&lt;$H53)," ")))</f>
        <v xml:space="preserve"> </v>
      </c>
      <c r="AO53" t="str" cm="1">
        <f t="array" ref="AO53">_xlfn.TEXTJOIN(",",TRUE,(_xlfn._xlws.FILTER($A$2:$A$501,($D$2:$D$501&gt;=AP$7)*($D$2:$D$501&lt;AO$7)*($E$2:$E$501&gt;=$H54)*($E$2:$E$501&lt;$H53)," ")))</f>
        <v xml:space="preserve"> </v>
      </c>
      <c r="AP53" t="str" cm="1">
        <f t="array" ref="AP53">_xlfn.TEXTJOIN(",",TRUE,(_xlfn._xlws.FILTER($A$2:$A$501,($D$2:$D$501&gt;=AQ$7)*($D$2:$D$501&lt;AP$7)*($E$2:$E$501&gt;=$H54)*($E$2:$E$501&lt;$H53)," ")))</f>
        <v xml:space="preserve"> </v>
      </c>
      <c r="AQ53" t="str" cm="1">
        <f t="array" ref="AQ53">_xlfn.TEXTJOIN(",",TRUE,(_xlfn._xlws.FILTER($A$2:$A$501,($D$2:$D$501&gt;=AR$7)*($D$2:$D$501&lt;AQ$7)*($E$2:$E$501&gt;=$H54)*($E$2:$E$501&lt;$H53)," ")))</f>
        <v xml:space="preserve"> </v>
      </c>
      <c r="AR53" t="str" cm="1">
        <f t="array" ref="AR53">_xlfn.TEXTJOIN(",",TRUE,(_xlfn._xlws.FILTER($A$2:$A$501,($D$2:$D$501&gt;=AS$7)*($D$2:$D$501&lt;AR$7)*($E$2:$E$501&gt;=$H54)*($E$2:$E$501&lt;$H53)," ")))</f>
        <v xml:space="preserve"> </v>
      </c>
      <c r="AS53" t="str" cm="1">
        <f t="array" ref="AS53">_xlfn.TEXTJOIN(",",TRUE,(_xlfn._xlws.FILTER($A$2:$A$501,($D$2:$D$501&gt;=AT$7)*($D$2:$D$501&lt;AS$7)*($E$2:$E$501&gt;=$H54)*($E$2:$E$501&lt;$H53)," ")))</f>
        <v xml:space="preserve"> </v>
      </c>
      <c r="AT53" t="str" cm="1">
        <f t="array" ref="AT53">_xlfn.TEXTJOIN(",",TRUE,(_xlfn._xlws.FILTER($A$2:$A$501,($D$2:$D$501&gt;=AU$7)*($D$2:$D$501&lt;AT$7)*($E$2:$E$501&gt;=$H54)*($E$2:$E$501&lt;$H53)," ")))</f>
        <v xml:space="preserve"> </v>
      </c>
      <c r="AU53" t="str" cm="1">
        <f t="array" ref="AU53">_xlfn.TEXTJOIN(",",TRUE,(_xlfn._xlws.FILTER($A$2:$A$501,($D$2:$D$501&gt;=AV$7)*($D$2:$D$501&lt;AU$7)*($E$2:$E$501&gt;=$H54)*($E$2:$E$501&lt;$H53)," ")))</f>
        <v xml:space="preserve"> </v>
      </c>
      <c r="AV53" t="str" cm="1">
        <f t="array" ref="AV53">_xlfn.TEXTJOIN(",",TRUE,(_xlfn._xlws.FILTER($A$2:$A$501,($D$2:$D$501&gt;=AW$7)*($D$2:$D$501&lt;AV$7)*($E$2:$E$501&gt;=$H54)*($E$2:$E$501&lt;$H53)," ")))</f>
        <v xml:space="preserve"> </v>
      </c>
      <c r="AW53" t="str" cm="1">
        <f t="array" ref="AW53">_xlfn.TEXTJOIN(",",TRUE,(_xlfn._xlws.FILTER($A$2:$A$501,($D$2:$D$501&gt;=AX$7)*($D$2:$D$501&lt;AW$7)*($E$2:$E$501&gt;=$H54)*($E$2:$E$501&lt;$H53)," ")))</f>
        <v xml:space="preserve"> </v>
      </c>
      <c r="AX53" t="str" cm="1">
        <f t="array" ref="AX53">_xlfn.TEXTJOIN(",",TRUE,(_xlfn._xlws.FILTER($A$2:$A$501,($D$2:$D$501&gt;=AY$7)*($D$2:$D$501&lt;AX$7)*($E$2:$E$501&gt;=$H54)*($E$2:$E$501&lt;$H53)," ")))</f>
        <v xml:space="preserve"> </v>
      </c>
      <c r="AY53" t="str" cm="1">
        <f t="array" ref="AY53">_xlfn.TEXTJOIN(",",TRUE,(_xlfn._xlws.FILTER($A$2:$A$501,($D$2:$D$501&gt;=AZ$7)*($D$2:$D$501&lt;AY$7)*($E$2:$E$501&gt;=$H54)*($E$2:$E$501&lt;$H53)," ")))</f>
        <v xml:space="preserve"> </v>
      </c>
      <c r="AZ53" t="str" cm="1">
        <f t="array" ref="AZ53">_xlfn.TEXTJOIN(",",TRUE,(_xlfn._xlws.FILTER($A$2:$A$501,($D$2:$D$501&gt;=BA$7)*($D$2:$D$501&lt;AZ$7)*($E$2:$E$501&gt;=$H54)*($E$2:$E$501&lt;$H53)," ")))</f>
        <v xml:space="preserve"> </v>
      </c>
      <c r="BA53" t="str" cm="1">
        <f t="array" ref="BA53">_xlfn.TEXTJOIN(",",TRUE,(_xlfn._xlws.FILTER($A$2:$A$501,($D$2:$D$501&gt;=BB$7)*($D$2:$D$501&lt;BA$7)*($E$2:$E$501&gt;=$H54)*($E$2:$E$501&lt;$H53)," ")))</f>
        <v xml:space="preserve"> </v>
      </c>
      <c r="BB53" t="str" cm="1">
        <f t="array" ref="BB53">_xlfn.TEXTJOIN(",",TRUE,(_xlfn._xlws.FILTER($A$2:$A$501,($D$2:$D$501&gt;=BC$7)*($D$2:$D$501&lt;BB$7)*($E$2:$E$501&gt;=$H54)*($E$2:$E$501&lt;$H53)," ")))</f>
        <v xml:space="preserve"> </v>
      </c>
    </row>
    <row r="54" spans="1:54" x14ac:dyDescent="0.2">
      <c r="A54" s="3" t="s">
        <v>483</v>
      </c>
      <c r="B54" s="3" t="s">
        <v>479</v>
      </c>
      <c r="C54" s="13">
        <v>696071.26</v>
      </c>
      <c r="D54" s="15">
        <v>13311167.75</v>
      </c>
      <c r="E54" s="22">
        <f>TuitionRates3[[#This Row],[Tuition]]/D54</f>
        <v>5.2292276160369175E-2</v>
      </c>
      <c r="F54"/>
      <c r="H54" s="18">
        <v>0.104</v>
      </c>
      <c r="I54" t="str" cm="1">
        <f t="array" ref="I54">_xlfn.TEXTJOIN(",",TRUE,(_xlfn._xlws.FILTER($A$2:$A$501,($D$2:$D$501&gt;=J$7)*($D$2:$D$501&lt;I$7)*($E$2:$E$501&gt;=$H55)*($E$2:$E$501&lt;$H54)," ")))</f>
        <v xml:space="preserve"> </v>
      </c>
      <c r="J54" t="str" cm="1">
        <f t="array" ref="J54">_xlfn.TEXTJOIN(",",TRUE,(_xlfn._xlws.FILTER($A$2:$A$501,($D$2:$D$501&gt;=K$7)*($D$2:$D$501&lt;J$7)*($E$2:$E$501&gt;=$H55)*($E$2:$E$501&lt;$H54)," ")))</f>
        <v xml:space="preserve"> </v>
      </c>
      <c r="K54" t="str" cm="1">
        <f t="array" ref="K54">_xlfn.TEXTJOIN(",",TRUE,(_xlfn._xlws.FILTER($A$2:$A$501,($D$2:$D$501&gt;=L$7)*($D$2:$D$501&lt;K$7)*($E$2:$E$501&gt;=$H55)*($E$2:$E$501&lt;$H54)," ")))</f>
        <v xml:space="preserve"> </v>
      </c>
      <c r="L54" t="str" cm="1">
        <f t="array" ref="L54">_xlfn.TEXTJOIN(",",TRUE,(_xlfn._xlws.FILTER($A$2:$A$501,($D$2:$D$501&gt;=M$7)*($D$2:$D$501&lt;L$7)*($E$2:$E$501&gt;=$H55)*($E$2:$E$501&lt;$H54)," ")))</f>
        <v xml:space="preserve"> </v>
      </c>
      <c r="M54" t="str" cm="1">
        <f t="array" ref="M54">_xlfn.TEXTJOIN(",",TRUE,(_xlfn._xlws.FILTER($A$2:$A$501,($D$2:$D$501&gt;=N$7)*($D$2:$D$501&lt;M$7)*($E$2:$E$501&gt;=$H55)*($E$2:$E$501&lt;$H54)," ")))</f>
        <v xml:space="preserve"> </v>
      </c>
      <c r="N54" t="str" cm="1">
        <f t="array" ref="N54">_xlfn.TEXTJOIN(",",TRUE,(_xlfn._xlws.FILTER($A$2:$A$501,($D$2:$D$501&gt;=O$7)*($D$2:$D$501&lt;N$7)*($E$2:$E$501&gt;=$H55)*($E$2:$E$501&lt;$H54)," ")))</f>
        <v xml:space="preserve"> </v>
      </c>
      <c r="O54" t="str" cm="1">
        <f t="array" ref="O54">_xlfn.TEXTJOIN(",",TRUE,(_xlfn._xlws.FILTER($A$2:$A$501,($D$2:$D$501&gt;=P$7)*($D$2:$D$501&lt;O$7)*($E$2:$E$501&gt;=$H55)*($E$2:$E$501&lt;$H54)," ")))</f>
        <v xml:space="preserve"> </v>
      </c>
      <c r="P54" t="str" cm="1">
        <f t="array" ref="P54">_xlfn.TEXTJOIN(",",TRUE,(_xlfn._xlws.FILTER($A$2:$A$501,($D$2:$D$501&gt;=Q$7)*($D$2:$D$501&lt;P$7)*($E$2:$E$501&gt;=$H55)*($E$2:$E$501&lt;$H54)," ")))</f>
        <v xml:space="preserve"> </v>
      </c>
      <c r="Q54" t="str" cm="1">
        <f t="array" ref="Q54">_xlfn.TEXTJOIN(",",TRUE,(_xlfn._xlws.FILTER($A$2:$A$501,($D$2:$D$501&gt;=R$7)*($D$2:$D$501&lt;Q$7)*($E$2:$E$501&gt;=$H55)*($E$2:$E$501&lt;$H54)," ")))</f>
        <v xml:space="preserve"> </v>
      </c>
      <c r="R54" t="str" cm="1">
        <f t="array" ref="R54">_xlfn.TEXTJOIN(",",TRUE,(_xlfn._xlws.FILTER($A$2:$A$501,($D$2:$D$501&gt;=S$7)*($D$2:$D$501&lt;R$7)*($E$2:$E$501&gt;=$H55)*($E$2:$E$501&lt;$H54)," ")))</f>
        <v xml:space="preserve"> </v>
      </c>
      <c r="S54" t="str" cm="1">
        <f t="array" ref="S54">_xlfn.TEXTJOIN(",",TRUE,(_xlfn._xlws.FILTER($A$2:$A$501,($D$2:$D$501&gt;=T$7)*($D$2:$D$501&lt;S$7)*($E$2:$E$501&gt;=$H55)*($E$2:$E$501&lt;$H54)," ")))</f>
        <v xml:space="preserve"> </v>
      </c>
      <c r="T54" t="str" cm="1">
        <f t="array" ref="T54">_xlfn.TEXTJOIN(",",TRUE,(_xlfn._xlws.FILTER($A$2:$A$501,($D$2:$D$501&gt;=U$7)*($D$2:$D$501&lt;T$7)*($E$2:$E$501&gt;=$H55)*($E$2:$E$501&lt;$H54)," ")))</f>
        <v xml:space="preserve"> </v>
      </c>
      <c r="U54" t="str" cm="1">
        <f t="array" ref="U54">_xlfn.TEXTJOIN(",",TRUE,(_xlfn._xlws.FILTER($A$2:$A$501,($D$2:$D$501&gt;=V$7)*($D$2:$D$501&lt;U$7)*($E$2:$E$501&gt;=$H55)*($E$2:$E$501&lt;$H54)," ")))</f>
        <v xml:space="preserve"> </v>
      </c>
      <c r="V54" t="str" cm="1">
        <f t="array" ref="V54">_xlfn.TEXTJOIN(",",TRUE,(_xlfn._xlws.FILTER($A$2:$A$501,($D$2:$D$501&gt;=W$7)*($D$2:$D$501&lt;V$7)*($E$2:$E$501&gt;=$H55)*($E$2:$E$501&lt;$H54)," ")))</f>
        <v xml:space="preserve"> </v>
      </c>
      <c r="W54" t="str" cm="1">
        <f t="array" ref="W54">_xlfn.TEXTJOIN(",",TRUE,(_xlfn._xlws.FILTER($A$2:$A$501,($D$2:$D$501&gt;=X$7)*($D$2:$D$501&lt;W$7)*($E$2:$E$501&gt;=$H55)*($E$2:$E$501&lt;$H54)," ")))</f>
        <v xml:space="preserve"> </v>
      </c>
      <c r="X54" t="str" cm="1">
        <f t="array" ref="X54">_xlfn.TEXTJOIN(",",TRUE,(_xlfn._xlws.FILTER($A$2:$A$501,($D$2:$D$501&gt;=Y$7)*($D$2:$D$501&lt;X$7)*($E$2:$E$501&gt;=$H55)*($E$2:$E$501&lt;$H54)," ")))</f>
        <v xml:space="preserve"> </v>
      </c>
      <c r="Y54" t="str" cm="1">
        <f t="array" ref="Y54">_xlfn.TEXTJOIN(",",TRUE,(_xlfn._xlws.FILTER($A$2:$A$501,($D$2:$D$501&gt;=Z$7)*($D$2:$D$501&lt;Y$7)*($E$2:$E$501&gt;=$H55)*($E$2:$E$501&lt;$H54)," ")))</f>
        <v xml:space="preserve"> </v>
      </c>
      <c r="Z54" t="str" cm="1">
        <f t="array" ref="Z54">_xlfn.TEXTJOIN(",",TRUE,(_xlfn._xlws.FILTER($A$2:$A$501,($D$2:$D$501&gt;=AA$7)*($D$2:$D$501&lt;Z$7)*($E$2:$E$501&gt;=$H55)*($E$2:$E$501&lt;$H54)," ")))</f>
        <v xml:space="preserve"> </v>
      </c>
      <c r="AA54" t="str" cm="1">
        <f t="array" ref="AA54">_xlfn.TEXTJOIN(",",TRUE,(_xlfn._xlws.FILTER($A$2:$A$501,($D$2:$D$501&gt;=AB$7)*($D$2:$D$501&lt;AA$7)*($E$2:$E$501&gt;=$H55)*($E$2:$E$501&lt;$H54)," ")))</f>
        <v xml:space="preserve"> </v>
      </c>
      <c r="AB54" t="str" cm="1">
        <f t="array" ref="AB54">_xlfn.TEXTJOIN(",",TRUE,(_xlfn._xlws.FILTER($A$2:$A$501,($D$2:$D$501&gt;=AC$7)*($D$2:$D$501&lt;AB$7)*($E$2:$E$501&gt;=$H55)*($E$2:$E$501&lt;$H54)," ")))</f>
        <v xml:space="preserve"> </v>
      </c>
      <c r="AC54" t="str" cm="1">
        <f t="array" ref="AC54">_xlfn.TEXTJOIN(",",TRUE,(_xlfn._xlws.FILTER($A$2:$A$501,($D$2:$D$501&gt;=AD$7)*($D$2:$D$501&lt;AC$7)*($E$2:$E$501&gt;=$H55)*($E$2:$E$501&lt;$H54)," ")))</f>
        <v xml:space="preserve"> </v>
      </c>
      <c r="AD54" t="str" cm="1">
        <f t="array" ref="AD54">_xlfn.TEXTJOIN(",",TRUE,(_xlfn._xlws.FILTER($A$2:$A$501,($D$2:$D$501&gt;=AE$7)*($D$2:$D$501&lt;AD$7)*($E$2:$E$501&gt;=$H55)*($E$2:$E$501&lt;$H54)," ")))</f>
        <v xml:space="preserve"> </v>
      </c>
      <c r="AE54" t="str" cm="1">
        <f t="array" ref="AE54">_xlfn.TEXTJOIN(",",TRUE,(_xlfn._xlws.FILTER($A$2:$A$501,($D$2:$D$501&gt;=AF$7)*($D$2:$D$501&lt;AE$7)*($E$2:$E$501&gt;=$H55)*($E$2:$E$501&lt;$H54)," ")))</f>
        <v xml:space="preserve"> </v>
      </c>
      <c r="AF54" t="str" cm="1">
        <f t="array" ref="AF54">_xlfn.TEXTJOIN(",",TRUE,(_xlfn._xlws.FILTER($A$2:$A$501,($D$2:$D$501&gt;=AG$7)*($D$2:$D$501&lt;AF$7)*($E$2:$E$501&gt;=$H55)*($E$2:$E$501&lt;$H54)," ")))</f>
        <v xml:space="preserve"> </v>
      </c>
      <c r="AG54" t="str" cm="1">
        <f t="array" ref="AG54">_xlfn.TEXTJOIN(",",TRUE,(_xlfn._xlws.FILTER($A$2:$A$501,($D$2:$D$501&gt;=AH$7)*($D$2:$D$501&lt;AG$7)*($E$2:$E$501&gt;=$H55)*($E$2:$E$501&lt;$H54)," ")))</f>
        <v xml:space="preserve"> </v>
      </c>
      <c r="AH54" t="str" cm="1">
        <f t="array" ref="AH54">_xlfn.TEXTJOIN(",",TRUE,(_xlfn._xlws.FILTER($A$2:$A$501,($D$2:$D$501&gt;=AI$7)*($D$2:$D$501&lt;AH$7)*($E$2:$E$501&gt;=$H55)*($E$2:$E$501&lt;$H54)," ")))</f>
        <v xml:space="preserve"> </v>
      </c>
      <c r="AI54" t="str" cm="1">
        <f t="array" ref="AI54">_xlfn.TEXTJOIN(",",TRUE,(_xlfn._xlws.FILTER($A$2:$A$501,($D$2:$D$501&gt;=AJ$7)*($D$2:$D$501&lt;AI$7)*($E$2:$E$501&gt;=$H55)*($E$2:$E$501&lt;$H54)," ")))</f>
        <v xml:space="preserve"> </v>
      </c>
      <c r="AJ54" t="str" cm="1">
        <f t="array" ref="AJ54">_xlfn.TEXTJOIN(",",TRUE,(_xlfn._xlws.FILTER($A$2:$A$501,($D$2:$D$501&gt;=AK$7)*($D$2:$D$501&lt;AJ$7)*($E$2:$E$501&gt;=$H55)*($E$2:$E$501&lt;$H54)," ")))</f>
        <v xml:space="preserve"> </v>
      </c>
      <c r="AK54" t="str" cm="1">
        <f t="array" ref="AK54">_xlfn.TEXTJOIN(",",TRUE,(_xlfn._xlws.FILTER($A$2:$A$501,($D$2:$D$501&gt;=AL$7)*($D$2:$D$501&lt;AK$7)*($E$2:$E$501&gt;=$H55)*($E$2:$E$501&lt;$H54)," ")))</f>
        <v xml:space="preserve"> </v>
      </c>
      <c r="AL54" t="str" cm="1">
        <f t="array" ref="AL54">_xlfn.TEXTJOIN(",",TRUE,(_xlfn._xlws.FILTER($A$2:$A$501,($D$2:$D$501&gt;=AM$7)*($D$2:$D$501&lt;AL$7)*($E$2:$E$501&gt;=$H55)*($E$2:$E$501&lt;$H54)," ")))</f>
        <v xml:space="preserve"> </v>
      </c>
      <c r="AM54" t="str" cm="1">
        <f t="array" ref="AM54">_xlfn.TEXTJOIN(",",TRUE,(_xlfn._xlws.FILTER($A$2:$A$501,($D$2:$D$501&gt;=AN$7)*($D$2:$D$501&lt;AM$7)*($E$2:$E$501&gt;=$H55)*($E$2:$E$501&lt;$H54)," ")))</f>
        <v xml:space="preserve"> </v>
      </c>
      <c r="AN54" t="str" cm="1">
        <f t="array" ref="AN54">_xlfn.TEXTJOIN(",",TRUE,(_xlfn._xlws.FILTER($A$2:$A$501,($D$2:$D$501&gt;=AO$7)*($D$2:$D$501&lt;AN$7)*($E$2:$E$501&gt;=$H55)*($E$2:$E$501&lt;$H54)," ")))</f>
        <v xml:space="preserve"> </v>
      </c>
      <c r="AO54" t="str" cm="1">
        <f t="array" ref="AO54">_xlfn.TEXTJOIN(",",TRUE,(_xlfn._xlws.FILTER($A$2:$A$501,($D$2:$D$501&gt;=AP$7)*($D$2:$D$501&lt;AO$7)*($E$2:$E$501&gt;=$H55)*($E$2:$E$501&lt;$H54)," ")))</f>
        <v xml:space="preserve"> </v>
      </c>
      <c r="AP54" t="str" cm="1">
        <f t="array" ref="AP54">_xlfn.TEXTJOIN(",",TRUE,(_xlfn._xlws.FILTER($A$2:$A$501,($D$2:$D$501&gt;=AQ$7)*($D$2:$D$501&lt;AP$7)*($E$2:$E$501&gt;=$H55)*($E$2:$E$501&lt;$H54)," ")))</f>
        <v xml:space="preserve"> </v>
      </c>
      <c r="AQ54" t="str" cm="1">
        <f t="array" ref="AQ54">_xlfn.TEXTJOIN(",",TRUE,(_xlfn._xlws.FILTER($A$2:$A$501,($D$2:$D$501&gt;=AR$7)*($D$2:$D$501&lt;AQ$7)*($E$2:$E$501&gt;=$H55)*($E$2:$E$501&lt;$H54)," ")))</f>
        <v xml:space="preserve"> </v>
      </c>
      <c r="AR54" t="str" cm="1">
        <f t="array" ref="AR54">_xlfn.TEXTJOIN(",",TRUE,(_xlfn._xlws.FILTER($A$2:$A$501,($D$2:$D$501&gt;=AS$7)*($D$2:$D$501&lt;AR$7)*($E$2:$E$501&gt;=$H55)*($E$2:$E$501&lt;$H54)," ")))</f>
        <v xml:space="preserve"> </v>
      </c>
      <c r="AS54" t="str" cm="1">
        <f t="array" ref="AS54">_xlfn.TEXTJOIN(",",TRUE,(_xlfn._xlws.FILTER($A$2:$A$501,($D$2:$D$501&gt;=AT$7)*($D$2:$D$501&lt;AS$7)*($E$2:$E$501&gt;=$H55)*($E$2:$E$501&lt;$H54)," ")))</f>
        <v xml:space="preserve"> </v>
      </c>
      <c r="AT54" t="str" cm="1">
        <f t="array" ref="AT54">_xlfn.TEXTJOIN(",",TRUE,(_xlfn._xlws.FILTER($A$2:$A$501,($D$2:$D$501&gt;=AU$7)*($D$2:$D$501&lt;AT$7)*($E$2:$E$501&gt;=$H55)*($E$2:$E$501&lt;$H54)," ")))</f>
        <v xml:space="preserve"> </v>
      </c>
      <c r="AU54" t="str" cm="1">
        <f t="array" ref="AU54">_xlfn.TEXTJOIN(",",TRUE,(_xlfn._xlws.FILTER($A$2:$A$501,($D$2:$D$501&gt;=AV$7)*($D$2:$D$501&lt;AU$7)*($E$2:$E$501&gt;=$H55)*($E$2:$E$501&lt;$H54)," ")))</f>
        <v xml:space="preserve"> </v>
      </c>
      <c r="AV54" t="str" cm="1">
        <f t="array" ref="AV54">_xlfn.TEXTJOIN(",",TRUE,(_xlfn._xlws.FILTER($A$2:$A$501,($D$2:$D$501&gt;=AW$7)*($D$2:$D$501&lt;AV$7)*($E$2:$E$501&gt;=$H55)*($E$2:$E$501&lt;$H54)," ")))</f>
        <v xml:space="preserve"> </v>
      </c>
      <c r="AW54" t="str" cm="1">
        <f t="array" ref="AW54">_xlfn.TEXTJOIN(",",TRUE,(_xlfn._xlws.FILTER($A$2:$A$501,($D$2:$D$501&gt;=AX$7)*($D$2:$D$501&lt;AW$7)*($E$2:$E$501&gt;=$H55)*($E$2:$E$501&lt;$H54)," ")))</f>
        <v xml:space="preserve"> </v>
      </c>
      <c r="AX54" t="str" cm="1">
        <f t="array" ref="AX54">_xlfn.TEXTJOIN(",",TRUE,(_xlfn._xlws.FILTER($A$2:$A$501,($D$2:$D$501&gt;=AY$7)*($D$2:$D$501&lt;AX$7)*($E$2:$E$501&gt;=$H55)*($E$2:$E$501&lt;$H54)," ")))</f>
        <v xml:space="preserve"> </v>
      </c>
      <c r="AY54" t="str" cm="1">
        <f t="array" ref="AY54">_xlfn.TEXTJOIN(",",TRUE,(_xlfn._xlws.FILTER($A$2:$A$501,($D$2:$D$501&gt;=AZ$7)*($D$2:$D$501&lt;AY$7)*($E$2:$E$501&gt;=$H55)*($E$2:$E$501&lt;$H54)," ")))</f>
        <v xml:space="preserve"> </v>
      </c>
      <c r="AZ54" t="str" cm="1">
        <f t="array" ref="AZ54">_xlfn.TEXTJOIN(",",TRUE,(_xlfn._xlws.FILTER($A$2:$A$501,($D$2:$D$501&gt;=BA$7)*($D$2:$D$501&lt;AZ$7)*($E$2:$E$501&gt;=$H55)*($E$2:$E$501&lt;$H54)," ")))</f>
        <v xml:space="preserve"> </v>
      </c>
      <c r="BA54" t="str" cm="1">
        <f t="array" ref="BA54">_xlfn.TEXTJOIN(",",TRUE,(_xlfn._xlws.FILTER($A$2:$A$501,($D$2:$D$501&gt;=BB$7)*($D$2:$D$501&lt;BA$7)*($E$2:$E$501&gt;=$H55)*($E$2:$E$501&lt;$H54)," ")))</f>
        <v xml:space="preserve"> </v>
      </c>
      <c r="BB54" t="str" cm="1">
        <f t="array" ref="BB54">_xlfn.TEXTJOIN(",",TRUE,(_xlfn._xlws.FILTER($A$2:$A$501,($D$2:$D$501&gt;=BC$7)*($D$2:$D$501&lt;BB$7)*($E$2:$E$501&gt;=$H55)*($E$2:$E$501&lt;$H54)," ")))</f>
        <v xml:space="preserve"> </v>
      </c>
    </row>
    <row r="55" spans="1:54" x14ac:dyDescent="0.2">
      <c r="A55" s="3" t="s">
        <v>58</v>
      </c>
      <c r="B55" s="3" t="s">
        <v>55</v>
      </c>
      <c r="C55" s="13">
        <v>902708.75</v>
      </c>
      <c r="D55" s="15">
        <v>17331066.809999999</v>
      </c>
      <c r="E55" s="22">
        <f>TuitionRates3[[#This Row],[Tuition]]/D55</f>
        <v>5.2086161798138041E-2</v>
      </c>
      <c r="F55"/>
      <c r="H55" s="18">
        <v>0.10299999999999999</v>
      </c>
      <c r="I55" t="str" cm="1">
        <f t="array" ref="I55">_xlfn.TEXTJOIN(",",TRUE,(_xlfn._xlws.FILTER($A$2:$A$501,($D$2:$D$501&gt;=J$7)*($D$2:$D$501&lt;I$7)*($E$2:$E$501&gt;=$H56)*($E$2:$E$501&lt;$H55)," ")))</f>
        <v xml:space="preserve"> </v>
      </c>
      <c r="J55" t="str" cm="1">
        <f t="array" ref="J55">_xlfn.TEXTJOIN(",",TRUE,(_xlfn._xlws.FILTER($A$2:$A$501,($D$2:$D$501&gt;=K$7)*($D$2:$D$501&lt;J$7)*($E$2:$E$501&gt;=$H56)*($E$2:$E$501&lt;$H55)," ")))</f>
        <v xml:space="preserve"> </v>
      </c>
      <c r="K55" t="str" cm="1">
        <f t="array" ref="K55">_xlfn.TEXTJOIN(",",TRUE,(_xlfn._xlws.FILTER($A$2:$A$501,($D$2:$D$501&gt;=L$7)*($D$2:$D$501&lt;K$7)*($E$2:$E$501&gt;=$H56)*($E$2:$E$501&lt;$H55)," ")))</f>
        <v xml:space="preserve"> </v>
      </c>
      <c r="L55" t="str" cm="1">
        <f t="array" ref="L55">_xlfn.TEXTJOIN(",",TRUE,(_xlfn._xlws.FILTER($A$2:$A$501,($D$2:$D$501&gt;=M$7)*($D$2:$D$501&lt;L$7)*($E$2:$E$501&gt;=$H56)*($E$2:$E$501&lt;$H55)," ")))</f>
        <v xml:space="preserve"> </v>
      </c>
      <c r="M55" t="str" cm="1">
        <f t="array" ref="M55">_xlfn.TEXTJOIN(",",TRUE,(_xlfn._xlws.FILTER($A$2:$A$501,($D$2:$D$501&gt;=N$7)*($D$2:$D$501&lt;M$7)*($E$2:$E$501&gt;=$H56)*($E$2:$E$501&lt;$H55)," ")))</f>
        <v xml:space="preserve"> </v>
      </c>
      <c r="N55" t="str" cm="1">
        <f t="array" ref="N55">_xlfn.TEXTJOIN(",",TRUE,(_xlfn._xlws.FILTER($A$2:$A$501,($D$2:$D$501&gt;=O$7)*($D$2:$D$501&lt;N$7)*($E$2:$E$501&gt;=$H56)*($E$2:$E$501&lt;$H55)," ")))</f>
        <v xml:space="preserve"> </v>
      </c>
      <c r="O55" t="str" cm="1">
        <f t="array" ref="O55">_xlfn.TEXTJOIN(",",TRUE,(_xlfn._xlws.FILTER($A$2:$A$501,($D$2:$D$501&gt;=P$7)*($D$2:$D$501&lt;O$7)*($E$2:$E$501&gt;=$H56)*($E$2:$E$501&lt;$H55)," ")))</f>
        <v xml:space="preserve"> </v>
      </c>
      <c r="P55" t="str" cm="1">
        <f t="array" ref="P55">_xlfn.TEXTJOIN(",",TRUE,(_xlfn._xlws.FILTER($A$2:$A$501,($D$2:$D$501&gt;=Q$7)*($D$2:$D$501&lt;P$7)*($E$2:$E$501&gt;=$H56)*($E$2:$E$501&lt;$H55)," ")))</f>
        <v xml:space="preserve"> </v>
      </c>
      <c r="Q55" t="str" cm="1">
        <f t="array" ref="Q55">_xlfn.TEXTJOIN(",",TRUE,(_xlfn._xlws.FILTER($A$2:$A$501,($D$2:$D$501&gt;=R$7)*($D$2:$D$501&lt;Q$7)*($E$2:$E$501&gt;=$H56)*($E$2:$E$501&lt;$H55)," ")))</f>
        <v xml:space="preserve"> </v>
      </c>
      <c r="R55" t="str" cm="1">
        <f t="array" ref="R55">_xlfn.TEXTJOIN(",",TRUE,(_xlfn._xlws.FILTER($A$2:$A$501,($D$2:$D$501&gt;=S$7)*($D$2:$D$501&lt;R$7)*($E$2:$E$501&gt;=$H56)*($E$2:$E$501&lt;$H55)," ")))</f>
        <v xml:space="preserve"> </v>
      </c>
      <c r="S55" t="str" cm="1">
        <f t="array" ref="S55">_xlfn.TEXTJOIN(",",TRUE,(_xlfn._xlws.FILTER($A$2:$A$501,($D$2:$D$501&gt;=T$7)*($D$2:$D$501&lt;S$7)*($E$2:$E$501&gt;=$H56)*($E$2:$E$501&lt;$H55)," ")))</f>
        <v xml:space="preserve"> </v>
      </c>
      <c r="T55" t="str" cm="1">
        <f t="array" ref="T55">_xlfn.TEXTJOIN(",",TRUE,(_xlfn._xlws.FILTER($A$2:$A$501,($D$2:$D$501&gt;=U$7)*($D$2:$D$501&lt;T$7)*($E$2:$E$501&gt;=$H56)*($E$2:$E$501&lt;$H55)," ")))</f>
        <v xml:space="preserve"> </v>
      </c>
      <c r="U55" t="str" cm="1">
        <f t="array" ref="U55">_xlfn.TEXTJOIN(",",TRUE,(_xlfn._xlws.FILTER($A$2:$A$501,($D$2:$D$501&gt;=V$7)*($D$2:$D$501&lt;U$7)*($E$2:$E$501&gt;=$H56)*($E$2:$E$501&lt;$H55)," ")))</f>
        <v xml:space="preserve"> </v>
      </c>
      <c r="V55" t="str" cm="1">
        <f t="array" ref="V55">_xlfn.TEXTJOIN(",",TRUE,(_xlfn._xlws.FILTER($A$2:$A$501,($D$2:$D$501&gt;=W$7)*($D$2:$D$501&lt;V$7)*($E$2:$E$501&gt;=$H56)*($E$2:$E$501&lt;$H55)," ")))</f>
        <v xml:space="preserve"> </v>
      </c>
      <c r="W55" t="str" cm="1">
        <f t="array" ref="W55">_xlfn.TEXTJOIN(",",TRUE,(_xlfn._xlws.FILTER($A$2:$A$501,($D$2:$D$501&gt;=X$7)*($D$2:$D$501&lt;W$7)*($E$2:$E$501&gt;=$H56)*($E$2:$E$501&lt;$H55)," ")))</f>
        <v xml:space="preserve"> </v>
      </c>
      <c r="X55" t="str" cm="1">
        <f t="array" ref="X55">_xlfn.TEXTJOIN(",",TRUE,(_xlfn._xlws.FILTER($A$2:$A$501,($D$2:$D$501&gt;=Y$7)*($D$2:$D$501&lt;X$7)*($E$2:$E$501&gt;=$H56)*($E$2:$E$501&lt;$H55)," ")))</f>
        <v xml:space="preserve"> </v>
      </c>
      <c r="Y55" t="str" cm="1">
        <f t="array" ref="Y55">_xlfn.TEXTJOIN(",",TRUE,(_xlfn._xlws.FILTER($A$2:$A$501,($D$2:$D$501&gt;=Z$7)*($D$2:$D$501&lt;Y$7)*($E$2:$E$501&gt;=$H56)*($E$2:$E$501&lt;$H55)," ")))</f>
        <v xml:space="preserve"> </v>
      </c>
      <c r="Z55" t="str" cm="1">
        <f t="array" ref="Z55">_xlfn.TEXTJOIN(",",TRUE,(_xlfn._xlws.FILTER($A$2:$A$501,($D$2:$D$501&gt;=AA$7)*($D$2:$D$501&lt;Z$7)*($E$2:$E$501&gt;=$H56)*($E$2:$E$501&lt;$H55)," ")))</f>
        <v xml:space="preserve"> </v>
      </c>
      <c r="AA55" t="str" cm="1">
        <f t="array" ref="AA55">_xlfn.TEXTJOIN(",",TRUE,(_xlfn._xlws.FILTER($A$2:$A$501,($D$2:$D$501&gt;=AB$7)*($D$2:$D$501&lt;AA$7)*($E$2:$E$501&gt;=$H56)*($E$2:$E$501&lt;$H55)," ")))</f>
        <v xml:space="preserve"> </v>
      </c>
      <c r="AB55" t="str" cm="1">
        <f t="array" ref="AB55">_xlfn.TEXTJOIN(",",TRUE,(_xlfn._xlws.FILTER($A$2:$A$501,($D$2:$D$501&gt;=AC$7)*($D$2:$D$501&lt;AB$7)*($E$2:$E$501&gt;=$H56)*($E$2:$E$501&lt;$H55)," ")))</f>
        <v xml:space="preserve"> </v>
      </c>
      <c r="AC55" t="str" cm="1">
        <f t="array" ref="AC55">_xlfn.TEXTJOIN(",",TRUE,(_xlfn._xlws.FILTER($A$2:$A$501,($D$2:$D$501&gt;=AD$7)*($D$2:$D$501&lt;AC$7)*($E$2:$E$501&gt;=$H56)*($E$2:$E$501&lt;$H55)," ")))</f>
        <v xml:space="preserve"> </v>
      </c>
      <c r="AD55" t="str" cm="1">
        <f t="array" ref="AD55">_xlfn.TEXTJOIN(",",TRUE,(_xlfn._xlws.FILTER($A$2:$A$501,($D$2:$D$501&gt;=AE$7)*($D$2:$D$501&lt;AD$7)*($E$2:$E$501&gt;=$H56)*($E$2:$E$501&lt;$H55)," ")))</f>
        <v xml:space="preserve"> </v>
      </c>
      <c r="AE55" t="str" cm="1">
        <f t="array" ref="AE55">_xlfn.TEXTJOIN(",",TRUE,(_xlfn._xlws.FILTER($A$2:$A$501,($D$2:$D$501&gt;=AF$7)*($D$2:$D$501&lt;AE$7)*($E$2:$E$501&gt;=$H56)*($E$2:$E$501&lt;$H55)," ")))</f>
        <v xml:space="preserve"> </v>
      </c>
      <c r="AF55" t="str" cm="1">
        <f t="array" ref="AF55">_xlfn.TEXTJOIN(",",TRUE,(_xlfn._xlws.FILTER($A$2:$A$501,($D$2:$D$501&gt;=AG$7)*($D$2:$D$501&lt;AF$7)*($E$2:$E$501&gt;=$H56)*($E$2:$E$501&lt;$H55)," ")))</f>
        <v xml:space="preserve"> </v>
      </c>
      <c r="AG55" t="str" cm="1">
        <f t="array" ref="AG55">_xlfn.TEXTJOIN(",",TRUE,(_xlfn._xlws.FILTER($A$2:$A$501,($D$2:$D$501&gt;=AH$7)*($D$2:$D$501&lt;AG$7)*($E$2:$E$501&gt;=$H56)*($E$2:$E$501&lt;$H55)," ")))</f>
        <v xml:space="preserve"> </v>
      </c>
      <c r="AH55" t="str" cm="1">
        <f t="array" ref="AH55">_xlfn.TEXTJOIN(",",TRUE,(_xlfn._xlws.FILTER($A$2:$A$501,($D$2:$D$501&gt;=AI$7)*($D$2:$D$501&lt;AH$7)*($E$2:$E$501&gt;=$H56)*($E$2:$E$501&lt;$H55)," ")))</f>
        <v xml:space="preserve"> </v>
      </c>
      <c r="AI55" t="str" cm="1">
        <f t="array" ref="AI55">_xlfn.TEXTJOIN(",",TRUE,(_xlfn._xlws.FILTER($A$2:$A$501,($D$2:$D$501&gt;=AJ$7)*($D$2:$D$501&lt;AI$7)*($E$2:$E$501&gt;=$H56)*($E$2:$E$501&lt;$H55)," ")))</f>
        <v xml:space="preserve"> </v>
      </c>
      <c r="AJ55" t="str" cm="1">
        <f t="array" ref="AJ55">_xlfn.TEXTJOIN(",",TRUE,(_xlfn._xlws.FILTER($A$2:$A$501,($D$2:$D$501&gt;=AK$7)*($D$2:$D$501&lt;AJ$7)*($E$2:$E$501&gt;=$H56)*($E$2:$E$501&lt;$H55)," ")))</f>
        <v xml:space="preserve"> </v>
      </c>
      <c r="AK55" t="str" cm="1">
        <f t="array" ref="AK55">_xlfn.TEXTJOIN(",",TRUE,(_xlfn._xlws.FILTER($A$2:$A$501,($D$2:$D$501&gt;=AL$7)*($D$2:$D$501&lt;AK$7)*($E$2:$E$501&gt;=$H56)*($E$2:$E$501&lt;$H55)," ")))</f>
        <v xml:space="preserve"> </v>
      </c>
      <c r="AL55" t="str" cm="1">
        <f t="array" ref="AL55">_xlfn.TEXTJOIN(",",TRUE,(_xlfn._xlws.FILTER($A$2:$A$501,($D$2:$D$501&gt;=AM$7)*($D$2:$D$501&lt;AL$7)*($E$2:$E$501&gt;=$H56)*($E$2:$E$501&lt;$H55)," ")))</f>
        <v xml:space="preserve"> </v>
      </c>
      <c r="AM55" t="str" cm="1">
        <f t="array" ref="AM55">_xlfn.TEXTJOIN(",",TRUE,(_xlfn._xlws.FILTER($A$2:$A$501,($D$2:$D$501&gt;=AN$7)*($D$2:$D$501&lt;AM$7)*($E$2:$E$501&gt;=$H56)*($E$2:$E$501&lt;$H55)," ")))</f>
        <v xml:space="preserve"> </v>
      </c>
      <c r="AN55" t="str" cm="1">
        <f t="array" ref="AN55">_xlfn.TEXTJOIN(",",TRUE,(_xlfn._xlws.FILTER($A$2:$A$501,($D$2:$D$501&gt;=AO$7)*($D$2:$D$501&lt;AN$7)*($E$2:$E$501&gt;=$H56)*($E$2:$E$501&lt;$H55)," ")))</f>
        <v xml:space="preserve"> </v>
      </c>
      <c r="AO55" t="str" cm="1">
        <f t="array" ref="AO55">_xlfn.TEXTJOIN(",",TRUE,(_xlfn._xlws.FILTER($A$2:$A$501,($D$2:$D$501&gt;=AP$7)*($D$2:$D$501&lt;AO$7)*($E$2:$E$501&gt;=$H56)*($E$2:$E$501&lt;$H55)," ")))</f>
        <v xml:space="preserve"> </v>
      </c>
      <c r="AP55" t="str" cm="1">
        <f t="array" ref="AP55">_xlfn.TEXTJOIN(",",TRUE,(_xlfn._xlws.FILTER($A$2:$A$501,($D$2:$D$501&gt;=AQ$7)*($D$2:$D$501&lt;AP$7)*($E$2:$E$501&gt;=$H56)*($E$2:$E$501&lt;$H55)," ")))</f>
        <v xml:space="preserve"> </v>
      </c>
      <c r="AQ55" t="str" cm="1">
        <f t="array" ref="AQ55">_xlfn.TEXTJOIN(",",TRUE,(_xlfn._xlws.FILTER($A$2:$A$501,($D$2:$D$501&gt;=AR$7)*($D$2:$D$501&lt;AQ$7)*($E$2:$E$501&gt;=$H56)*($E$2:$E$501&lt;$H55)," ")))</f>
        <v xml:space="preserve"> </v>
      </c>
      <c r="AR55" t="str" cm="1">
        <f t="array" ref="AR55">_xlfn.TEXTJOIN(",",TRUE,(_xlfn._xlws.FILTER($A$2:$A$501,($D$2:$D$501&gt;=AS$7)*($D$2:$D$501&lt;AR$7)*($E$2:$E$501&gt;=$H56)*($E$2:$E$501&lt;$H55)," ")))</f>
        <v xml:space="preserve"> </v>
      </c>
      <c r="AS55" t="str" cm="1">
        <f t="array" ref="AS55">_xlfn.TEXTJOIN(",",TRUE,(_xlfn._xlws.FILTER($A$2:$A$501,($D$2:$D$501&gt;=AT$7)*($D$2:$D$501&lt;AS$7)*($E$2:$E$501&gt;=$H56)*($E$2:$E$501&lt;$H55)," ")))</f>
        <v xml:space="preserve"> </v>
      </c>
      <c r="AT55" t="str" cm="1">
        <f t="array" ref="AT55">_xlfn.TEXTJOIN(",",TRUE,(_xlfn._xlws.FILTER($A$2:$A$501,($D$2:$D$501&gt;=AU$7)*($D$2:$D$501&lt;AT$7)*($E$2:$E$501&gt;=$H56)*($E$2:$E$501&lt;$H55)," ")))</f>
        <v xml:space="preserve"> </v>
      </c>
      <c r="AU55" t="str" cm="1">
        <f t="array" ref="AU55">_xlfn.TEXTJOIN(",",TRUE,(_xlfn._xlws.FILTER($A$2:$A$501,($D$2:$D$501&gt;=AV$7)*($D$2:$D$501&lt;AU$7)*($E$2:$E$501&gt;=$H56)*($E$2:$E$501&lt;$H55)," ")))</f>
        <v xml:space="preserve"> </v>
      </c>
      <c r="AV55" t="str" cm="1">
        <f t="array" ref="AV55">_xlfn.TEXTJOIN(",",TRUE,(_xlfn._xlws.FILTER($A$2:$A$501,($D$2:$D$501&gt;=AW$7)*($D$2:$D$501&lt;AV$7)*($E$2:$E$501&gt;=$H56)*($E$2:$E$501&lt;$H55)," ")))</f>
        <v xml:space="preserve"> </v>
      </c>
      <c r="AW55" t="str" cm="1">
        <f t="array" ref="AW55">_xlfn.TEXTJOIN(",",TRUE,(_xlfn._xlws.FILTER($A$2:$A$501,($D$2:$D$501&gt;=AX$7)*($D$2:$D$501&lt;AW$7)*($E$2:$E$501&gt;=$H56)*($E$2:$E$501&lt;$H55)," ")))</f>
        <v xml:space="preserve"> </v>
      </c>
      <c r="AX55" t="str" cm="1">
        <f t="array" ref="AX55">_xlfn.TEXTJOIN(",",TRUE,(_xlfn._xlws.FILTER($A$2:$A$501,($D$2:$D$501&gt;=AY$7)*($D$2:$D$501&lt;AX$7)*($E$2:$E$501&gt;=$H56)*($E$2:$E$501&lt;$H55)," ")))</f>
        <v xml:space="preserve"> </v>
      </c>
      <c r="AY55" t="str" cm="1">
        <f t="array" ref="AY55">_xlfn.TEXTJOIN(",",TRUE,(_xlfn._xlws.FILTER($A$2:$A$501,($D$2:$D$501&gt;=AZ$7)*($D$2:$D$501&lt;AY$7)*($E$2:$E$501&gt;=$H56)*($E$2:$E$501&lt;$H55)," ")))</f>
        <v xml:space="preserve"> </v>
      </c>
      <c r="AZ55" t="str" cm="1">
        <f t="array" ref="AZ55">_xlfn.TEXTJOIN(",",TRUE,(_xlfn._xlws.FILTER($A$2:$A$501,($D$2:$D$501&gt;=BA$7)*($D$2:$D$501&lt;AZ$7)*($E$2:$E$501&gt;=$H56)*($E$2:$E$501&lt;$H55)," ")))</f>
        <v xml:space="preserve"> </v>
      </c>
      <c r="BA55" t="str" cm="1">
        <f t="array" ref="BA55">_xlfn.TEXTJOIN(",",TRUE,(_xlfn._xlws.FILTER($A$2:$A$501,($D$2:$D$501&gt;=BB$7)*($D$2:$D$501&lt;BA$7)*($E$2:$E$501&gt;=$H56)*($E$2:$E$501&lt;$H55)," ")))</f>
        <v xml:space="preserve"> </v>
      </c>
      <c r="BB55" t="str" cm="1">
        <f t="array" ref="BB55">_xlfn.TEXTJOIN(",",TRUE,(_xlfn._xlws.FILTER($A$2:$A$501,($D$2:$D$501&gt;=BC$7)*($D$2:$D$501&lt;BB$7)*($E$2:$E$501&gt;=$H56)*($E$2:$E$501&lt;$H55)," ")))</f>
        <v xml:space="preserve"> </v>
      </c>
    </row>
    <row r="56" spans="1:54" x14ac:dyDescent="0.2">
      <c r="A56" s="3" t="s">
        <v>63</v>
      </c>
      <c r="B56" s="3" t="s">
        <v>60</v>
      </c>
      <c r="C56" s="13">
        <v>1790155.23</v>
      </c>
      <c r="D56" s="15">
        <v>34577025.729999997</v>
      </c>
      <c r="E56" s="22">
        <f>TuitionRates3[[#This Row],[Tuition]]/D56</f>
        <v>5.1772967518337216E-2</v>
      </c>
      <c r="F56"/>
      <c r="H56" s="18">
        <v>0.10199999999999999</v>
      </c>
      <c r="I56" t="str" cm="1">
        <f t="array" ref="I56">_xlfn.TEXTJOIN(",",TRUE,(_xlfn._xlws.FILTER($A$2:$A$501,($D$2:$D$501&gt;=J$7)*($D$2:$D$501&lt;I$7)*($E$2:$E$501&gt;=$H57)*($E$2:$E$501&lt;$H56)," ")))</f>
        <v xml:space="preserve"> </v>
      </c>
      <c r="J56" t="str" cm="1">
        <f t="array" ref="J56">_xlfn.TEXTJOIN(",",TRUE,(_xlfn._xlws.FILTER($A$2:$A$501,($D$2:$D$501&gt;=K$7)*($D$2:$D$501&lt;J$7)*($E$2:$E$501&gt;=$H57)*($E$2:$E$501&lt;$H56)," ")))</f>
        <v xml:space="preserve"> </v>
      </c>
      <c r="K56" t="str" cm="1">
        <f t="array" ref="K56">_xlfn.TEXTJOIN(",",TRUE,(_xlfn._xlws.FILTER($A$2:$A$501,($D$2:$D$501&gt;=L$7)*($D$2:$D$501&lt;K$7)*($E$2:$E$501&gt;=$H57)*($E$2:$E$501&lt;$H56)," ")))</f>
        <v xml:space="preserve"> </v>
      </c>
      <c r="L56" t="str" cm="1">
        <f t="array" ref="L56">_xlfn.TEXTJOIN(",",TRUE,(_xlfn._xlws.FILTER($A$2:$A$501,($D$2:$D$501&gt;=M$7)*($D$2:$D$501&lt;L$7)*($E$2:$E$501&gt;=$H57)*($E$2:$E$501&lt;$H56)," ")))</f>
        <v xml:space="preserve"> </v>
      </c>
      <c r="M56" t="str" cm="1">
        <f t="array" ref="M56">_xlfn.TEXTJOIN(",",TRUE,(_xlfn._xlws.FILTER($A$2:$A$501,($D$2:$D$501&gt;=N$7)*($D$2:$D$501&lt;M$7)*($E$2:$E$501&gt;=$H57)*($E$2:$E$501&lt;$H56)," ")))</f>
        <v xml:space="preserve"> </v>
      </c>
      <c r="N56" t="str" cm="1">
        <f t="array" ref="N56">_xlfn.TEXTJOIN(",",TRUE,(_xlfn._xlws.FILTER($A$2:$A$501,($D$2:$D$501&gt;=O$7)*($D$2:$D$501&lt;N$7)*($E$2:$E$501&gt;=$H57)*($E$2:$E$501&lt;$H56)," ")))</f>
        <v xml:space="preserve"> </v>
      </c>
      <c r="O56" t="str" cm="1">
        <f t="array" ref="O56">_xlfn.TEXTJOIN(",",TRUE,(_xlfn._xlws.FILTER($A$2:$A$501,($D$2:$D$501&gt;=P$7)*($D$2:$D$501&lt;O$7)*($E$2:$E$501&gt;=$H57)*($E$2:$E$501&lt;$H56)," ")))</f>
        <v xml:space="preserve"> </v>
      </c>
      <c r="P56" t="str" cm="1">
        <f t="array" ref="P56">_xlfn.TEXTJOIN(",",TRUE,(_xlfn._xlws.FILTER($A$2:$A$501,($D$2:$D$501&gt;=Q$7)*($D$2:$D$501&lt;P$7)*($E$2:$E$501&gt;=$H57)*($E$2:$E$501&lt;$H56)," ")))</f>
        <v xml:space="preserve"> </v>
      </c>
      <c r="Q56" t="str" cm="1">
        <f t="array" ref="Q56">_xlfn.TEXTJOIN(",",TRUE,(_xlfn._xlws.FILTER($A$2:$A$501,($D$2:$D$501&gt;=R$7)*($D$2:$D$501&lt;Q$7)*($E$2:$E$501&gt;=$H57)*($E$2:$E$501&lt;$H56)," ")))</f>
        <v xml:space="preserve"> </v>
      </c>
      <c r="R56" t="str" cm="1">
        <f t="array" ref="R56">_xlfn.TEXTJOIN(",",TRUE,(_xlfn._xlws.FILTER($A$2:$A$501,($D$2:$D$501&gt;=S$7)*($D$2:$D$501&lt;R$7)*($E$2:$E$501&gt;=$H57)*($E$2:$E$501&lt;$H56)," ")))</f>
        <v xml:space="preserve"> </v>
      </c>
      <c r="S56" t="str" cm="1">
        <f t="array" ref="S56">_xlfn.TEXTJOIN(",",TRUE,(_xlfn._xlws.FILTER($A$2:$A$501,($D$2:$D$501&gt;=T$7)*($D$2:$D$501&lt;S$7)*($E$2:$E$501&gt;=$H57)*($E$2:$E$501&lt;$H56)," ")))</f>
        <v xml:space="preserve"> </v>
      </c>
      <c r="T56" t="str" cm="1">
        <f t="array" ref="T56">_xlfn.TEXTJOIN(",",TRUE,(_xlfn._xlws.FILTER($A$2:$A$501,($D$2:$D$501&gt;=U$7)*($D$2:$D$501&lt;T$7)*($E$2:$E$501&gt;=$H57)*($E$2:$E$501&lt;$H56)," ")))</f>
        <v xml:space="preserve"> </v>
      </c>
      <c r="U56" t="str" cm="1">
        <f t="array" ref="U56">_xlfn.TEXTJOIN(",",TRUE,(_xlfn._xlws.FILTER($A$2:$A$501,($D$2:$D$501&gt;=V$7)*($D$2:$D$501&lt;U$7)*($E$2:$E$501&gt;=$H57)*($E$2:$E$501&lt;$H56)," ")))</f>
        <v xml:space="preserve"> </v>
      </c>
      <c r="V56" t="str" cm="1">
        <f t="array" ref="V56">_xlfn.TEXTJOIN(",",TRUE,(_xlfn._xlws.FILTER($A$2:$A$501,($D$2:$D$501&gt;=W$7)*($D$2:$D$501&lt;V$7)*($E$2:$E$501&gt;=$H57)*($E$2:$E$501&lt;$H56)," ")))</f>
        <v xml:space="preserve"> </v>
      </c>
      <c r="W56" t="str" cm="1">
        <f t="array" ref="W56">_xlfn.TEXTJOIN(",",TRUE,(_xlfn._xlws.FILTER($A$2:$A$501,($D$2:$D$501&gt;=X$7)*($D$2:$D$501&lt;W$7)*($E$2:$E$501&gt;=$H57)*($E$2:$E$501&lt;$H56)," ")))</f>
        <v xml:space="preserve"> </v>
      </c>
      <c r="X56" t="str" cm="1">
        <f t="array" ref="X56">_xlfn.TEXTJOIN(",",TRUE,(_xlfn._xlws.FILTER($A$2:$A$501,($D$2:$D$501&gt;=Y$7)*($D$2:$D$501&lt;X$7)*($E$2:$E$501&gt;=$H57)*($E$2:$E$501&lt;$H56)," ")))</f>
        <v xml:space="preserve"> </v>
      </c>
      <c r="Y56" t="str" cm="1">
        <f t="array" ref="Y56">_xlfn.TEXTJOIN(",",TRUE,(_xlfn._xlws.FILTER($A$2:$A$501,($D$2:$D$501&gt;=Z$7)*($D$2:$D$501&lt;Y$7)*($E$2:$E$501&gt;=$H57)*($E$2:$E$501&lt;$H56)," ")))</f>
        <v xml:space="preserve"> </v>
      </c>
      <c r="Z56" t="str" cm="1">
        <f t="array" ref="Z56">_xlfn.TEXTJOIN(",",TRUE,(_xlfn._xlws.FILTER($A$2:$A$501,($D$2:$D$501&gt;=AA$7)*($D$2:$D$501&lt;Z$7)*($E$2:$E$501&gt;=$H57)*($E$2:$E$501&lt;$H56)," ")))</f>
        <v xml:space="preserve"> </v>
      </c>
      <c r="AA56" t="str" cm="1">
        <f t="array" ref="AA56">_xlfn.TEXTJOIN(",",TRUE,(_xlfn._xlws.FILTER($A$2:$A$501,($D$2:$D$501&gt;=AB$7)*($D$2:$D$501&lt;AA$7)*($E$2:$E$501&gt;=$H57)*($E$2:$E$501&lt;$H56)," ")))</f>
        <v xml:space="preserve"> </v>
      </c>
      <c r="AB56" t="str" cm="1">
        <f t="array" ref="AB56">_xlfn.TEXTJOIN(",",TRUE,(_xlfn._xlws.FILTER($A$2:$A$501,($D$2:$D$501&gt;=AC$7)*($D$2:$D$501&lt;AB$7)*($E$2:$E$501&gt;=$H57)*($E$2:$E$501&lt;$H56)," ")))</f>
        <v xml:space="preserve"> </v>
      </c>
      <c r="AC56" t="str" cm="1">
        <f t="array" ref="AC56">_xlfn.TEXTJOIN(",",TRUE,(_xlfn._xlws.FILTER($A$2:$A$501,($D$2:$D$501&gt;=AD$7)*($D$2:$D$501&lt;AC$7)*($E$2:$E$501&gt;=$H57)*($E$2:$E$501&lt;$H56)," ")))</f>
        <v xml:space="preserve"> </v>
      </c>
      <c r="AD56" t="str" cm="1">
        <f t="array" ref="AD56">_xlfn.TEXTJOIN(",",TRUE,(_xlfn._xlws.FILTER($A$2:$A$501,($D$2:$D$501&gt;=AE$7)*($D$2:$D$501&lt;AD$7)*($E$2:$E$501&gt;=$H57)*($E$2:$E$501&lt;$H56)," ")))</f>
        <v xml:space="preserve"> </v>
      </c>
      <c r="AE56" t="str" cm="1">
        <f t="array" ref="AE56">_xlfn.TEXTJOIN(",",TRUE,(_xlfn._xlws.FILTER($A$2:$A$501,($D$2:$D$501&gt;=AF$7)*($D$2:$D$501&lt;AE$7)*($E$2:$E$501&gt;=$H57)*($E$2:$E$501&lt;$H56)," ")))</f>
        <v xml:space="preserve"> </v>
      </c>
      <c r="AF56" t="str" cm="1">
        <f t="array" ref="AF56">_xlfn.TEXTJOIN(",",TRUE,(_xlfn._xlws.FILTER($A$2:$A$501,($D$2:$D$501&gt;=AG$7)*($D$2:$D$501&lt;AF$7)*($E$2:$E$501&gt;=$H57)*($E$2:$E$501&lt;$H56)," ")))</f>
        <v xml:space="preserve"> </v>
      </c>
      <c r="AG56" t="str" cm="1">
        <f t="array" ref="AG56">_xlfn.TEXTJOIN(",",TRUE,(_xlfn._xlws.FILTER($A$2:$A$501,($D$2:$D$501&gt;=AH$7)*($D$2:$D$501&lt;AG$7)*($E$2:$E$501&gt;=$H57)*($E$2:$E$501&lt;$H56)," ")))</f>
        <v xml:space="preserve"> </v>
      </c>
      <c r="AH56" t="str" cm="1">
        <f t="array" ref="AH56">_xlfn.TEXTJOIN(",",TRUE,(_xlfn._xlws.FILTER($A$2:$A$501,($D$2:$D$501&gt;=AI$7)*($D$2:$D$501&lt;AH$7)*($E$2:$E$501&gt;=$H57)*($E$2:$E$501&lt;$H56)," ")))</f>
        <v xml:space="preserve"> </v>
      </c>
      <c r="AI56" t="str" cm="1">
        <f t="array" ref="AI56">_xlfn.TEXTJOIN(",",TRUE,(_xlfn._xlws.FILTER($A$2:$A$501,($D$2:$D$501&gt;=AJ$7)*($D$2:$D$501&lt;AI$7)*($E$2:$E$501&gt;=$H57)*($E$2:$E$501&lt;$H56)," ")))</f>
        <v xml:space="preserve"> </v>
      </c>
      <c r="AJ56" t="str" cm="1">
        <f t="array" ref="AJ56">_xlfn.TEXTJOIN(",",TRUE,(_xlfn._xlws.FILTER($A$2:$A$501,($D$2:$D$501&gt;=AK$7)*($D$2:$D$501&lt;AJ$7)*($E$2:$E$501&gt;=$H57)*($E$2:$E$501&lt;$H56)," ")))</f>
        <v xml:space="preserve"> </v>
      </c>
      <c r="AK56" t="str" cm="1">
        <f t="array" ref="AK56">_xlfn.TEXTJOIN(",",TRUE,(_xlfn._xlws.FILTER($A$2:$A$501,($D$2:$D$501&gt;=AL$7)*($D$2:$D$501&lt;AK$7)*($E$2:$E$501&gt;=$H57)*($E$2:$E$501&lt;$H56)," ")))</f>
        <v xml:space="preserve"> </v>
      </c>
      <c r="AL56" t="str" cm="1">
        <f t="array" ref="AL56">_xlfn.TEXTJOIN(",",TRUE,(_xlfn._xlws.FILTER($A$2:$A$501,($D$2:$D$501&gt;=AM$7)*($D$2:$D$501&lt;AL$7)*($E$2:$E$501&gt;=$H57)*($E$2:$E$501&lt;$H56)," ")))</f>
        <v xml:space="preserve"> </v>
      </c>
      <c r="AM56" t="str" cm="1">
        <f t="array" ref="AM56">_xlfn.TEXTJOIN(",",TRUE,(_xlfn._xlws.FILTER($A$2:$A$501,($D$2:$D$501&gt;=AN$7)*($D$2:$D$501&lt;AM$7)*($E$2:$E$501&gt;=$H57)*($E$2:$E$501&lt;$H56)," ")))</f>
        <v xml:space="preserve"> </v>
      </c>
      <c r="AN56" t="str" cm="1">
        <f t="array" ref="AN56">_xlfn.TEXTJOIN(",",TRUE,(_xlfn._xlws.FILTER($A$2:$A$501,($D$2:$D$501&gt;=AO$7)*($D$2:$D$501&lt;AN$7)*($E$2:$E$501&gt;=$H57)*($E$2:$E$501&lt;$H56)," ")))</f>
        <v xml:space="preserve"> </v>
      </c>
      <c r="AO56" t="str" cm="1">
        <f t="array" ref="AO56">_xlfn.TEXTJOIN(",",TRUE,(_xlfn._xlws.FILTER($A$2:$A$501,($D$2:$D$501&gt;=AP$7)*($D$2:$D$501&lt;AO$7)*($E$2:$E$501&gt;=$H57)*($E$2:$E$501&lt;$H56)," ")))</f>
        <v xml:space="preserve"> </v>
      </c>
      <c r="AP56" t="str" cm="1">
        <f t="array" ref="AP56">_xlfn.TEXTJOIN(",",TRUE,(_xlfn._xlws.FILTER($A$2:$A$501,($D$2:$D$501&gt;=AQ$7)*($D$2:$D$501&lt;AP$7)*($E$2:$E$501&gt;=$H57)*($E$2:$E$501&lt;$H56)," ")))</f>
        <v xml:space="preserve"> </v>
      </c>
      <c r="AQ56" t="str" cm="1">
        <f t="array" ref="AQ56">_xlfn.TEXTJOIN(",",TRUE,(_xlfn._xlws.FILTER($A$2:$A$501,($D$2:$D$501&gt;=AR$7)*($D$2:$D$501&lt;AQ$7)*($E$2:$E$501&gt;=$H57)*($E$2:$E$501&lt;$H56)," ")))</f>
        <v xml:space="preserve"> </v>
      </c>
      <c r="AR56" t="str" cm="1">
        <f t="array" ref="AR56">_xlfn.TEXTJOIN(",",TRUE,(_xlfn._xlws.FILTER($A$2:$A$501,($D$2:$D$501&gt;=AS$7)*($D$2:$D$501&lt;AR$7)*($E$2:$E$501&gt;=$H57)*($E$2:$E$501&lt;$H56)," ")))</f>
        <v xml:space="preserve"> </v>
      </c>
      <c r="AS56" t="str" cm="1">
        <f t="array" ref="AS56">_xlfn.TEXTJOIN(",",TRUE,(_xlfn._xlws.FILTER($A$2:$A$501,($D$2:$D$501&gt;=AT$7)*($D$2:$D$501&lt;AS$7)*($E$2:$E$501&gt;=$H57)*($E$2:$E$501&lt;$H56)," ")))</f>
        <v xml:space="preserve"> </v>
      </c>
      <c r="AT56" t="str" cm="1">
        <f t="array" ref="AT56">_xlfn.TEXTJOIN(",",TRUE,(_xlfn._xlws.FILTER($A$2:$A$501,($D$2:$D$501&gt;=AU$7)*($D$2:$D$501&lt;AT$7)*($E$2:$E$501&gt;=$H57)*($E$2:$E$501&lt;$H56)," ")))</f>
        <v xml:space="preserve"> </v>
      </c>
      <c r="AU56" t="str" cm="1">
        <f t="array" ref="AU56">_xlfn.TEXTJOIN(",",TRUE,(_xlfn._xlws.FILTER($A$2:$A$501,($D$2:$D$501&gt;=AV$7)*($D$2:$D$501&lt;AU$7)*($E$2:$E$501&gt;=$H57)*($E$2:$E$501&lt;$H56)," ")))</f>
        <v xml:space="preserve"> </v>
      </c>
      <c r="AV56" t="str" cm="1">
        <f t="array" ref="AV56">_xlfn.TEXTJOIN(",",TRUE,(_xlfn._xlws.FILTER($A$2:$A$501,($D$2:$D$501&gt;=AW$7)*($D$2:$D$501&lt;AV$7)*($E$2:$E$501&gt;=$H57)*($E$2:$E$501&lt;$H56)," ")))</f>
        <v xml:space="preserve"> </v>
      </c>
      <c r="AW56" t="str" cm="1">
        <f t="array" ref="AW56">_xlfn.TEXTJOIN(",",TRUE,(_xlfn._xlws.FILTER($A$2:$A$501,($D$2:$D$501&gt;=AX$7)*($D$2:$D$501&lt;AW$7)*($E$2:$E$501&gt;=$H57)*($E$2:$E$501&lt;$H56)," ")))</f>
        <v xml:space="preserve"> </v>
      </c>
      <c r="AX56" t="str" cm="1">
        <f t="array" ref="AX56">_xlfn.TEXTJOIN(",",TRUE,(_xlfn._xlws.FILTER($A$2:$A$501,($D$2:$D$501&gt;=AY$7)*($D$2:$D$501&lt;AX$7)*($E$2:$E$501&gt;=$H57)*($E$2:$E$501&lt;$H56)," ")))</f>
        <v xml:space="preserve"> </v>
      </c>
      <c r="AY56" t="str" cm="1">
        <f t="array" ref="AY56">_xlfn.TEXTJOIN(",",TRUE,(_xlfn._xlws.FILTER($A$2:$A$501,($D$2:$D$501&gt;=AZ$7)*($D$2:$D$501&lt;AY$7)*($E$2:$E$501&gt;=$H57)*($E$2:$E$501&lt;$H56)," ")))</f>
        <v xml:space="preserve"> </v>
      </c>
      <c r="AZ56" t="str" cm="1">
        <f t="array" ref="AZ56">_xlfn.TEXTJOIN(",",TRUE,(_xlfn._xlws.FILTER($A$2:$A$501,($D$2:$D$501&gt;=BA$7)*($D$2:$D$501&lt;AZ$7)*($E$2:$E$501&gt;=$H57)*($E$2:$E$501&lt;$H56)," ")))</f>
        <v xml:space="preserve"> </v>
      </c>
      <c r="BA56" t="str" cm="1">
        <f t="array" ref="BA56">_xlfn.TEXTJOIN(",",TRUE,(_xlfn._xlws.FILTER($A$2:$A$501,($D$2:$D$501&gt;=BB$7)*($D$2:$D$501&lt;BA$7)*($E$2:$E$501&gt;=$H57)*($E$2:$E$501&lt;$H56)," ")))</f>
        <v xml:space="preserve"> </v>
      </c>
      <c r="BB56" t="str" cm="1">
        <f t="array" ref="BB56">_xlfn.TEXTJOIN(",",TRUE,(_xlfn._xlws.FILTER($A$2:$A$501,($D$2:$D$501&gt;=BC$7)*($D$2:$D$501&lt;BB$7)*($E$2:$E$501&gt;=$H57)*($E$2:$E$501&lt;$H56)," ")))</f>
        <v xml:space="preserve"> </v>
      </c>
    </row>
    <row r="57" spans="1:54" x14ac:dyDescent="0.2">
      <c r="A57" s="3" t="s">
        <v>542</v>
      </c>
      <c r="B57" s="3" t="s">
        <v>533</v>
      </c>
      <c r="C57" s="13">
        <v>1740857.35</v>
      </c>
      <c r="D57" s="15">
        <v>33659625.399999999</v>
      </c>
      <c r="E57" s="22">
        <f>TuitionRates3[[#This Row],[Tuition]]/D57</f>
        <v>5.1719451102388091E-2</v>
      </c>
      <c r="F57"/>
      <c r="H57" s="18">
        <v>0.10100000000000001</v>
      </c>
      <c r="I57" t="str" cm="1">
        <f t="array" ref="I57">_xlfn.TEXTJOIN(",",TRUE,(_xlfn._xlws.FILTER($A$2:$A$501,($D$2:$D$501&gt;=J$7)*($D$2:$D$501&lt;I$7)*($E$2:$E$501&gt;=$H58)*($E$2:$E$501&lt;$H57)," ")))</f>
        <v xml:space="preserve"> </v>
      </c>
      <c r="J57" t="str" cm="1">
        <f t="array" ref="J57">_xlfn.TEXTJOIN(",",TRUE,(_xlfn._xlws.FILTER($A$2:$A$501,($D$2:$D$501&gt;=K$7)*($D$2:$D$501&lt;J$7)*($E$2:$E$501&gt;=$H58)*($E$2:$E$501&lt;$H57)," ")))</f>
        <v xml:space="preserve"> </v>
      </c>
      <c r="K57" t="str" cm="1">
        <f t="array" ref="K57">_xlfn.TEXTJOIN(",",TRUE,(_xlfn._xlws.FILTER($A$2:$A$501,($D$2:$D$501&gt;=L$7)*($D$2:$D$501&lt;K$7)*($E$2:$E$501&gt;=$H58)*($E$2:$E$501&lt;$H57)," ")))</f>
        <v xml:space="preserve"> </v>
      </c>
      <c r="L57" t="str" cm="1">
        <f t="array" ref="L57">_xlfn.TEXTJOIN(",",TRUE,(_xlfn._xlws.FILTER($A$2:$A$501,($D$2:$D$501&gt;=M$7)*($D$2:$D$501&lt;L$7)*($E$2:$E$501&gt;=$H58)*($E$2:$E$501&lt;$H57)," ")))</f>
        <v xml:space="preserve"> </v>
      </c>
      <c r="M57" t="str" cm="1">
        <f t="array" ref="M57">_xlfn.TEXTJOIN(",",TRUE,(_xlfn._xlws.FILTER($A$2:$A$501,($D$2:$D$501&gt;=N$7)*($D$2:$D$501&lt;M$7)*($E$2:$E$501&gt;=$H58)*($E$2:$E$501&lt;$H57)," ")))</f>
        <v xml:space="preserve"> </v>
      </c>
      <c r="N57" t="str" cm="1">
        <f t="array" ref="N57">_xlfn.TEXTJOIN(",",TRUE,(_xlfn._xlws.FILTER($A$2:$A$501,($D$2:$D$501&gt;=O$7)*($D$2:$D$501&lt;N$7)*($E$2:$E$501&gt;=$H58)*($E$2:$E$501&lt;$H57)," ")))</f>
        <v xml:space="preserve"> </v>
      </c>
      <c r="O57" t="str" cm="1">
        <f t="array" ref="O57">_xlfn.TEXTJOIN(",",TRUE,(_xlfn._xlws.FILTER($A$2:$A$501,($D$2:$D$501&gt;=P$7)*($D$2:$D$501&lt;O$7)*($E$2:$E$501&gt;=$H58)*($E$2:$E$501&lt;$H57)," ")))</f>
        <v xml:space="preserve"> </v>
      </c>
      <c r="P57" t="str" cm="1">
        <f t="array" ref="P57">_xlfn.TEXTJOIN(",",TRUE,(_xlfn._xlws.FILTER($A$2:$A$501,($D$2:$D$501&gt;=Q$7)*($D$2:$D$501&lt;P$7)*($E$2:$E$501&gt;=$H58)*($E$2:$E$501&lt;$H57)," ")))</f>
        <v xml:space="preserve"> </v>
      </c>
      <c r="Q57" t="str" cm="1">
        <f t="array" ref="Q57">_xlfn.TEXTJOIN(",",TRUE,(_xlfn._xlws.FILTER($A$2:$A$501,($D$2:$D$501&gt;=R$7)*($D$2:$D$501&lt;Q$7)*($E$2:$E$501&gt;=$H58)*($E$2:$E$501&lt;$H57)," ")))</f>
        <v xml:space="preserve"> </v>
      </c>
      <c r="R57" t="str" cm="1">
        <f t="array" ref="R57">_xlfn.TEXTJOIN(",",TRUE,(_xlfn._xlws.FILTER($A$2:$A$501,($D$2:$D$501&gt;=S$7)*($D$2:$D$501&lt;R$7)*($E$2:$E$501&gt;=$H58)*($E$2:$E$501&lt;$H57)," ")))</f>
        <v xml:space="preserve"> </v>
      </c>
      <c r="S57" t="str" cm="1">
        <f t="array" ref="S57">_xlfn.TEXTJOIN(",",TRUE,(_xlfn._xlws.FILTER($A$2:$A$501,($D$2:$D$501&gt;=T$7)*($D$2:$D$501&lt;S$7)*($E$2:$E$501&gt;=$H58)*($E$2:$E$501&lt;$H57)," ")))</f>
        <v xml:space="preserve"> </v>
      </c>
      <c r="T57" t="str" cm="1">
        <f t="array" ref="T57">_xlfn.TEXTJOIN(",",TRUE,(_xlfn._xlws.FILTER($A$2:$A$501,($D$2:$D$501&gt;=U$7)*($D$2:$D$501&lt;T$7)*($E$2:$E$501&gt;=$H58)*($E$2:$E$501&lt;$H57)," ")))</f>
        <v xml:space="preserve"> </v>
      </c>
      <c r="U57" t="str" cm="1">
        <f t="array" ref="U57">_xlfn.TEXTJOIN(",",TRUE,(_xlfn._xlws.FILTER($A$2:$A$501,($D$2:$D$501&gt;=V$7)*($D$2:$D$501&lt;U$7)*($E$2:$E$501&gt;=$H58)*($E$2:$E$501&lt;$H57)," ")))</f>
        <v xml:space="preserve"> </v>
      </c>
      <c r="V57" t="str" cm="1">
        <f t="array" ref="V57">_xlfn.TEXTJOIN(",",TRUE,(_xlfn._xlws.FILTER($A$2:$A$501,($D$2:$D$501&gt;=W$7)*($D$2:$D$501&lt;V$7)*($E$2:$E$501&gt;=$H58)*($E$2:$E$501&lt;$H57)," ")))</f>
        <v xml:space="preserve"> </v>
      </c>
      <c r="W57" t="str" cm="1">
        <f t="array" ref="W57">_xlfn.TEXTJOIN(",",TRUE,(_xlfn._xlws.FILTER($A$2:$A$501,($D$2:$D$501&gt;=X$7)*($D$2:$D$501&lt;W$7)*($E$2:$E$501&gt;=$H58)*($E$2:$E$501&lt;$H57)," ")))</f>
        <v xml:space="preserve"> </v>
      </c>
      <c r="X57" t="str" cm="1">
        <f t="array" ref="X57">_xlfn.TEXTJOIN(",",TRUE,(_xlfn._xlws.FILTER($A$2:$A$501,($D$2:$D$501&gt;=Y$7)*($D$2:$D$501&lt;X$7)*($E$2:$E$501&gt;=$H58)*($E$2:$E$501&lt;$H57)," ")))</f>
        <v xml:space="preserve"> </v>
      </c>
      <c r="Y57" t="str" cm="1">
        <f t="array" ref="Y57">_xlfn.TEXTJOIN(",",TRUE,(_xlfn._xlws.FILTER($A$2:$A$501,($D$2:$D$501&gt;=Z$7)*($D$2:$D$501&lt;Y$7)*($E$2:$E$501&gt;=$H58)*($E$2:$E$501&lt;$H57)," ")))</f>
        <v xml:space="preserve"> </v>
      </c>
      <c r="Z57" t="str" cm="1">
        <f t="array" ref="Z57">_xlfn.TEXTJOIN(",",TRUE,(_xlfn._xlws.FILTER($A$2:$A$501,($D$2:$D$501&gt;=AA$7)*($D$2:$D$501&lt;Z$7)*($E$2:$E$501&gt;=$H58)*($E$2:$E$501&lt;$H57)," ")))</f>
        <v xml:space="preserve"> </v>
      </c>
      <c r="AA57" t="str" cm="1">
        <f t="array" ref="AA57">_xlfn.TEXTJOIN(",",TRUE,(_xlfn._xlws.FILTER($A$2:$A$501,($D$2:$D$501&gt;=AB$7)*($D$2:$D$501&lt;AA$7)*($E$2:$E$501&gt;=$H58)*($E$2:$E$501&lt;$H57)," ")))</f>
        <v xml:space="preserve"> </v>
      </c>
      <c r="AB57" t="str" cm="1">
        <f t="array" ref="AB57">_xlfn.TEXTJOIN(",",TRUE,(_xlfn._xlws.FILTER($A$2:$A$501,($D$2:$D$501&gt;=AC$7)*($D$2:$D$501&lt;AB$7)*($E$2:$E$501&gt;=$H58)*($E$2:$E$501&lt;$H57)," ")))</f>
        <v xml:space="preserve"> </v>
      </c>
      <c r="AC57" t="str" cm="1">
        <f t="array" ref="AC57">_xlfn.TEXTJOIN(",",TRUE,(_xlfn._xlws.FILTER($A$2:$A$501,($D$2:$D$501&gt;=AD$7)*($D$2:$D$501&lt;AC$7)*($E$2:$E$501&gt;=$H58)*($E$2:$E$501&lt;$H57)," ")))</f>
        <v xml:space="preserve"> </v>
      </c>
      <c r="AD57" t="str" cm="1">
        <f t="array" ref="AD57">_xlfn.TEXTJOIN(",",TRUE,(_xlfn._xlws.FILTER($A$2:$A$501,($D$2:$D$501&gt;=AE$7)*($D$2:$D$501&lt;AD$7)*($E$2:$E$501&gt;=$H58)*($E$2:$E$501&lt;$H57)," ")))</f>
        <v xml:space="preserve"> </v>
      </c>
      <c r="AE57" t="str" cm="1">
        <f t="array" ref="AE57">_xlfn.TEXTJOIN(",",TRUE,(_xlfn._xlws.FILTER($A$2:$A$501,($D$2:$D$501&gt;=AF$7)*($D$2:$D$501&lt;AE$7)*($E$2:$E$501&gt;=$H58)*($E$2:$E$501&lt;$H57)," ")))</f>
        <v xml:space="preserve"> </v>
      </c>
      <c r="AF57" t="str" cm="1">
        <f t="array" ref="AF57">_xlfn.TEXTJOIN(",",TRUE,(_xlfn._xlws.FILTER($A$2:$A$501,($D$2:$D$501&gt;=AG$7)*($D$2:$D$501&lt;AF$7)*($E$2:$E$501&gt;=$H58)*($E$2:$E$501&lt;$H57)," ")))</f>
        <v xml:space="preserve"> </v>
      </c>
      <c r="AG57" t="str" cm="1">
        <f t="array" ref="AG57">_xlfn.TEXTJOIN(",",TRUE,(_xlfn._xlws.FILTER($A$2:$A$501,($D$2:$D$501&gt;=AH$7)*($D$2:$D$501&lt;AG$7)*($E$2:$E$501&gt;=$H58)*($E$2:$E$501&lt;$H57)," ")))</f>
        <v xml:space="preserve"> </v>
      </c>
      <c r="AH57" t="str" cm="1">
        <f t="array" ref="AH57">_xlfn.TEXTJOIN(",",TRUE,(_xlfn._xlws.FILTER($A$2:$A$501,($D$2:$D$501&gt;=AI$7)*($D$2:$D$501&lt;AH$7)*($E$2:$E$501&gt;=$H58)*($E$2:$E$501&lt;$H57)," ")))</f>
        <v xml:space="preserve"> </v>
      </c>
      <c r="AI57" t="str" cm="1">
        <f t="array" ref="AI57">_xlfn.TEXTJOIN(",",TRUE,(_xlfn._xlws.FILTER($A$2:$A$501,($D$2:$D$501&gt;=AJ$7)*($D$2:$D$501&lt;AI$7)*($E$2:$E$501&gt;=$H58)*($E$2:$E$501&lt;$H57)," ")))</f>
        <v xml:space="preserve"> </v>
      </c>
      <c r="AJ57" t="str" cm="1">
        <f t="array" ref="AJ57">_xlfn.TEXTJOIN(",",TRUE,(_xlfn._xlws.FILTER($A$2:$A$501,($D$2:$D$501&gt;=AK$7)*($D$2:$D$501&lt;AJ$7)*($E$2:$E$501&gt;=$H58)*($E$2:$E$501&lt;$H57)," ")))</f>
        <v xml:space="preserve"> </v>
      </c>
      <c r="AK57" t="str" cm="1">
        <f t="array" ref="AK57">_xlfn.TEXTJOIN(",",TRUE,(_xlfn._xlws.FILTER($A$2:$A$501,($D$2:$D$501&gt;=AL$7)*($D$2:$D$501&lt;AK$7)*($E$2:$E$501&gt;=$H58)*($E$2:$E$501&lt;$H57)," ")))</f>
        <v xml:space="preserve"> </v>
      </c>
      <c r="AL57" t="str" cm="1">
        <f t="array" ref="AL57">_xlfn.TEXTJOIN(",",TRUE,(_xlfn._xlws.FILTER($A$2:$A$501,($D$2:$D$501&gt;=AM$7)*($D$2:$D$501&lt;AL$7)*($E$2:$E$501&gt;=$H58)*($E$2:$E$501&lt;$H57)," ")))</f>
        <v xml:space="preserve"> </v>
      </c>
      <c r="AM57" t="str" cm="1">
        <f t="array" ref="AM57">_xlfn.TEXTJOIN(",",TRUE,(_xlfn._xlws.FILTER($A$2:$A$501,($D$2:$D$501&gt;=AN$7)*($D$2:$D$501&lt;AM$7)*($E$2:$E$501&gt;=$H58)*($E$2:$E$501&lt;$H57)," ")))</f>
        <v xml:space="preserve"> </v>
      </c>
      <c r="AN57" t="str" cm="1">
        <f t="array" ref="AN57">_xlfn.TEXTJOIN(",",TRUE,(_xlfn._xlws.FILTER($A$2:$A$501,($D$2:$D$501&gt;=AO$7)*($D$2:$D$501&lt;AN$7)*($E$2:$E$501&gt;=$H58)*($E$2:$E$501&lt;$H57)," ")))</f>
        <v xml:space="preserve"> </v>
      </c>
      <c r="AO57" t="str" cm="1">
        <f t="array" ref="AO57">_xlfn.TEXTJOIN(",",TRUE,(_xlfn._xlws.FILTER($A$2:$A$501,($D$2:$D$501&gt;=AP$7)*($D$2:$D$501&lt;AO$7)*($E$2:$E$501&gt;=$H58)*($E$2:$E$501&lt;$H57)," ")))</f>
        <v xml:space="preserve"> </v>
      </c>
      <c r="AP57" t="str" cm="1">
        <f t="array" ref="AP57">_xlfn.TEXTJOIN(",",TRUE,(_xlfn._xlws.FILTER($A$2:$A$501,($D$2:$D$501&gt;=AQ$7)*($D$2:$D$501&lt;AP$7)*($E$2:$E$501&gt;=$H58)*($E$2:$E$501&lt;$H57)," ")))</f>
        <v xml:space="preserve"> </v>
      </c>
      <c r="AQ57" t="str" cm="1">
        <f t="array" ref="AQ57">_xlfn.TEXTJOIN(",",TRUE,(_xlfn._xlws.FILTER($A$2:$A$501,($D$2:$D$501&gt;=AR$7)*($D$2:$D$501&lt;AQ$7)*($E$2:$E$501&gt;=$H58)*($E$2:$E$501&lt;$H57)," ")))</f>
        <v xml:space="preserve"> </v>
      </c>
      <c r="AR57" t="str" cm="1">
        <f t="array" ref="AR57">_xlfn.TEXTJOIN(",",TRUE,(_xlfn._xlws.FILTER($A$2:$A$501,($D$2:$D$501&gt;=AS$7)*($D$2:$D$501&lt;AR$7)*($E$2:$E$501&gt;=$H58)*($E$2:$E$501&lt;$H57)," ")))</f>
        <v xml:space="preserve"> </v>
      </c>
      <c r="AS57" t="str" cm="1">
        <f t="array" ref="AS57">_xlfn.TEXTJOIN(",",TRUE,(_xlfn._xlws.FILTER($A$2:$A$501,($D$2:$D$501&gt;=AT$7)*($D$2:$D$501&lt;AS$7)*($E$2:$E$501&gt;=$H58)*($E$2:$E$501&lt;$H57)," ")))</f>
        <v xml:space="preserve"> </v>
      </c>
      <c r="AT57" t="str" cm="1">
        <f t="array" ref="AT57">_xlfn.TEXTJOIN(",",TRUE,(_xlfn._xlws.FILTER($A$2:$A$501,($D$2:$D$501&gt;=AU$7)*($D$2:$D$501&lt;AT$7)*($E$2:$E$501&gt;=$H58)*($E$2:$E$501&lt;$H57)," ")))</f>
        <v xml:space="preserve"> </v>
      </c>
      <c r="AU57" t="str" cm="1">
        <f t="array" ref="AU57">_xlfn.TEXTJOIN(",",TRUE,(_xlfn._xlws.FILTER($A$2:$A$501,($D$2:$D$501&gt;=AV$7)*($D$2:$D$501&lt;AU$7)*($E$2:$E$501&gt;=$H58)*($E$2:$E$501&lt;$H57)," ")))</f>
        <v>Bryn Athyn SD</v>
      </c>
      <c r="AV57" t="str" cm="1">
        <f t="array" ref="AV57">_xlfn.TEXTJOIN(",",TRUE,(_xlfn._xlws.FILTER($A$2:$A$501,($D$2:$D$501&gt;=AW$7)*($D$2:$D$501&lt;AV$7)*($E$2:$E$501&gt;=$H58)*($E$2:$E$501&lt;$H57)," ")))</f>
        <v xml:space="preserve"> </v>
      </c>
      <c r="AW57" t="str" cm="1">
        <f t="array" ref="AW57">_xlfn.TEXTJOIN(",",TRUE,(_xlfn._xlws.FILTER($A$2:$A$501,($D$2:$D$501&gt;=AX$7)*($D$2:$D$501&lt;AW$7)*($E$2:$E$501&gt;=$H58)*($E$2:$E$501&lt;$H57)," ")))</f>
        <v xml:space="preserve"> </v>
      </c>
      <c r="AX57" t="str" cm="1">
        <f t="array" ref="AX57">_xlfn.TEXTJOIN(",",TRUE,(_xlfn._xlws.FILTER($A$2:$A$501,($D$2:$D$501&gt;=AY$7)*($D$2:$D$501&lt;AX$7)*($E$2:$E$501&gt;=$H58)*($E$2:$E$501&lt;$H57)," ")))</f>
        <v xml:space="preserve"> </v>
      </c>
      <c r="AY57" t="str" cm="1">
        <f t="array" ref="AY57">_xlfn.TEXTJOIN(",",TRUE,(_xlfn._xlws.FILTER($A$2:$A$501,($D$2:$D$501&gt;=AZ$7)*($D$2:$D$501&lt;AY$7)*($E$2:$E$501&gt;=$H58)*($E$2:$E$501&lt;$H57)," ")))</f>
        <v xml:space="preserve"> </v>
      </c>
      <c r="AZ57" t="str" cm="1">
        <f t="array" ref="AZ57">_xlfn.TEXTJOIN(",",TRUE,(_xlfn._xlws.FILTER($A$2:$A$501,($D$2:$D$501&gt;=BA$7)*($D$2:$D$501&lt;AZ$7)*($E$2:$E$501&gt;=$H58)*($E$2:$E$501&lt;$H57)," ")))</f>
        <v xml:space="preserve"> </v>
      </c>
      <c r="BA57" t="str" cm="1">
        <f t="array" ref="BA57">_xlfn.TEXTJOIN(",",TRUE,(_xlfn._xlws.FILTER($A$2:$A$501,($D$2:$D$501&gt;=BB$7)*($D$2:$D$501&lt;BA$7)*($E$2:$E$501&gt;=$H58)*($E$2:$E$501&lt;$H57)," ")))</f>
        <v xml:space="preserve"> </v>
      </c>
      <c r="BB57" t="str" cm="1">
        <f t="array" ref="BB57">_xlfn.TEXTJOIN(",",TRUE,(_xlfn._xlws.FILTER($A$2:$A$501,($D$2:$D$501&gt;=BC$7)*($D$2:$D$501&lt;BB$7)*($E$2:$E$501&gt;=$H58)*($E$2:$E$501&lt;$H57)," ")))</f>
        <v xml:space="preserve"> </v>
      </c>
    </row>
    <row r="58" spans="1:54" x14ac:dyDescent="0.2">
      <c r="A58" s="3" t="s">
        <v>183</v>
      </c>
      <c r="B58" s="3" t="s">
        <v>177</v>
      </c>
      <c r="C58" s="13">
        <v>728403.86</v>
      </c>
      <c r="D58" s="15">
        <v>14145841.300000001</v>
      </c>
      <c r="E58" s="22">
        <f>TuitionRates3[[#This Row],[Tuition]]/D58</f>
        <v>5.1492438275834461E-2</v>
      </c>
      <c r="F58"/>
      <c r="H58" s="18">
        <v>0.1</v>
      </c>
      <c r="I58" t="str" cm="1">
        <f t="array" ref="I58">_xlfn.TEXTJOIN(",",TRUE,(_xlfn._xlws.FILTER($A$2:$A$501,($D$2:$D$501&gt;=J$7)*($D$2:$D$501&lt;I$7)*($E$2:$E$501&gt;=$H59)*($E$2:$E$501&lt;$H58)," ")))</f>
        <v xml:space="preserve"> </v>
      </c>
      <c r="J58" t="str" cm="1">
        <f t="array" ref="J58">_xlfn.TEXTJOIN(",",TRUE,(_xlfn._xlws.FILTER($A$2:$A$501,($D$2:$D$501&gt;=K$7)*($D$2:$D$501&lt;J$7)*($E$2:$E$501&gt;=$H59)*($E$2:$E$501&lt;$H58)," ")))</f>
        <v xml:space="preserve"> </v>
      </c>
      <c r="K58" t="str" cm="1">
        <f t="array" ref="K58">_xlfn.TEXTJOIN(",",TRUE,(_xlfn._xlws.FILTER($A$2:$A$501,($D$2:$D$501&gt;=L$7)*($D$2:$D$501&lt;K$7)*($E$2:$E$501&gt;=$H59)*($E$2:$E$501&lt;$H58)," ")))</f>
        <v xml:space="preserve"> </v>
      </c>
      <c r="L58" t="str" cm="1">
        <f t="array" ref="L58">_xlfn.TEXTJOIN(",",TRUE,(_xlfn._xlws.FILTER($A$2:$A$501,($D$2:$D$501&gt;=M$7)*($D$2:$D$501&lt;L$7)*($E$2:$E$501&gt;=$H59)*($E$2:$E$501&lt;$H58)," ")))</f>
        <v xml:space="preserve"> </v>
      </c>
      <c r="M58" t="str" cm="1">
        <f t="array" ref="M58">_xlfn.TEXTJOIN(",",TRUE,(_xlfn._xlws.FILTER($A$2:$A$501,($D$2:$D$501&gt;=N$7)*($D$2:$D$501&lt;M$7)*($E$2:$E$501&gt;=$H59)*($E$2:$E$501&lt;$H58)," ")))</f>
        <v xml:space="preserve"> </v>
      </c>
      <c r="N58" t="str" cm="1">
        <f t="array" ref="N58">_xlfn.TEXTJOIN(",",TRUE,(_xlfn._xlws.FILTER($A$2:$A$501,($D$2:$D$501&gt;=O$7)*($D$2:$D$501&lt;N$7)*($E$2:$E$501&gt;=$H59)*($E$2:$E$501&lt;$H58)," ")))</f>
        <v xml:space="preserve"> </v>
      </c>
      <c r="O58" t="str" cm="1">
        <f t="array" ref="O58">_xlfn.TEXTJOIN(",",TRUE,(_xlfn._xlws.FILTER($A$2:$A$501,($D$2:$D$501&gt;=P$7)*($D$2:$D$501&lt;O$7)*($E$2:$E$501&gt;=$H59)*($E$2:$E$501&lt;$H58)," ")))</f>
        <v xml:space="preserve"> </v>
      </c>
      <c r="P58" t="str" cm="1">
        <f t="array" ref="P58">_xlfn.TEXTJOIN(",",TRUE,(_xlfn._xlws.FILTER($A$2:$A$501,($D$2:$D$501&gt;=Q$7)*($D$2:$D$501&lt;P$7)*($E$2:$E$501&gt;=$H59)*($E$2:$E$501&lt;$H58)," ")))</f>
        <v xml:space="preserve"> </v>
      </c>
      <c r="Q58" t="str" cm="1">
        <f t="array" ref="Q58">_xlfn.TEXTJOIN(",",TRUE,(_xlfn._xlws.FILTER($A$2:$A$501,($D$2:$D$501&gt;=R$7)*($D$2:$D$501&lt;Q$7)*($E$2:$E$501&gt;=$H59)*($E$2:$E$501&lt;$H58)," ")))</f>
        <v xml:space="preserve"> </v>
      </c>
      <c r="R58" t="str" cm="1">
        <f t="array" ref="R58">_xlfn.TEXTJOIN(",",TRUE,(_xlfn._xlws.FILTER($A$2:$A$501,($D$2:$D$501&gt;=S$7)*($D$2:$D$501&lt;R$7)*($E$2:$E$501&gt;=$H59)*($E$2:$E$501&lt;$H58)," ")))</f>
        <v xml:space="preserve"> </v>
      </c>
      <c r="S58" t="str" cm="1">
        <f t="array" ref="S58">_xlfn.TEXTJOIN(",",TRUE,(_xlfn._xlws.FILTER($A$2:$A$501,($D$2:$D$501&gt;=T$7)*($D$2:$D$501&lt;S$7)*($E$2:$E$501&gt;=$H59)*($E$2:$E$501&lt;$H58)," ")))</f>
        <v xml:space="preserve"> </v>
      </c>
      <c r="T58" t="str" cm="1">
        <f t="array" ref="T58">_xlfn.TEXTJOIN(",",TRUE,(_xlfn._xlws.FILTER($A$2:$A$501,($D$2:$D$501&gt;=U$7)*($D$2:$D$501&lt;T$7)*($E$2:$E$501&gt;=$H59)*($E$2:$E$501&lt;$H58)," ")))</f>
        <v xml:space="preserve"> </v>
      </c>
      <c r="U58" t="str" cm="1">
        <f t="array" ref="U58">_xlfn.TEXTJOIN(",",TRUE,(_xlfn._xlws.FILTER($A$2:$A$501,($D$2:$D$501&gt;=V$7)*($D$2:$D$501&lt;U$7)*($E$2:$E$501&gt;=$H59)*($E$2:$E$501&lt;$H58)," ")))</f>
        <v xml:space="preserve"> </v>
      </c>
      <c r="V58" t="str" cm="1">
        <f t="array" ref="V58">_xlfn.TEXTJOIN(",",TRUE,(_xlfn._xlws.FILTER($A$2:$A$501,($D$2:$D$501&gt;=W$7)*($D$2:$D$501&lt;V$7)*($E$2:$E$501&gt;=$H59)*($E$2:$E$501&lt;$H58)," ")))</f>
        <v xml:space="preserve"> </v>
      </c>
      <c r="W58" t="str" cm="1">
        <f t="array" ref="W58">_xlfn.TEXTJOIN(",",TRUE,(_xlfn._xlws.FILTER($A$2:$A$501,($D$2:$D$501&gt;=X$7)*($D$2:$D$501&lt;W$7)*($E$2:$E$501&gt;=$H59)*($E$2:$E$501&lt;$H58)," ")))</f>
        <v xml:space="preserve"> </v>
      </c>
      <c r="X58" t="str" cm="1">
        <f t="array" ref="X58">_xlfn.TEXTJOIN(",",TRUE,(_xlfn._xlws.FILTER($A$2:$A$501,($D$2:$D$501&gt;=Y$7)*($D$2:$D$501&lt;X$7)*($E$2:$E$501&gt;=$H59)*($E$2:$E$501&lt;$H58)," ")))</f>
        <v xml:space="preserve"> </v>
      </c>
      <c r="Y58" t="str" cm="1">
        <f t="array" ref="Y58">_xlfn.TEXTJOIN(",",TRUE,(_xlfn._xlws.FILTER($A$2:$A$501,($D$2:$D$501&gt;=Z$7)*($D$2:$D$501&lt;Y$7)*($E$2:$E$501&gt;=$H59)*($E$2:$E$501&lt;$H58)," ")))</f>
        <v xml:space="preserve"> </v>
      </c>
      <c r="Z58" t="str" cm="1">
        <f t="array" ref="Z58">_xlfn.TEXTJOIN(",",TRUE,(_xlfn._xlws.FILTER($A$2:$A$501,($D$2:$D$501&gt;=AA$7)*($D$2:$D$501&lt;Z$7)*($E$2:$E$501&gt;=$H59)*($E$2:$E$501&lt;$H58)," ")))</f>
        <v xml:space="preserve"> </v>
      </c>
      <c r="AA58" t="str" cm="1">
        <f t="array" ref="AA58">_xlfn.TEXTJOIN(",",TRUE,(_xlfn._xlws.FILTER($A$2:$A$501,($D$2:$D$501&gt;=AB$7)*($D$2:$D$501&lt;AA$7)*($E$2:$E$501&gt;=$H59)*($E$2:$E$501&lt;$H58)," ")))</f>
        <v xml:space="preserve"> </v>
      </c>
      <c r="AB58" t="str" cm="1">
        <f t="array" ref="AB58">_xlfn.TEXTJOIN(",",TRUE,(_xlfn._xlws.FILTER($A$2:$A$501,($D$2:$D$501&gt;=AC$7)*($D$2:$D$501&lt;AB$7)*($E$2:$E$501&gt;=$H59)*($E$2:$E$501&lt;$H58)," ")))</f>
        <v xml:space="preserve"> </v>
      </c>
      <c r="AC58" t="str" cm="1">
        <f t="array" ref="AC58">_xlfn.TEXTJOIN(",",TRUE,(_xlfn._xlws.FILTER($A$2:$A$501,($D$2:$D$501&gt;=AD$7)*($D$2:$D$501&lt;AC$7)*($E$2:$E$501&gt;=$H59)*($E$2:$E$501&lt;$H58)," ")))</f>
        <v xml:space="preserve"> </v>
      </c>
      <c r="AD58" t="str" cm="1">
        <f t="array" ref="AD58">_xlfn.TEXTJOIN(",",TRUE,(_xlfn._xlws.FILTER($A$2:$A$501,($D$2:$D$501&gt;=AE$7)*($D$2:$D$501&lt;AD$7)*($E$2:$E$501&gt;=$H59)*($E$2:$E$501&lt;$H58)," ")))</f>
        <v xml:space="preserve"> </v>
      </c>
      <c r="AE58" t="str" cm="1">
        <f t="array" ref="AE58">_xlfn.TEXTJOIN(",",TRUE,(_xlfn._xlws.FILTER($A$2:$A$501,($D$2:$D$501&gt;=AF$7)*($D$2:$D$501&lt;AE$7)*($E$2:$E$501&gt;=$H59)*($E$2:$E$501&lt;$H58)," ")))</f>
        <v xml:space="preserve"> </v>
      </c>
      <c r="AF58" t="str" cm="1">
        <f t="array" ref="AF58">_xlfn.TEXTJOIN(",",TRUE,(_xlfn._xlws.FILTER($A$2:$A$501,($D$2:$D$501&gt;=AG$7)*($D$2:$D$501&lt;AF$7)*($E$2:$E$501&gt;=$H59)*($E$2:$E$501&lt;$H58)," ")))</f>
        <v xml:space="preserve"> </v>
      </c>
      <c r="AG58" t="str" cm="1">
        <f t="array" ref="AG58">_xlfn.TEXTJOIN(",",TRUE,(_xlfn._xlws.FILTER($A$2:$A$501,($D$2:$D$501&gt;=AH$7)*($D$2:$D$501&lt;AG$7)*($E$2:$E$501&gt;=$H59)*($E$2:$E$501&lt;$H58)," ")))</f>
        <v xml:space="preserve"> </v>
      </c>
      <c r="AH58" t="str" cm="1">
        <f t="array" ref="AH58">_xlfn.TEXTJOIN(",",TRUE,(_xlfn._xlws.FILTER($A$2:$A$501,($D$2:$D$501&gt;=AI$7)*($D$2:$D$501&lt;AH$7)*($E$2:$E$501&gt;=$H59)*($E$2:$E$501&lt;$H58)," ")))</f>
        <v xml:space="preserve"> </v>
      </c>
      <c r="AI58" t="str" cm="1">
        <f t="array" ref="AI58">_xlfn.TEXTJOIN(",",TRUE,(_xlfn._xlws.FILTER($A$2:$A$501,($D$2:$D$501&gt;=AJ$7)*($D$2:$D$501&lt;AI$7)*($E$2:$E$501&gt;=$H59)*($E$2:$E$501&lt;$H58)," ")))</f>
        <v xml:space="preserve"> </v>
      </c>
      <c r="AJ58" t="str" cm="1">
        <f t="array" ref="AJ58">_xlfn.TEXTJOIN(",",TRUE,(_xlfn._xlws.FILTER($A$2:$A$501,($D$2:$D$501&gt;=AK$7)*($D$2:$D$501&lt;AJ$7)*($E$2:$E$501&gt;=$H59)*($E$2:$E$501&lt;$H58)," ")))</f>
        <v xml:space="preserve"> </v>
      </c>
      <c r="AK58" t="str" cm="1">
        <f t="array" ref="AK58">_xlfn.TEXTJOIN(",",TRUE,(_xlfn._xlws.FILTER($A$2:$A$501,($D$2:$D$501&gt;=AL$7)*($D$2:$D$501&lt;AK$7)*($E$2:$E$501&gt;=$H59)*($E$2:$E$501&lt;$H58)," ")))</f>
        <v xml:space="preserve"> </v>
      </c>
      <c r="AL58" t="str" cm="1">
        <f t="array" ref="AL58">_xlfn.TEXTJOIN(",",TRUE,(_xlfn._xlws.FILTER($A$2:$A$501,($D$2:$D$501&gt;=AM$7)*($D$2:$D$501&lt;AL$7)*($E$2:$E$501&gt;=$H59)*($E$2:$E$501&lt;$H58)," ")))</f>
        <v xml:space="preserve"> </v>
      </c>
      <c r="AM58" t="str" cm="1">
        <f t="array" ref="AM58">_xlfn.TEXTJOIN(",",TRUE,(_xlfn._xlws.FILTER($A$2:$A$501,($D$2:$D$501&gt;=AN$7)*($D$2:$D$501&lt;AM$7)*($E$2:$E$501&gt;=$H59)*($E$2:$E$501&lt;$H58)," ")))</f>
        <v xml:space="preserve"> </v>
      </c>
      <c r="AN58" t="str" cm="1">
        <f t="array" ref="AN58">_xlfn.TEXTJOIN(",",TRUE,(_xlfn._xlws.FILTER($A$2:$A$501,($D$2:$D$501&gt;=AO$7)*($D$2:$D$501&lt;AN$7)*($E$2:$E$501&gt;=$H59)*($E$2:$E$501&lt;$H58)," ")))</f>
        <v xml:space="preserve"> </v>
      </c>
      <c r="AO58" t="str" cm="1">
        <f t="array" ref="AO58">_xlfn.TEXTJOIN(",",TRUE,(_xlfn._xlws.FILTER($A$2:$A$501,($D$2:$D$501&gt;=AP$7)*($D$2:$D$501&lt;AO$7)*($E$2:$E$501&gt;=$H59)*($E$2:$E$501&lt;$H58)," ")))</f>
        <v xml:space="preserve"> </v>
      </c>
      <c r="AP58" t="str" cm="1">
        <f t="array" ref="AP58">_xlfn.TEXTJOIN(",",TRUE,(_xlfn._xlws.FILTER($A$2:$A$501,($D$2:$D$501&gt;=AQ$7)*($D$2:$D$501&lt;AP$7)*($E$2:$E$501&gt;=$H59)*($E$2:$E$501&lt;$H58)," ")))</f>
        <v xml:space="preserve"> </v>
      </c>
      <c r="AQ58" t="str" cm="1">
        <f t="array" ref="AQ58">_xlfn.TEXTJOIN(",",TRUE,(_xlfn._xlws.FILTER($A$2:$A$501,($D$2:$D$501&gt;=AR$7)*($D$2:$D$501&lt;AQ$7)*($E$2:$E$501&gt;=$H59)*($E$2:$E$501&lt;$H58)," ")))</f>
        <v xml:space="preserve"> </v>
      </c>
      <c r="AR58" t="str" cm="1">
        <f t="array" ref="AR58">_xlfn.TEXTJOIN(",",TRUE,(_xlfn._xlws.FILTER($A$2:$A$501,($D$2:$D$501&gt;=AS$7)*($D$2:$D$501&lt;AR$7)*($E$2:$E$501&gt;=$H59)*($E$2:$E$501&lt;$H58)," ")))</f>
        <v xml:space="preserve"> </v>
      </c>
      <c r="AS58" t="str" cm="1">
        <f t="array" ref="AS58">_xlfn.TEXTJOIN(",",TRUE,(_xlfn._xlws.FILTER($A$2:$A$501,($D$2:$D$501&gt;=AT$7)*($D$2:$D$501&lt;AS$7)*($E$2:$E$501&gt;=$H59)*($E$2:$E$501&lt;$H58)," ")))</f>
        <v xml:space="preserve"> </v>
      </c>
      <c r="AT58" t="str" cm="1">
        <f t="array" ref="AT58">_xlfn.TEXTJOIN(",",TRUE,(_xlfn._xlws.FILTER($A$2:$A$501,($D$2:$D$501&gt;=AU$7)*($D$2:$D$501&lt;AT$7)*($E$2:$E$501&gt;=$H59)*($E$2:$E$501&lt;$H58)," ")))</f>
        <v xml:space="preserve"> </v>
      </c>
      <c r="AU58" t="str" cm="1">
        <f t="array" ref="AU58">_xlfn.TEXTJOIN(",",TRUE,(_xlfn._xlws.FILTER($A$2:$A$501,($D$2:$D$501&gt;=AV$7)*($D$2:$D$501&lt;AU$7)*($E$2:$E$501&gt;=$H59)*($E$2:$E$501&lt;$H58)," ")))</f>
        <v xml:space="preserve"> </v>
      </c>
      <c r="AV58" t="str" cm="1">
        <f t="array" ref="AV58">_xlfn.TEXTJOIN(",",TRUE,(_xlfn._xlws.FILTER($A$2:$A$501,($D$2:$D$501&gt;=AW$7)*($D$2:$D$501&lt;AV$7)*($E$2:$E$501&gt;=$H59)*($E$2:$E$501&lt;$H58)," ")))</f>
        <v xml:space="preserve"> </v>
      </c>
      <c r="AW58" t="str" cm="1">
        <f t="array" ref="AW58">_xlfn.TEXTJOIN(",",TRUE,(_xlfn._xlws.FILTER($A$2:$A$501,($D$2:$D$501&gt;=AX$7)*($D$2:$D$501&lt;AW$7)*($E$2:$E$501&gt;=$H59)*($E$2:$E$501&lt;$H58)," ")))</f>
        <v xml:space="preserve"> </v>
      </c>
      <c r="AX58" t="str" cm="1">
        <f t="array" ref="AX58">_xlfn.TEXTJOIN(",",TRUE,(_xlfn._xlws.FILTER($A$2:$A$501,($D$2:$D$501&gt;=AY$7)*($D$2:$D$501&lt;AX$7)*($E$2:$E$501&gt;=$H59)*($E$2:$E$501&lt;$H58)," ")))</f>
        <v xml:space="preserve"> </v>
      </c>
      <c r="AY58" t="str" cm="1">
        <f t="array" ref="AY58">_xlfn.TEXTJOIN(",",TRUE,(_xlfn._xlws.FILTER($A$2:$A$501,($D$2:$D$501&gt;=AZ$7)*($D$2:$D$501&lt;AY$7)*($E$2:$E$501&gt;=$H59)*($E$2:$E$501&lt;$H58)," ")))</f>
        <v xml:space="preserve"> </v>
      </c>
      <c r="AZ58" t="str" cm="1">
        <f t="array" ref="AZ58">_xlfn.TEXTJOIN(",",TRUE,(_xlfn._xlws.FILTER($A$2:$A$501,($D$2:$D$501&gt;=BA$7)*($D$2:$D$501&lt;AZ$7)*($E$2:$E$501&gt;=$H59)*($E$2:$E$501&lt;$H58)," ")))</f>
        <v xml:space="preserve"> </v>
      </c>
      <c r="BA58" t="str" cm="1">
        <f t="array" ref="BA58">_xlfn.TEXTJOIN(",",TRUE,(_xlfn._xlws.FILTER($A$2:$A$501,($D$2:$D$501&gt;=BB$7)*($D$2:$D$501&lt;BA$7)*($E$2:$E$501&gt;=$H59)*($E$2:$E$501&lt;$H58)," ")))</f>
        <v xml:space="preserve"> </v>
      </c>
      <c r="BB58" t="str" cm="1">
        <f t="array" ref="BB58">_xlfn.TEXTJOIN(",",TRUE,(_xlfn._xlws.FILTER($A$2:$A$501,($D$2:$D$501&gt;=BC$7)*($D$2:$D$501&lt;BB$7)*($E$2:$E$501&gt;=$H59)*($E$2:$E$501&lt;$H58)," ")))</f>
        <v xml:space="preserve"> </v>
      </c>
    </row>
    <row r="59" spans="1:54" x14ac:dyDescent="0.2">
      <c r="A59" s="3" t="s">
        <v>497</v>
      </c>
      <c r="B59" s="3" t="s">
        <v>493</v>
      </c>
      <c r="C59" s="13">
        <v>1184482.32</v>
      </c>
      <c r="D59" s="15">
        <v>23009581.16</v>
      </c>
      <c r="E59" s="22">
        <f>TuitionRates3[[#This Row],[Tuition]]/D59</f>
        <v>5.1477787090671231E-2</v>
      </c>
      <c r="F59"/>
      <c r="H59" s="18">
        <v>9.9000000000000005E-2</v>
      </c>
      <c r="I59" t="str" cm="1">
        <f t="array" ref="I59">_xlfn.TEXTJOIN(",",TRUE,(_xlfn._xlws.FILTER($A$2:$A$501,($D$2:$D$501&gt;=J$7)*($D$2:$D$501&lt;I$7)*($E$2:$E$501&gt;=$H60)*($E$2:$E$501&lt;$H59)," ")))</f>
        <v xml:space="preserve"> </v>
      </c>
      <c r="J59" t="str" cm="1">
        <f t="array" ref="J59">_xlfn.TEXTJOIN(",",TRUE,(_xlfn._xlws.FILTER($A$2:$A$501,($D$2:$D$501&gt;=K$7)*($D$2:$D$501&lt;J$7)*($E$2:$E$501&gt;=$H60)*($E$2:$E$501&lt;$H59)," ")))</f>
        <v xml:space="preserve"> </v>
      </c>
      <c r="K59" t="str" cm="1">
        <f t="array" ref="K59">_xlfn.TEXTJOIN(",",TRUE,(_xlfn._xlws.FILTER($A$2:$A$501,($D$2:$D$501&gt;=L$7)*($D$2:$D$501&lt;K$7)*($E$2:$E$501&gt;=$H60)*($E$2:$E$501&lt;$H59)," ")))</f>
        <v xml:space="preserve"> </v>
      </c>
      <c r="L59" t="str" cm="1">
        <f t="array" ref="L59">_xlfn.TEXTJOIN(",",TRUE,(_xlfn._xlws.FILTER($A$2:$A$501,($D$2:$D$501&gt;=M$7)*($D$2:$D$501&lt;L$7)*($E$2:$E$501&gt;=$H60)*($E$2:$E$501&lt;$H59)," ")))</f>
        <v xml:space="preserve"> </v>
      </c>
      <c r="M59" t="str" cm="1">
        <f t="array" ref="M59">_xlfn.TEXTJOIN(",",TRUE,(_xlfn._xlws.FILTER($A$2:$A$501,($D$2:$D$501&gt;=N$7)*($D$2:$D$501&lt;M$7)*($E$2:$E$501&gt;=$H60)*($E$2:$E$501&lt;$H59)," ")))</f>
        <v xml:space="preserve"> </v>
      </c>
      <c r="N59" t="str" cm="1">
        <f t="array" ref="N59">_xlfn.TEXTJOIN(",",TRUE,(_xlfn._xlws.FILTER($A$2:$A$501,($D$2:$D$501&gt;=O$7)*($D$2:$D$501&lt;N$7)*($E$2:$E$501&gt;=$H60)*($E$2:$E$501&lt;$H59)," ")))</f>
        <v xml:space="preserve"> </v>
      </c>
      <c r="O59" t="str" cm="1">
        <f t="array" ref="O59">_xlfn.TEXTJOIN(",",TRUE,(_xlfn._xlws.FILTER($A$2:$A$501,($D$2:$D$501&gt;=P$7)*($D$2:$D$501&lt;O$7)*($E$2:$E$501&gt;=$H60)*($E$2:$E$501&lt;$H59)," ")))</f>
        <v xml:space="preserve"> </v>
      </c>
      <c r="P59" t="str" cm="1">
        <f t="array" ref="P59">_xlfn.TEXTJOIN(",",TRUE,(_xlfn._xlws.FILTER($A$2:$A$501,($D$2:$D$501&gt;=Q$7)*($D$2:$D$501&lt;P$7)*($E$2:$E$501&gt;=$H60)*($E$2:$E$501&lt;$H59)," ")))</f>
        <v xml:space="preserve"> </v>
      </c>
      <c r="Q59" t="str" cm="1">
        <f t="array" ref="Q59">_xlfn.TEXTJOIN(",",TRUE,(_xlfn._xlws.FILTER($A$2:$A$501,($D$2:$D$501&gt;=R$7)*($D$2:$D$501&lt;Q$7)*($E$2:$E$501&gt;=$H60)*($E$2:$E$501&lt;$H59)," ")))</f>
        <v xml:space="preserve"> </v>
      </c>
      <c r="R59" t="str" cm="1">
        <f t="array" ref="R59">_xlfn.TEXTJOIN(",",TRUE,(_xlfn._xlws.FILTER($A$2:$A$501,($D$2:$D$501&gt;=S$7)*($D$2:$D$501&lt;R$7)*($E$2:$E$501&gt;=$H60)*($E$2:$E$501&lt;$H59)," ")))</f>
        <v xml:space="preserve"> </v>
      </c>
      <c r="S59" t="str" cm="1">
        <f t="array" ref="S59">_xlfn.TEXTJOIN(",",TRUE,(_xlfn._xlws.FILTER($A$2:$A$501,($D$2:$D$501&gt;=T$7)*($D$2:$D$501&lt;S$7)*($E$2:$E$501&gt;=$H60)*($E$2:$E$501&lt;$H59)," ")))</f>
        <v xml:space="preserve"> </v>
      </c>
      <c r="T59" t="str" cm="1">
        <f t="array" ref="T59">_xlfn.TEXTJOIN(",",TRUE,(_xlfn._xlws.FILTER($A$2:$A$501,($D$2:$D$501&gt;=U$7)*($D$2:$D$501&lt;T$7)*($E$2:$E$501&gt;=$H60)*($E$2:$E$501&lt;$H59)," ")))</f>
        <v xml:space="preserve"> </v>
      </c>
      <c r="U59" t="str" cm="1">
        <f t="array" ref="U59">_xlfn.TEXTJOIN(",",TRUE,(_xlfn._xlws.FILTER($A$2:$A$501,($D$2:$D$501&gt;=V$7)*($D$2:$D$501&lt;U$7)*($E$2:$E$501&gt;=$H60)*($E$2:$E$501&lt;$H59)," ")))</f>
        <v xml:space="preserve"> </v>
      </c>
      <c r="V59" t="str" cm="1">
        <f t="array" ref="V59">_xlfn.TEXTJOIN(",",TRUE,(_xlfn._xlws.FILTER($A$2:$A$501,($D$2:$D$501&gt;=W$7)*($D$2:$D$501&lt;V$7)*($E$2:$E$501&gt;=$H60)*($E$2:$E$501&lt;$H59)," ")))</f>
        <v xml:space="preserve"> </v>
      </c>
      <c r="W59" t="str" cm="1">
        <f t="array" ref="W59">_xlfn.TEXTJOIN(",",TRUE,(_xlfn._xlws.FILTER($A$2:$A$501,($D$2:$D$501&gt;=X$7)*($D$2:$D$501&lt;W$7)*($E$2:$E$501&gt;=$H60)*($E$2:$E$501&lt;$H59)," ")))</f>
        <v xml:space="preserve"> </v>
      </c>
      <c r="X59" t="str" cm="1">
        <f t="array" ref="X59">_xlfn.TEXTJOIN(",",TRUE,(_xlfn._xlws.FILTER($A$2:$A$501,($D$2:$D$501&gt;=Y$7)*($D$2:$D$501&lt;X$7)*($E$2:$E$501&gt;=$H60)*($E$2:$E$501&lt;$H59)," ")))</f>
        <v xml:space="preserve"> </v>
      </c>
      <c r="Y59" t="str" cm="1">
        <f t="array" ref="Y59">_xlfn.TEXTJOIN(",",TRUE,(_xlfn._xlws.FILTER($A$2:$A$501,($D$2:$D$501&gt;=Z$7)*($D$2:$D$501&lt;Y$7)*($E$2:$E$501&gt;=$H60)*($E$2:$E$501&lt;$H59)," ")))</f>
        <v xml:space="preserve"> </v>
      </c>
      <c r="Z59" t="str" cm="1">
        <f t="array" ref="Z59">_xlfn.TEXTJOIN(",",TRUE,(_xlfn._xlws.FILTER($A$2:$A$501,($D$2:$D$501&gt;=AA$7)*($D$2:$D$501&lt;Z$7)*($E$2:$E$501&gt;=$H60)*($E$2:$E$501&lt;$H59)," ")))</f>
        <v xml:space="preserve"> </v>
      </c>
      <c r="AA59" t="str" cm="1">
        <f t="array" ref="AA59">_xlfn.TEXTJOIN(",",TRUE,(_xlfn._xlws.FILTER($A$2:$A$501,($D$2:$D$501&gt;=AB$7)*($D$2:$D$501&lt;AA$7)*($E$2:$E$501&gt;=$H60)*($E$2:$E$501&lt;$H59)," ")))</f>
        <v xml:space="preserve"> </v>
      </c>
      <c r="AB59" t="str" cm="1">
        <f t="array" ref="AB59">_xlfn.TEXTJOIN(",",TRUE,(_xlfn._xlws.FILTER($A$2:$A$501,($D$2:$D$501&gt;=AC$7)*($D$2:$D$501&lt;AB$7)*($E$2:$E$501&gt;=$H60)*($E$2:$E$501&lt;$H59)," ")))</f>
        <v xml:space="preserve"> </v>
      </c>
      <c r="AC59" t="str" cm="1">
        <f t="array" ref="AC59">_xlfn.TEXTJOIN(",",TRUE,(_xlfn._xlws.FILTER($A$2:$A$501,($D$2:$D$501&gt;=AD$7)*($D$2:$D$501&lt;AC$7)*($E$2:$E$501&gt;=$H60)*($E$2:$E$501&lt;$H59)," ")))</f>
        <v xml:space="preserve"> </v>
      </c>
      <c r="AD59" t="str" cm="1">
        <f t="array" ref="AD59">_xlfn.TEXTJOIN(",",TRUE,(_xlfn._xlws.FILTER($A$2:$A$501,($D$2:$D$501&gt;=AE$7)*($D$2:$D$501&lt;AD$7)*($E$2:$E$501&gt;=$H60)*($E$2:$E$501&lt;$H59)," ")))</f>
        <v xml:space="preserve"> </v>
      </c>
      <c r="AE59" t="str" cm="1">
        <f t="array" ref="AE59">_xlfn.TEXTJOIN(",",TRUE,(_xlfn._xlws.FILTER($A$2:$A$501,($D$2:$D$501&gt;=AF$7)*($D$2:$D$501&lt;AE$7)*($E$2:$E$501&gt;=$H60)*($E$2:$E$501&lt;$H59)," ")))</f>
        <v xml:space="preserve"> </v>
      </c>
      <c r="AF59" t="str" cm="1">
        <f t="array" ref="AF59">_xlfn.TEXTJOIN(",",TRUE,(_xlfn._xlws.FILTER($A$2:$A$501,($D$2:$D$501&gt;=AG$7)*($D$2:$D$501&lt;AF$7)*($E$2:$E$501&gt;=$H60)*($E$2:$E$501&lt;$H59)," ")))</f>
        <v xml:space="preserve"> </v>
      </c>
      <c r="AG59" t="str" cm="1">
        <f t="array" ref="AG59">_xlfn.TEXTJOIN(",",TRUE,(_xlfn._xlws.FILTER($A$2:$A$501,($D$2:$D$501&gt;=AH$7)*($D$2:$D$501&lt;AG$7)*($E$2:$E$501&gt;=$H60)*($E$2:$E$501&lt;$H59)," ")))</f>
        <v xml:space="preserve"> </v>
      </c>
      <c r="AH59" t="str" cm="1">
        <f t="array" ref="AH59">_xlfn.TEXTJOIN(",",TRUE,(_xlfn._xlws.FILTER($A$2:$A$501,($D$2:$D$501&gt;=AI$7)*($D$2:$D$501&lt;AH$7)*($E$2:$E$501&gt;=$H60)*($E$2:$E$501&lt;$H59)," ")))</f>
        <v xml:space="preserve"> </v>
      </c>
      <c r="AI59" t="str" cm="1">
        <f t="array" ref="AI59">_xlfn.TEXTJOIN(",",TRUE,(_xlfn._xlws.FILTER($A$2:$A$501,($D$2:$D$501&gt;=AJ$7)*($D$2:$D$501&lt;AI$7)*($E$2:$E$501&gt;=$H60)*($E$2:$E$501&lt;$H59)," ")))</f>
        <v xml:space="preserve"> </v>
      </c>
      <c r="AJ59" t="str" cm="1">
        <f t="array" ref="AJ59">_xlfn.TEXTJOIN(",",TRUE,(_xlfn._xlws.FILTER($A$2:$A$501,($D$2:$D$501&gt;=AK$7)*($D$2:$D$501&lt;AJ$7)*($E$2:$E$501&gt;=$H60)*($E$2:$E$501&lt;$H59)," ")))</f>
        <v xml:space="preserve"> </v>
      </c>
      <c r="AK59" t="str" cm="1">
        <f t="array" ref="AK59">_xlfn.TEXTJOIN(",",TRUE,(_xlfn._xlws.FILTER($A$2:$A$501,($D$2:$D$501&gt;=AL$7)*($D$2:$D$501&lt;AK$7)*($E$2:$E$501&gt;=$H60)*($E$2:$E$501&lt;$H59)," ")))</f>
        <v xml:space="preserve"> </v>
      </c>
      <c r="AL59" t="str" cm="1">
        <f t="array" ref="AL59">_xlfn.TEXTJOIN(",",TRUE,(_xlfn._xlws.FILTER($A$2:$A$501,($D$2:$D$501&gt;=AM$7)*($D$2:$D$501&lt;AL$7)*($E$2:$E$501&gt;=$H60)*($E$2:$E$501&lt;$H59)," ")))</f>
        <v xml:space="preserve"> </v>
      </c>
      <c r="AM59" t="str" cm="1">
        <f t="array" ref="AM59">_xlfn.TEXTJOIN(",",TRUE,(_xlfn._xlws.FILTER($A$2:$A$501,($D$2:$D$501&gt;=AN$7)*($D$2:$D$501&lt;AM$7)*($E$2:$E$501&gt;=$H60)*($E$2:$E$501&lt;$H59)," ")))</f>
        <v xml:space="preserve"> </v>
      </c>
      <c r="AN59" t="str" cm="1">
        <f t="array" ref="AN59">_xlfn.TEXTJOIN(",",TRUE,(_xlfn._xlws.FILTER($A$2:$A$501,($D$2:$D$501&gt;=AO$7)*($D$2:$D$501&lt;AN$7)*($E$2:$E$501&gt;=$H60)*($E$2:$E$501&lt;$H59)," ")))</f>
        <v xml:space="preserve"> </v>
      </c>
      <c r="AO59" t="str" cm="1">
        <f t="array" ref="AO59">_xlfn.TEXTJOIN(",",TRUE,(_xlfn._xlws.FILTER($A$2:$A$501,($D$2:$D$501&gt;=AP$7)*($D$2:$D$501&lt;AO$7)*($E$2:$E$501&gt;=$H60)*($E$2:$E$501&lt;$H59)," ")))</f>
        <v xml:space="preserve"> </v>
      </c>
      <c r="AP59" t="str" cm="1">
        <f t="array" ref="AP59">_xlfn.TEXTJOIN(",",TRUE,(_xlfn._xlws.FILTER($A$2:$A$501,($D$2:$D$501&gt;=AQ$7)*($D$2:$D$501&lt;AP$7)*($E$2:$E$501&gt;=$H60)*($E$2:$E$501&lt;$H59)," ")))</f>
        <v xml:space="preserve"> </v>
      </c>
      <c r="AQ59" t="str" cm="1">
        <f t="array" ref="AQ59">_xlfn.TEXTJOIN(",",TRUE,(_xlfn._xlws.FILTER($A$2:$A$501,($D$2:$D$501&gt;=AR$7)*($D$2:$D$501&lt;AQ$7)*($E$2:$E$501&gt;=$H60)*($E$2:$E$501&lt;$H59)," ")))</f>
        <v xml:space="preserve"> </v>
      </c>
      <c r="AR59" t="str" cm="1">
        <f t="array" ref="AR59">_xlfn.TEXTJOIN(",",TRUE,(_xlfn._xlws.FILTER($A$2:$A$501,($D$2:$D$501&gt;=AS$7)*($D$2:$D$501&lt;AR$7)*($E$2:$E$501&gt;=$H60)*($E$2:$E$501&lt;$H59)," ")))</f>
        <v xml:space="preserve"> </v>
      </c>
      <c r="AS59" t="str" cm="1">
        <f t="array" ref="AS59">_xlfn.TEXTJOIN(",",TRUE,(_xlfn._xlws.FILTER($A$2:$A$501,($D$2:$D$501&gt;=AT$7)*($D$2:$D$501&lt;AS$7)*($E$2:$E$501&gt;=$H60)*($E$2:$E$501&lt;$H59)," ")))</f>
        <v xml:space="preserve"> </v>
      </c>
      <c r="AT59" t="str" cm="1">
        <f t="array" ref="AT59">_xlfn.TEXTJOIN(",",TRUE,(_xlfn._xlws.FILTER($A$2:$A$501,($D$2:$D$501&gt;=AU$7)*($D$2:$D$501&lt;AT$7)*($E$2:$E$501&gt;=$H60)*($E$2:$E$501&lt;$H59)," ")))</f>
        <v xml:space="preserve"> </v>
      </c>
      <c r="AU59" t="str" cm="1">
        <f t="array" ref="AU59">_xlfn.TEXTJOIN(",",TRUE,(_xlfn._xlws.FILTER($A$2:$A$501,($D$2:$D$501&gt;=AV$7)*($D$2:$D$501&lt;AU$7)*($E$2:$E$501&gt;=$H60)*($E$2:$E$501&lt;$H59)," ")))</f>
        <v xml:space="preserve"> </v>
      </c>
      <c r="AV59" t="str" cm="1">
        <f t="array" ref="AV59">_xlfn.TEXTJOIN(",",TRUE,(_xlfn._xlws.FILTER($A$2:$A$501,($D$2:$D$501&gt;=AW$7)*($D$2:$D$501&lt;AV$7)*($E$2:$E$501&gt;=$H60)*($E$2:$E$501&lt;$H59)," ")))</f>
        <v xml:space="preserve"> </v>
      </c>
      <c r="AW59" t="str" cm="1">
        <f t="array" ref="AW59">_xlfn.TEXTJOIN(",",TRUE,(_xlfn._xlws.FILTER($A$2:$A$501,($D$2:$D$501&gt;=AX$7)*($D$2:$D$501&lt;AW$7)*($E$2:$E$501&gt;=$H60)*($E$2:$E$501&lt;$H59)," ")))</f>
        <v xml:space="preserve"> </v>
      </c>
      <c r="AX59" t="str" cm="1">
        <f t="array" ref="AX59">_xlfn.TEXTJOIN(",",TRUE,(_xlfn._xlws.FILTER($A$2:$A$501,($D$2:$D$501&gt;=AY$7)*($D$2:$D$501&lt;AX$7)*($E$2:$E$501&gt;=$H60)*($E$2:$E$501&lt;$H59)," ")))</f>
        <v xml:space="preserve"> </v>
      </c>
      <c r="AY59" t="str" cm="1">
        <f t="array" ref="AY59">_xlfn.TEXTJOIN(",",TRUE,(_xlfn._xlws.FILTER($A$2:$A$501,($D$2:$D$501&gt;=AZ$7)*($D$2:$D$501&lt;AY$7)*($E$2:$E$501&gt;=$H60)*($E$2:$E$501&lt;$H59)," ")))</f>
        <v xml:space="preserve"> </v>
      </c>
      <c r="AZ59" t="str" cm="1">
        <f t="array" ref="AZ59">_xlfn.TEXTJOIN(",",TRUE,(_xlfn._xlws.FILTER($A$2:$A$501,($D$2:$D$501&gt;=BA$7)*($D$2:$D$501&lt;AZ$7)*($E$2:$E$501&gt;=$H60)*($E$2:$E$501&lt;$H59)," ")))</f>
        <v xml:space="preserve"> </v>
      </c>
      <c r="BA59" t="str" cm="1">
        <f t="array" ref="BA59">_xlfn.TEXTJOIN(",",TRUE,(_xlfn._xlws.FILTER($A$2:$A$501,($D$2:$D$501&gt;=BB$7)*($D$2:$D$501&lt;BA$7)*($E$2:$E$501&gt;=$H60)*($E$2:$E$501&lt;$H59)," ")))</f>
        <v xml:space="preserve"> </v>
      </c>
      <c r="BB59" t="str" cm="1">
        <f t="array" ref="BB59">_xlfn.TEXTJOIN(",",TRUE,(_xlfn._xlws.FILTER($A$2:$A$501,($D$2:$D$501&gt;=BC$7)*($D$2:$D$501&lt;BB$7)*($E$2:$E$501&gt;=$H60)*($E$2:$E$501&lt;$H59)," ")))</f>
        <v xml:space="preserve"> </v>
      </c>
    </row>
    <row r="60" spans="1:54" x14ac:dyDescent="0.2">
      <c r="A60" s="3" t="s">
        <v>568</v>
      </c>
      <c r="B60" s="3" t="s">
        <v>554</v>
      </c>
      <c r="C60" s="13">
        <v>9365542.6600000001</v>
      </c>
      <c r="D60" s="15">
        <v>182236908.03999999</v>
      </c>
      <c r="E60" s="22">
        <f>TuitionRates3[[#This Row],[Tuition]]/D60</f>
        <v>5.1392128854295067E-2</v>
      </c>
      <c r="F60"/>
      <c r="H60" s="18">
        <v>9.8000000000000004E-2</v>
      </c>
      <c r="I60" t="str" cm="1">
        <f t="array" ref="I60">_xlfn.TEXTJOIN(",",TRUE,(_xlfn._xlws.FILTER($A$2:$A$501,($D$2:$D$501&gt;=J$7)*($D$2:$D$501&lt;I$7)*($E$2:$E$501&gt;=$H61)*($E$2:$E$501&lt;$H60)," ")))</f>
        <v xml:space="preserve"> </v>
      </c>
      <c r="J60" t="str" cm="1">
        <f t="array" ref="J60">_xlfn.TEXTJOIN(",",TRUE,(_xlfn._xlws.FILTER($A$2:$A$501,($D$2:$D$501&gt;=K$7)*($D$2:$D$501&lt;J$7)*($E$2:$E$501&gt;=$H61)*($E$2:$E$501&lt;$H60)," ")))</f>
        <v xml:space="preserve"> </v>
      </c>
      <c r="K60" t="str" cm="1">
        <f t="array" ref="K60">_xlfn.TEXTJOIN(",",TRUE,(_xlfn._xlws.FILTER($A$2:$A$501,($D$2:$D$501&gt;=L$7)*($D$2:$D$501&lt;K$7)*($E$2:$E$501&gt;=$H61)*($E$2:$E$501&lt;$H60)," ")))</f>
        <v xml:space="preserve"> </v>
      </c>
      <c r="L60" t="str" cm="1">
        <f t="array" ref="L60">_xlfn.TEXTJOIN(",",TRUE,(_xlfn._xlws.FILTER($A$2:$A$501,($D$2:$D$501&gt;=M$7)*($D$2:$D$501&lt;L$7)*($E$2:$E$501&gt;=$H61)*($E$2:$E$501&lt;$H60)," ")))</f>
        <v xml:space="preserve"> </v>
      </c>
      <c r="M60" t="str" cm="1">
        <f t="array" ref="M60">_xlfn.TEXTJOIN(",",TRUE,(_xlfn._xlws.FILTER($A$2:$A$501,($D$2:$D$501&gt;=N$7)*($D$2:$D$501&lt;M$7)*($E$2:$E$501&gt;=$H61)*($E$2:$E$501&lt;$H60)," ")))</f>
        <v xml:space="preserve"> </v>
      </c>
      <c r="N60" t="str" cm="1">
        <f t="array" ref="N60">_xlfn.TEXTJOIN(",",TRUE,(_xlfn._xlws.FILTER($A$2:$A$501,($D$2:$D$501&gt;=O$7)*($D$2:$D$501&lt;N$7)*($E$2:$E$501&gt;=$H61)*($E$2:$E$501&lt;$H60)," ")))</f>
        <v xml:space="preserve"> </v>
      </c>
      <c r="O60" t="str" cm="1">
        <f t="array" ref="O60">_xlfn.TEXTJOIN(",",TRUE,(_xlfn._xlws.FILTER($A$2:$A$501,($D$2:$D$501&gt;=P$7)*($D$2:$D$501&lt;O$7)*($E$2:$E$501&gt;=$H61)*($E$2:$E$501&lt;$H60)," ")))</f>
        <v xml:space="preserve"> </v>
      </c>
      <c r="P60" t="str" cm="1">
        <f t="array" ref="P60">_xlfn.TEXTJOIN(",",TRUE,(_xlfn._xlws.FILTER($A$2:$A$501,($D$2:$D$501&gt;=Q$7)*($D$2:$D$501&lt;P$7)*($E$2:$E$501&gt;=$H61)*($E$2:$E$501&lt;$H60)," ")))</f>
        <v xml:space="preserve"> </v>
      </c>
      <c r="Q60" t="str" cm="1">
        <f t="array" ref="Q60">_xlfn.TEXTJOIN(",",TRUE,(_xlfn._xlws.FILTER($A$2:$A$501,($D$2:$D$501&gt;=R$7)*($D$2:$D$501&lt;Q$7)*($E$2:$E$501&gt;=$H61)*($E$2:$E$501&lt;$H60)," ")))</f>
        <v xml:space="preserve"> </v>
      </c>
      <c r="R60" t="str" cm="1">
        <f t="array" ref="R60">_xlfn.TEXTJOIN(",",TRUE,(_xlfn._xlws.FILTER($A$2:$A$501,($D$2:$D$501&gt;=S$7)*($D$2:$D$501&lt;R$7)*($E$2:$E$501&gt;=$H61)*($E$2:$E$501&lt;$H60)," ")))</f>
        <v xml:space="preserve"> </v>
      </c>
      <c r="S60" t="str" cm="1">
        <f t="array" ref="S60">_xlfn.TEXTJOIN(",",TRUE,(_xlfn._xlws.FILTER($A$2:$A$501,($D$2:$D$501&gt;=T$7)*($D$2:$D$501&lt;S$7)*($E$2:$E$501&gt;=$H61)*($E$2:$E$501&lt;$H60)," ")))</f>
        <v xml:space="preserve"> </v>
      </c>
      <c r="T60" t="str" cm="1">
        <f t="array" ref="T60">_xlfn.TEXTJOIN(",",TRUE,(_xlfn._xlws.FILTER($A$2:$A$501,($D$2:$D$501&gt;=U$7)*($D$2:$D$501&lt;T$7)*($E$2:$E$501&gt;=$H61)*($E$2:$E$501&lt;$H60)," ")))</f>
        <v xml:space="preserve"> </v>
      </c>
      <c r="U60" t="str" cm="1">
        <f t="array" ref="U60">_xlfn.TEXTJOIN(",",TRUE,(_xlfn._xlws.FILTER($A$2:$A$501,($D$2:$D$501&gt;=V$7)*($D$2:$D$501&lt;U$7)*($E$2:$E$501&gt;=$H61)*($E$2:$E$501&lt;$H60)," ")))</f>
        <v xml:space="preserve"> </v>
      </c>
      <c r="V60" t="str" cm="1">
        <f t="array" ref="V60">_xlfn.TEXTJOIN(",",TRUE,(_xlfn._xlws.FILTER($A$2:$A$501,($D$2:$D$501&gt;=W$7)*($D$2:$D$501&lt;V$7)*($E$2:$E$501&gt;=$H61)*($E$2:$E$501&lt;$H60)," ")))</f>
        <v xml:space="preserve"> </v>
      </c>
      <c r="W60" t="str" cm="1">
        <f t="array" ref="W60">_xlfn.TEXTJOIN(",",TRUE,(_xlfn._xlws.FILTER($A$2:$A$501,($D$2:$D$501&gt;=X$7)*($D$2:$D$501&lt;W$7)*($E$2:$E$501&gt;=$H61)*($E$2:$E$501&lt;$H60)," ")))</f>
        <v xml:space="preserve"> </v>
      </c>
      <c r="X60" t="str" cm="1">
        <f t="array" ref="X60">_xlfn.TEXTJOIN(",",TRUE,(_xlfn._xlws.FILTER($A$2:$A$501,($D$2:$D$501&gt;=Y$7)*($D$2:$D$501&lt;X$7)*($E$2:$E$501&gt;=$H61)*($E$2:$E$501&lt;$H60)," ")))</f>
        <v xml:space="preserve"> </v>
      </c>
      <c r="Y60" t="str" cm="1">
        <f t="array" ref="Y60">_xlfn.TEXTJOIN(",",TRUE,(_xlfn._xlws.FILTER($A$2:$A$501,($D$2:$D$501&gt;=Z$7)*($D$2:$D$501&lt;Y$7)*($E$2:$E$501&gt;=$H61)*($E$2:$E$501&lt;$H60)," ")))</f>
        <v xml:space="preserve"> </v>
      </c>
      <c r="Z60" t="str" cm="1">
        <f t="array" ref="Z60">_xlfn.TEXTJOIN(",",TRUE,(_xlfn._xlws.FILTER($A$2:$A$501,($D$2:$D$501&gt;=AA$7)*($D$2:$D$501&lt;Z$7)*($E$2:$E$501&gt;=$H61)*($E$2:$E$501&lt;$H60)," ")))</f>
        <v xml:space="preserve"> </v>
      </c>
      <c r="AA60" t="str" cm="1">
        <f t="array" ref="AA60">_xlfn.TEXTJOIN(",",TRUE,(_xlfn._xlws.FILTER($A$2:$A$501,($D$2:$D$501&gt;=AB$7)*($D$2:$D$501&lt;AA$7)*($E$2:$E$501&gt;=$H61)*($E$2:$E$501&lt;$H60)," ")))</f>
        <v xml:space="preserve"> </v>
      </c>
      <c r="AB60" t="str" cm="1">
        <f t="array" ref="AB60">_xlfn.TEXTJOIN(",",TRUE,(_xlfn._xlws.FILTER($A$2:$A$501,($D$2:$D$501&gt;=AC$7)*($D$2:$D$501&lt;AB$7)*($E$2:$E$501&gt;=$H61)*($E$2:$E$501&lt;$H60)," ")))</f>
        <v xml:space="preserve"> </v>
      </c>
      <c r="AC60" t="str" cm="1">
        <f t="array" ref="AC60">_xlfn.TEXTJOIN(",",TRUE,(_xlfn._xlws.FILTER($A$2:$A$501,($D$2:$D$501&gt;=AD$7)*($D$2:$D$501&lt;AC$7)*($E$2:$E$501&gt;=$H61)*($E$2:$E$501&lt;$H60)," ")))</f>
        <v xml:space="preserve"> </v>
      </c>
      <c r="AD60" t="str" cm="1">
        <f t="array" ref="AD60">_xlfn.TEXTJOIN(",",TRUE,(_xlfn._xlws.FILTER($A$2:$A$501,($D$2:$D$501&gt;=AE$7)*($D$2:$D$501&lt;AD$7)*($E$2:$E$501&gt;=$H61)*($E$2:$E$501&lt;$H60)," ")))</f>
        <v xml:space="preserve"> </v>
      </c>
      <c r="AE60" t="str" cm="1">
        <f t="array" ref="AE60">_xlfn.TEXTJOIN(",",TRUE,(_xlfn._xlws.FILTER($A$2:$A$501,($D$2:$D$501&gt;=AF$7)*($D$2:$D$501&lt;AE$7)*($E$2:$E$501&gt;=$H61)*($E$2:$E$501&lt;$H60)," ")))</f>
        <v xml:space="preserve"> </v>
      </c>
      <c r="AF60" t="str" cm="1">
        <f t="array" ref="AF60">_xlfn.TEXTJOIN(",",TRUE,(_xlfn._xlws.FILTER($A$2:$A$501,($D$2:$D$501&gt;=AG$7)*($D$2:$D$501&lt;AF$7)*($E$2:$E$501&gt;=$H61)*($E$2:$E$501&lt;$H60)," ")))</f>
        <v xml:space="preserve"> </v>
      </c>
      <c r="AG60" t="str" cm="1">
        <f t="array" ref="AG60">_xlfn.TEXTJOIN(",",TRUE,(_xlfn._xlws.FILTER($A$2:$A$501,($D$2:$D$501&gt;=AH$7)*($D$2:$D$501&lt;AG$7)*($E$2:$E$501&gt;=$H61)*($E$2:$E$501&lt;$H60)," ")))</f>
        <v xml:space="preserve"> </v>
      </c>
      <c r="AH60" t="str" cm="1">
        <f t="array" ref="AH60">_xlfn.TEXTJOIN(",",TRUE,(_xlfn._xlws.FILTER($A$2:$A$501,($D$2:$D$501&gt;=AI$7)*($D$2:$D$501&lt;AH$7)*($E$2:$E$501&gt;=$H61)*($E$2:$E$501&lt;$H60)," ")))</f>
        <v xml:space="preserve"> </v>
      </c>
      <c r="AI60" t="str" cm="1">
        <f t="array" ref="AI60">_xlfn.TEXTJOIN(",",TRUE,(_xlfn._xlws.FILTER($A$2:$A$501,($D$2:$D$501&gt;=AJ$7)*($D$2:$D$501&lt;AI$7)*($E$2:$E$501&gt;=$H61)*($E$2:$E$501&lt;$H60)," ")))</f>
        <v xml:space="preserve"> </v>
      </c>
      <c r="AJ60" t="str" cm="1">
        <f t="array" ref="AJ60">_xlfn.TEXTJOIN(",",TRUE,(_xlfn._xlws.FILTER($A$2:$A$501,($D$2:$D$501&gt;=AK$7)*($D$2:$D$501&lt;AJ$7)*($E$2:$E$501&gt;=$H61)*($E$2:$E$501&lt;$H60)," ")))</f>
        <v xml:space="preserve"> </v>
      </c>
      <c r="AK60" t="str" cm="1">
        <f t="array" ref="AK60">_xlfn.TEXTJOIN(",",TRUE,(_xlfn._xlws.FILTER($A$2:$A$501,($D$2:$D$501&gt;=AL$7)*($D$2:$D$501&lt;AK$7)*($E$2:$E$501&gt;=$H61)*($E$2:$E$501&lt;$H60)," ")))</f>
        <v xml:space="preserve"> </v>
      </c>
      <c r="AL60" t="str" cm="1">
        <f t="array" ref="AL60">_xlfn.TEXTJOIN(",",TRUE,(_xlfn._xlws.FILTER($A$2:$A$501,($D$2:$D$501&gt;=AM$7)*($D$2:$D$501&lt;AL$7)*($E$2:$E$501&gt;=$H61)*($E$2:$E$501&lt;$H60)," ")))</f>
        <v xml:space="preserve"> </v>
      </c>
      <c r="AM60" t="str" cm="1">
        <f t="array" ref="AM60">_xlfn.TEXTJOIN(",",TRUE,(_xlfn._xlws.FILTER($A$2:$A$501,($D$2:$D$501&gt;=AN$7)*($D$2:$D$501&lt;AM$7)*($E$2:$E$501&gt;=$H61)*($E$2:$E$501&lt;$H60)," ")))</f>
        <v xml:space="preserve"> </v>
      </c>
      <c r="AN60" t="str" cm="1">
        <f t="array" ref="AN60">_xlfn.TEXTJOIN(",",TRUE,(_xlfn._xlws.FILTER($A$2:$A$501,($D$2:$D$501&gt;=AO$7)*($D$2:$D$501&lt;AN$7)*($E$2:$E$501&gt;=$H61)*($E$2:$E$501&lt;$H60)," ")))</f>
        <v xml:space="preserve"> </v>
      </c>
      <c r="AO60" t="str" cm="1">
        <f t="array" ref="AO60">_xlfn.TEXTJOIN(",",TRUE,(_xlfn._xlws.FILTER($A$2:$A$501,($D$2:$D$501&gt;=AP$7)*($D$2:$D$501&lt;AO$7)*($E$2:$E$501&gt;=$H61)*($E$2:$E$501&lt;$H60)," ")))</f>
        <v xml:space="preserve"> </v>
      </c>
      <c r="AP60" t="str" cm="1">
        <f t="array" ref="AP60">_xlfn.TEXTJOIN(",",TRUE,(_xlfn._xlws.FILTER($A$2:$A$501,($D$2:$D$501&gt;=AQ$7)*($D$2:$D$501&lt;AP$7)*($E$2:$E$501&gt;=$H61)*($E$2:$E$501&lt;$H60)," ")))</f>
        <v xml:space="preserve"> </v>
      </c>
      <c r="AQ60" t="str" cm="1">
        <f t="array" ref="AQ60">_xlfn.TEXTJOIN(",",TRUE,(_xlfn._xlws.FILTER($A$2:$A$501,($D$2:$D$501&gt;=AR$7)*($D$2:$D$501&lt;AQ$7)*($E$2:$E$501&gt;=$H61)*($E$2:$E$501&lt;$H60)," ")))</f>
        <v xml:space="preserve"> </v>
      </c>
      <c r="AR60" t="str" cm="1">
        <f t="array" ref="AR60">_xlfn.TEXTJOIN(",",TRUE,(_xlfn._xlws.FILTER($A$2:$A$501,($D$2:$D$501&gt;=AS$7)*($D$2:$D$501&lt;AR$7)*($E$2:$E$501&gt;=$H61)*($E$2:$E$501&lt;$H60)," ")))</f>
        <v xml:space="preserve"> </v>
      </c>
      <c r="AS60" t="str" cm="1">
        <f t="array" ref="AS60">_xlfn.TEXTJOIN(",",TRUE,(_xlfn._xlws.FILTER($A$2:$A$501,($D$2:$D$501&gt;=AT$7)*($D$2:$D$501&lt;AS$7)*($E$2:$E$501&gt;=$H61)*($E$2:$E$501&lt;$H60)," ")))</f>
        <v xml:space="preserve"> </v>
      </c>
      <c r="AT60" t="str" cm="1">
        <f t="array" ref="AT60">_xlfn.TEXTJOIN(",",TRUE,(_xlfn._xlws.FILTER($A$2:$A$501,($D$2:$D$501&gt;=AU$7)*($D$2:$D$501&lt;AT$7)*($E$2:$E$501&gt;=$H61)*($E$2:$E$501&lt;$H60)," ")))</f>
        <v xml:space="preserve"> </v>
      </c>
      <c r="AU60" t="str" cm="1">
        <f t="array" ref="AU60">_xlfn.TEXTJOIN(",",TRUE,(_xlfn._xlws.FILTER($A$2:$A$501,($D$2:$D$501&gt;=AV$7)*($D$2:$D$501&lt;AU$7)*($E$2:$E$501&gt;=$H61)*($E$2:$E$501&lt;$H60)," ")))</f>
        <v xml:space="preserve"> </v>
      </c>
      <c r="AV60" t="str" cm="1">
        <f t="array" ref="AV60">_xlfn.TEXTJOIN(",",TRUE,(_xlfn._xlws.FILTER($A$2:$A$501,($D$2:$D$501&gt;=AW$7)*($D$2:$D$501&lt;AV$7)*($E$2:$E$501&gt;=$H61)*($E$2:$E$501&lt;$H60)," ")))</f>
        <v xml:space="preserve"> </v>
      </c>
      <c r="AW60" t="str" cm="1">
        <f t="array" ref="AW60">_xlfn.TEXTJOIN(",",TRUE,(_xlfn._xlws.FILTER($A$2:$A$501,($D$2:$D$501&gt;=AX$7)*($D$2:$D$501&lt;AW$7)*($E$2:$E$501&gt;=$H61)*($E$2:$E$501&lt;$H60)," ")))</f>
        <v xml:space="preserve"> </v>
      </c>
      <c r="AX60" t="str" cm="1">
        <f t="array" ref="AX60">_xlfn.TEXTJOIN(",",TRUE,(_xlfn._xlws.FILTER($A$2:$A$501,($D$2:$D$501&gt;=AY$7)*($D$2:$D$501&lt;AX$7)*($E$2:$E$501&gt;=$H61)*($E$2:$E$501&lt;$H60)," ")))</f>
        <v xml:space="preserve"> </v>
      </c>
      <c r="AY60" t="str" cm="1">
        <f t="array" ref="AY60">_xlfn.TEXTJOIN(",",TRUE,(_xlfn._xlws.FILTER($A$2:$A$501,($D$2:$D$501&gt;=AZ$7)*($D$2:$D$501&lt;AY$7)*($E$2:$E$501&gt;=$H61)*($E$2:$E$501&lt;$H60)," ")))</f>
        <v xml:space="preserve"> </v>
      </c>
      <c r="AZ60" t="str" cm="1">
        <f t="array" ref="AZ60">_xlfn.TEXTJOIN(",",TRUE,(_xlfn._xlws.FILTER($A$2:$A$501,($D$2:$D$501&gt;=BA$7)*($D$2:$D$501&lt;AZ$7)*($E$2:$E$501&gt;=$H61)*($E$2:$E$501&lt;$H60)," ")))</f>
        <v xml:space="preserve"> </v>
      </c>
      <c r="BA60" t="str" cm="1">
        <f t="array" ref="BA60">_xlfn.TEXTJOIN(",",TRUE,(_xlfn._xlws.FILTER($A$2:$A$501,($D$2:$D$501&gt;=BB$7)*($D$2:$D$501&lt;BA$7)*($E$2:$E$501&gt;=$H61)*($E$2:$E$501&lt;$H60)," ")))</f>
        <v xml:space="preserve"> </v>
      </c>
      <c r="BB60" t="str" cm="1">
        <f t="array" ref="BB60">_xlfn.TEXTJOIN(",",TRUE,(_xlfn._xlws.FILTER($A$2:$A$501,($D$2:$D$501&gt;=BC$7)*($D$2:$D$501&lt;BB$7)*($E$2:$E$501&gt;=$H61)*($E$2:$E$501&lt;$H60)," ")))</f>
        <v xml:space="preserve"> </v>
      </c>
    </row>
    <row r="61" spans="1:54" x14ac:dyDescent="0.2">
      <c r="A61" s="3" t="s">
        <v>465</v>
      </c>
      <c r="B61" s="3" t="s">
        <v>463</v>
      </c>
      <c r="C61" s="13">
        <v>1146448.6499999999</v>
      </c>
      <c r="D61" s="15">
        <v>22374647.859999999</v>
      </c>
      <c r="E61" s="22">
        <f>TuitionRates3[[#This Row],[Tuition]]/D61</f>
        <v>5.1238734891982336E-2</v>
      </c>
      <c r="F61"/>
      <c r="H61" s="18">
        <v>9.7000000000000003E-2</v>
      </c>
      <c r="I61" t="str" cm="1">
        <f t="array" ref="I61">_xlfn.TEXTJOIN(",",TRUE,(_xlfn._xlws.FILTER($A$2:$A$501,($D$2:$D$501&gt;=J$7)*($D$2:$D$501&lt;I$7)*($E$2:$E$501&gt;=$H62)*($E$2:$E$501&lt;$H61)," ")))</f>
        <v xml:space="preserve"> </v>
      </c>
      <c r="J61" t="str" cm="1">
        <f t="array" ref="J61">_xlfn.TEXTJOIN(",",TRUE,(_xlfn._xlws.FILTER($A$2:$A$501,($D$2:$D$501&gt;=K$7)*($D$2:$D$501&lt;J$7)*($E$2:$E$501&gt;=$H62)*($E$2:$E$501&lt;$H61)," ")))</f>
        <v xml:space="preserve"> </v>
      </c>
      <c r="K61" t="str" cm="1">
        <f t="array" ref="K61">_xlfn.TEXTJOIN(",",TRUE,(_xlfn._xlws.FILTER($A$2:$A$501,($D$2:$D$501&gt;=L$7)*($D$2:$D$501&lt;K$7)*($E$2:$E$501&gt;=$H62)*($E$2:$E$501&lt;$H61)," ")))</f>
        <v xml:space="preserve"> </v>
      </c>
      <c r="L61" t="str" cm="1">
        <f t="array" ref="L61">_xlfn.TEXTJOIN(",",TRUE,(_xlfn._xlws.FILTER($A$2:$A$501,($D$2:$D$501&gt;=M$7)*($D$2:$D$501&lt;L$7)*($E$2:$E$501&gt;=$H62)*($E$2:$E$501&lt;$H61)," ")))</f>
        <v xml:space="preserve"> </v>
      </c>
      <c r="M61" t="str" cm="1">
        <f t="array" ref="M61">_xlfn.TEXTJOIN(",",TRUE,(_xlfn._xlws.FILTER($A$2:$A$501,($D$2:$D$501&gt;=N$7)*($D$2:$D$501&lt;M$7)*($E$2:$E$501&gt;=$H62)*($E$2:$E$501&lt;$H61)," ")))</f>
        <v xml:space="preserve"> </v>
      </c>
      <c r="N61" t="str" cm="1">
        <f t="array" ref="N61">_xlfn.TEXTJOIN(",",TRUE,(_xlfn._xlws.FILTER($A$2:$A$501,($D$2:$D$501&gt;=O$7)*($D$2:$D$501&lt;N$7)*($E$2:$E$501&gt;=$H62)*($E$2:$E$501&lt;$H61)," ")))</f>
        <v xml:space="preserve"> </v>
      </c>
      <c r="O61" t="str" cm="1">
        <f t="array" ref="O61">_xlfn.TEXTJOIN(",",TRUE,(_xlfn._xlws.FILTER($A$2:$A$501,($D$2:$D$501&gt;=P$7)*($D$2:$D$501&lt;O$7)*($E$2:$E$501&gt;=$H62)*($E$2:$E$501&lt;$H61)," ")))</f>
        <v xml:space="preserve"> </v>
      </c>
      <c r="P61" t="str" cm="1">
        <f t="array" ref="P61">_xlfn.TEXTJOIN(",",TRUE,(_xlfn._xlws.FILTER($A$2:$A$501,($D$2:$D$501&gt;=Q$7)*($D$2:$D$501&lt;P$7)*($E$2:$E$501&gt;=$H62)*($E$2:$E$501&lt;$H61)," ")))</f>
        <v xml:space="preserve"> </v>
      </c>
      <c r="Q61" t="str" cm="1">
        <f t="array" ref="Q61">_xlfn.TEXTJOIN(",",TRUE,(_xlfn._xlws.FILTER($A$2:$A$501,($D$2:$D$501&gt;=R$7)*($D$2:$D$501&lt;Q$7)*($E$2:$E$501&gt;=$H62)*($E$2:$E$501&lt;$H61)," ")))</f>
        <v xml:space="preserve"> </v>
      </c>
      <c r="R61" t="str" cm="1">
        <f t="array" ref="R61">_xlfn.TEXTJOIN(",",TRUE,(_xlfn._xlws.FILTER($A$2:$A$501,($D$2:$D$501&gt;=S$7)*($D$2:$D$501&lt;R$7)*($E$2:$E$501&gt;=$H62)*($E$2:$E$501&lt;$H61)," ")))</f>
        <v xml:space="preserve"> </v>
      </c>
      <c r="S61" t="str" cm="1">
        <f t="array" ref="S61">_xlfn.TEXTJOIN(",",TRUE,(_xlfn._xlws.FILTER($A$2:$A$501,($D$2:$D$501&gt;=T$7)*($D$2:$D$501&lt;S$7)*($E$2:$E$501&gt;=$H62)*($E$2:$E$501&lt;$H61)," ")))</f>
        <v xml:space="preserve"> </v>
      </c>
      <c r="T61" t="str" cm="1">
        <f t="array" ref="T61">_xlfn.TEXTJOIN(",",TRUE,(_xlfn._xlws.FILTER($A$2:$A$501,($D$2:$D$501&gt;=U$7)*($D$2:$D$501&lt;T$7)*($E$2:$E$501&gt;=$H62)*($E$2:$E$501&lt;$H61)," ")))</f>
        <v xml:space="preserve"> </v>
      </c>
      <c r="U61" t="str" cm="1">
        <f t="array" ref="U61">_xlfn.TEXTJOIN(",",TRUE,(_xlfn._xlws.FILTER($A$2:$A$501,($D$2:$D$501&gt;=V$7)*($D$2:$D$501&lt;U$7)*($E$2:$E$501&gt;=$H62)*($E$2:$E$501&lt;$H61)," ")))</f>
        <v xml:space="preserve"> </v>
      </c>
      <c r="V61" t="str" cm="1">
        <f t="array" ref="V61">_xlfn.TEXTJOIN(",",TRUE,(_xlfn._xlws.FILTER($A$2:$A$501,($D$2:$D$501&gt;=W$7)*($D$2:$D$501&lt;V$7)*($E$2:$E$501&gt;=$H62)*($E$2:$E$501&lt;$H61)," ")))</f>
        <v xml:space="preserve"> </v>
      </c>
      <c r="W61" t="str" cm="1">
        <f t="array" ref="W61">_xlfn.TEXTJOIN(",",TRUE,(_xlfn._xlws.FILTER($A$2:$A$501,($D$2:$D$501&gt;=X$7)*($D$2:$D$501&lt;W$7)*($E$2:$E$501&gt;=$H62)*($E$2:$E$501&lt;$H61)," ")))</f>
        <v xml:space="preserve"> </v>
      </c>
      <c r="X61" t="str" cm="1">
        <f t="array" ref="X61">_xlfn.TEXTJOIN(",",TRUE,(_xlfn._xlws.FILTER($A$2:$A$501,($D$2:$D$501&gt;=Y$7)*($D$2:$D$501&lt;X$7)*($E$2:$E$501&gt;=$H62)*($E$2:$E$501&lt;$H61)," ")))</f>
        <v xml:space="preserve"> </v>
      </c>
      <c r="Y61" t="str" cm="1">
        <f t="array" ref="Y61">_xlfn.TEXTJOIN(",",TRUE,(_xlfn._xlws.FILTER($A$2:$A$501,($D$2:$D$501&gt;=Z$7)*($D$2:$D$501&lt;Y$7)*($E$2:$E$501&gt;=$H62)*($E$2:$E$501&lt;$H61)," ")))</f>
        <v xml:space="preserve"> </v>
      </c>
      <c r="Z61" t="str" cm="1">
        <f t="array" ref="Z61">_xlfn.TEXTJOIN(",",TRUE,(_xlfn._xlws.FILTER($A$2:$A$501,($D$2:$D$501&gt;=AA$7)*($D$2:$D$501&lt;Z$7)*($E$2:$E$501&gt;=$H62)*($E$2:$E$501&lt;$H61)," ")))</f>
        <v xml:space="preserve"> </v>
      </c>
      <c r="AA61" t="str" cm="1">
        <f t="array" ref="AA61">_xlfn.TEXTJOIN(",",TRUE,(_xlfn._xlws.FILTER($A$2:$A$501,($D$2:$D$501&gt;=AB$7)*($D$2:$D$501&lt;AA$7)*($E$2:$E$501&gt;=$H62)*($E$2:$E$501&lt;$H61)," ")))</f>
        <v xml:space="preserve"> </v>
      </c>
      <c r="AB61" t="str" cm="1">
        <f t="array" ref="AB61">_xlfn.TEXTJOIN(",",TRUE,(_xlfn._xlws.FILTER($A$2:$A$501,($D$2:$D$501&gt;=AC$7)*($D$2:$D$501&lt;AB$7)*($E$2:$E$501&gt;=$H62)*($E$2:$E$501&lt;$H61)," ")))</f>
        <v xml:space="preserve"> </v>
      </c>
      <c r="AC61" t="str" cm="1">
        <f t="array" ref="AC61">_xlfn.TEXTJOIN(",",TRUE,(_xlfn._xlws.FILTER($A$2:$A$501,($D$2:$D$501&gt;=AD$7)*($D$2:$D$501&lt;AC$7)*($E$2:$E$501&gt;=$H62)*($E$2:$E$501&lt;$H61)," ")))</f>
        <v xml:space="preserve"> </v>
      </c>
      <c r="AD61" t="str" cm="1">
        <f t="array" ref="AD61">_xlfn.TEXTJOIN(",",TRUE,(_xlfn._xlws.FILTER($A$2:$A$501,($D$2:$D$501&gt;=AE$7)*($D$2:$D$501&lt;AD$7)*($E$2:$E$501&gt;=$H62)*($E$2:$E$501&lt;$H61)," ")))</f>
        <v xml:space="preserve"> </v>
      </c>
      <c r="AE61" t="str" cm="1">
        <f t="array" ref="AE61">_xlfn.TEXTJOIN(",",TRUE,(_xlfn._xlws.FILTER($A$2:$A$501,($D$2:$D$501&gt;=AF$7)*($D$2:$D$501&lt;AE$7)*($E$2:$E$501&gt;=$H62)*($E$2:$E$501&lt;$H61)," ")))</f>
        <v xml:space="preserve"> </v>
      </c>
      <c r="AF61" t="str" cm="1">
        <f t="array" ref="AF61">_xlfn.TEXTJOIN(",",TRUE,(_xlfn._xlws.FILTER($A$2:$A$501,($D$2:$D$501&gt;=AG$7)*($D$2:$D$501&lt;AF$7)*($E$2:$E$501&gt;=$H62)*($E$2:$E$501&lt;$H61)," ")))</f>
        <v xml:space="preserve"> </v>
      </c>
      <c r="AG61" t="str" cm="1">
        <f t="array" ref="AG61">_xlfn.TEXTJOIN(",",TRUE,(_xlfn._xlws.FILTER($A$2:$A$501,($D$2:$D$501&gt;=AH$7)*($D$2:$D$501&lt;AG$7)*($E$2:$E$501&gt;=$H62)*($E$2:$E$501&lt;$H61)," ")))</f>
        <v xml:space="preserve"> </v>
      </c>
      <c r="AH61" t="str" cm="1">
        <f t="array" ref="AH61">_xlfn.TEXTJOIN(",",TRUE,(_xlfn._xlws.FILTER($A$2:$A$501,($D$2:$D$501&gt;=AI$7)*($D$2:$D$501&lt;AH$7)*($E$2:$E$501&gt;=$H62)*($E$2:$E$501&lt;$H61)," ")))</f>
        <v xml:space="preserve"> </v>
      </c>
      <c r="AI61" t="str" cm="1">
        <f t="array" ref="AI61">_xlfn.TEXTJOIN(",",TRUE,(_xlfn._xlws.FILTER($A$2:$A$501,($D$2:$D$501&gt;=AJ$7)*($D$2:$D$501&lt;AI$7)*($E$2:$E$501&gt;=$H62)*($E$2:$E$501&lt;$H61)," ")))</f>
        <v xml:space="preserve"> </v>
      </c>
      <c r="AJ61" t="str" cm="1">
        <f t="array" ref="AJ61">_xlfn.TEXTJOIN(",",TRUE,(_xlfn._xlws.FILTER($A$2:$A$501,($D$2:$D$501&gt;=AK$7)*($D$2:$D$501&lt;AJ$7)*($E$2:$E$501&gt;=$H62)*($E$2:$E$501&lt;$H61)," ")))</f>
        <v xml:space="preserve"> </v>
      </c>
      <c r="AK61" t="str" cm="1">
        <f t="array" ref="AK61">_xlfn.TEXTJOIN(",",TRUE,(_xlfn._xlws.FILTER($A$2:$A$501,($D$2:$D$501&gt;=AL$7)*($D$2:$D$501&lt;AK$7)*($E$2:$E$501&gt;=$H62)*($E$2:$E$501&lt;$H61)," ")))</f>
        <v xml:space="preserve"> </v>
      </c>
      <c r="AL61" t="str" cm="1">
        <f t="array" ref="AL61">_xlfn.TEXTJOIN(",",TRUE,(_xlfn._xlws.FILTER($A$2:$A$501,($D$2:$D$501&gt;=AM$7)*($D$2:$D$501&lt;AL$7)*($E$2:$E$501&gt;=$H62)*($E$2:$E$501&lt;$H61)," ")))</f>
        <v xml:space="preserve"> </v>
      </c>
      <c r="AM61" t="str" cm="1">
        <f t="array" ref="AM61">_xlfn.TEXTJOIN(",",TRUE,(_xlfn._xlws.FILTER($A$2:$A$501,($D$2:$D$501&gt;=AN$7)*($D$2:$D$501&lt;AM$7)*($E$2:$E$501&gt;=$H62)*($E$2:$E$501&lt;$H61)," ")))</f>
        <v xml:space="preserve"> </v>
      </c>
      <c r="AN61" t="str" cm="1">
        <f t="array" ref="AN61">_xlfn.TEXTJOIN(",",TRUE,(_xlfn._xlws.FILTER($A$2:$A$501,($D$2:$D$501&gt;=AO$7)*($D$2:$D$501&lt;AN$7)*($E$2:$E$501&gt;=$H62)*($E$2:$E$501&lt;$H61)," ")))</f>
        <v xml:space="preserve"> </v>
      </c>
      <c r="AO61" t="str" cm="1">
        <f t="array" ref="AO61">_xlfn.TEXTJOIN(",",TRUE,(_xlfn._xlws.FILTER($A$2:$A$501,($D$2:$D$501&gt;=AP$7)*($D$2:$D$501&lt;AO$7)*($E$2:$E$501&gt;=$H62)*($E$2:$E$501&lt;$H61)," ")))</f>
        <v xml:space="preserve"> </v>
      </c>
      <c r="AP61" t="str" cm="1">
        <f t="array" ref="AP61">_xlfn.TEXTJOIN(",",TRUE,(_xlfn._xlws.FILTER($A$2:$A$501,($D$2:$D$501&gt;=AQ$7)*($D$2:$D$501&lt;AP$7)*($E$2:$E$501&gt;=$H62)*($E$2:$E$501&lt;$H61)," ")))</f>
        <v xml:space="preserve"> </v>
      </c>
      <c r="AQ61" t="str" cm="1">
        <f t="array" ref="AQ61">_xlfn.TEXTJOIN(",",TRUE,(_xlfn._xlws.FILTER($A$2:$A$501,($D$2:$D$501&gt;=AR$7)*($D$2:$D$501&lt;AQ$7)*($E$2:$E$501&gt;=$H62)*($E$2:$E$501&lt;$H61)," ")))</f>
        <v xml:space="preserve"> </v>
      </c>
      <c r="AR61" t="str" cm="1">
        <f t="array" ref="AR61">_xlfn.TEXTJOIN(",",TRUE,(_xlfn._xlws.FILTER($A$2:$A$501,($D$2:$D$501&gt;=AS$7)*($D$2:$D$501&lt;AR$7)*($E$2:$E$501&gt;=$H62)*($E$2:$E$501&lt;$H61)," ")))</f>
        <v xml:space="preserve"> </v>
      </c>
      <c r="AS61" t="str" cm="1">
        <f t="array" ref="AS61">_xlfn.TEXTJOIN(",",TRUE,(_xlfn._xlws.FILTER($A$2:$A$501,($D$2:$D$501&gt;=AT$7)*($D$2:$D$501&lt;AS$7)*($E$2:$E$501&gt;=$H62)*($E$2:$E$501&lt;$H61)," ")))</f>
        <v xml:space="preserve"> </v>
      </c>
      <c r="AT61" t="str" cm="1">
        <f t="array" ref="AT61">_xlfn.TEXTJOIN(",",TRUE,(_xlfn._xlws.FILTER($A$2:$A$501,($D$2:$D$501&gt;=AU$7)*($D$2:$D$501&lt;AT$7)*($E$2:$E$501&gt;=$H62)*($E$2:$E$501&lt;$H61)," ")))</f>
        <v xml:space="preserve"> </v>
      </c>
      <c r="AU61" t="str" cm="1">
        <f t="array" ref="AU61">_xlfn.TEXTJOIN(",",TRUE,(_xlfn._xlws.FILTER($A$2:$A$501,($D$2:$D$501&gt;=AV$7)*($D$2:$D$501&lt;AU$7)*($E$2:$E$501&gt;=$H62)*($E$2:$E$501&lt;$H61)," ")))</f>
        <v xml:space="preserve"> </v>
      </c>
      <c r="AV61" t="str" cm="1">
        <f t="array" ref="AV61">_xlfn.TEXTJOIN(",",TRUE,(_xlfn._xlws.FILTER($A$2:$A$501,($D$2:$D$501&gt;=AW$7)*($D$2:$D$501&lt;AV$7)*($E$2:$E$501&gt;=$H62)*($E$2:$E$501&lt;$H61)," ")))</f>
        <v xml:space="preserve"> </v>
      </c>
      <c r="AW61" t="str" cm="1">
        <f t="array" ref="AW61">_xlfn.TEXTJOIN(",",TRUE,(_xlfn._xlws.FILTER($A$2:$A$501,($D$2:$D$501&gt;=AX$7)*($D$2:$D$501&lt;AW$7)*($E$2:$E$501&gt;=$H62)*($E$2:$E$501&lt;$H61)," ")))</f>
        <v xml:space="preserve"> </v>
      </c>
      <c r="AX61" t="str" cm="1">
        <f t="array" ref="AX61">_xlfn.TEXTJOIN(",",TRUE,(_xlfn._xlws.FILTER($A$2:$A$501,($D$2:$D$501&gt;=AY$7)*($D$2:$D$501&lt;AX$7)*($E$2:$E$501&gt;=$H62)*($E$2:$E$501&lt;$H61)," ")))</f>
        <v xml:space="preserve"> </v>
      </c>
      <c r="AY61" t="str" cm="1">
        <f t="array" ref="AY61">_xlfn.TEXTJOIN(",",TRUE,(_xlfn._xlws.FILTER($A$2:$A$501,($D$2:$D$501&gt;=AZ$7)*($D$2:$D$501&lt;AY$7)*($E$2:$E$501&gt;=$H62)*($E$2:$E$501&lt;$H61)," ")))</f>
        <v xml:space="preserve"> </v>
      </c>
      <c r="AZ61" t="str" cm="1">
        <f t="array" ref="AZ61">_xlfn.TEXTJOIN(",",TRUE,(_xlfn._xlws.FILTER($A$2:$A$501,($D$2:$D$501&gt;=BA$7)*($D$2:$D$501&lt;AZ$7)*($E$2:$E$501&gt;=$H62)*($E$2:$E$501&lt;$H61)," ")))</f>
        <v xml:space="preserve"> </v>
      </c>
      <c r="BA61" t="str" cm="1">
        <f t="array" ref="BA61">_xlfn.TEXTJOIN(",",TRUE,(_xlfn._xlws.FILTER($A$2:$A$501,($D$2:$D$501&gt;=BB$7)*($D$2:$D$501&lt;BA$7)*($E$2:$E$501&gt;=$H62)*($E$2:$E$501&lt;$H61)," ")))</f>
        <v xml:space="preserve"> </v>
      </c>
      <c r="BB61" t="str" cm="1">
        <f t="array" ref="BB61">_xlfn.TEXTJOIN(",",TRUE,(_xlfn._xlws.FILTER($A$2:$A$501,($D$2:$D$501&gt;=BC$7)*($D$2:$D$501&lt;BB$7)*($E$2:$E$501&gt;=$H62)*($E$2:$E$501&lt;$H61)," ")))</f>
        <v xml:space="preserve"> </v>
      </c>
    </row>
    <row r="62" spans="1:54" x14ac:dyDescent="0.2">
      <c r="A62" s="3" t="s">
        <v>311</v>
      </c>
      <c r="B62" s="3" t="s">
        <v>305</v>
      </c>
      <c r="C62" s="13">
        <v>966666.22</v>
      </c>
      <c r="D62" s="15">
        <v>19174574.050000001</v>
      </c>
      <c r="E62" s="22">
        <f>TuitionRates3[[#This Row],[Tuition]]/D62</f>
        <v>5.0413960564615515E-2</v>
      </c>
      <c r="F62"/>
      <c r="H62" s="18">
        <v>9.6000000000000002E-2</v>
      </c>
      <c r="I62" t="str" cm="1">
        <f t="array" ref="I62">_xlfn.TEXTJOIN(",",TRUE,(_xlfn._xlws.FILTER($A$2:$A$501,($D$2:$D$501&gt;=J$7)*($D$2:$D$501&lt;I$7)*($E$2:$E$501&gt;=$H63)*($E$2:$E$501&lt;$H62)," ")))</f>
        <v xml:space="preserve"> </v>
      </c>
      <c r="J62" t="str" cm="1">
        <f t="array" ref="J62">_xlfn.TEXTJOIN(",",TRUE,(_xlfn._xlws.FILTER($A$2:$A$501,($D$2:$D$501&gt;=K$7)*($D$2:$D$501&lt;J$7)*($E$2:$E$501&gt;=$H63)*($E$2:$E$501&lt;$H62)," ")))</f>
        <v xml:space="preserve"> </v>
      </c>
      <c r="K62" t="str" cm="1">
        <f t="array" ref="K62">_xlfn.TEXTJOIN(",",TRUE,(_xlfn._xlws.FILTER($A$2:$A$501,($D$2:$D$501&gt;=L$7)*($D$2:$D$501&lt;K$7)*($E$2:$E$501&gt;=$H63)*($E$2:$E$501&lt;$H62)," ")))</f>
        <v xml:space="preserve"> </v>
      </c>
      <c r="L62" t="str" cm="1">
        <f t="array" ref="L62">_xlfn.TEXTJOIN(",",TRUE,(_xlfn._xlws.FILTER($A$2:$A$501,($D$2:$D$501&gt;=M$7)*($D$2:$D$501&lt;L$7)*($E$2:$E$501&gt;=$H63)*($E$2:$E$501&lt;$H62)," ")))</f>
        <v xml:space="preserve"> </v>
      </c>
      <c r="M62" t="str" cm="1">
        <f t="array" ref="M62">_xlfn.TEXTJOIN(",",TRUE,(_xlfn._xlws.FILTER($A$2:$A$501,($D$2:$D$501&gt;=N$7)*($D$2:$D$501&lt;M$7)*($E$2:$E$501&gt;=$H63)*($E$2:$E$501&lt;$H62)," ")))</f>
        <v xml:space="preserve"> </v>
      </c>
      <c r="N62" t="str" cm="1">
        <f t="array" ref="N62">_xlfn.TEXTJOIN(",",TRUE,(_xlfn._xlws.FILTER($A$2:$A$501,($D$2:$D$501&gt;=O$7)*($D$2:$D$501&lt;N$7)*($E$2:$E$501&gt;=$H63)*($E$2:$E$501&lt;$H62)," ")))</f>
        <v xml:space="preserve"> </v>
      </c>
      <c r="O62" t="str" cm="1">
        <f t="array" ref="O62">_xlfn.TEXTJOIN(",",TRUE,(_xlfn._xlws.FILTER($A$2:$A$501,($D$2:$D$501&gt;=P$7)*($D$2:$D$501&lt;O$7)*($E$2:$E$501&gt;=$H63)*($E$2:$E$501&lt;$H62)," ")))</f>
        <v xml:space="preserve"> </v>
      </c>
      <c r="P62" t="str" cm="1">
        <f t="array" ref="P62">_xlfn.TEXTJOIN(",",TRUE,(_xlfn._xlws.FILTER($A$2:$A$501,($D$2:$D$501&gt;=Q$7)*($D$2:$D$501&lt;P$7)*($E$2:$E$501&gt;=$H63)*($E$2:$E$501&lt;$H62)," ")))</f>
        <v xml:space="preserve"> </v>
      </c>
      <c r="Q62" t="str" cm="1">
        <f t="array" ref="Q62">_xlfn.TEXTJOIN(",",TRUE,(_xlfn._xlws.FILTER($A$2:$A$501,($D$2:$D$501&gt;=R$7)*($D$2:$D$501&lt;Q$7)*($E$2:$E$501&gt;=$H63)*($E$2:$E$501&lt;$H62)," ")))</f>
        <v xml:space="preserve"> </v>
      </c>
      <c r="R62" t="str" cm="1">
        <f t="array" ref="R62">_xlfn.TEXTJOIN(",",TRUE,(_xlfn._xlws.FILTER($A$2:$A$501,($D$2:$D$501&gt;=S$7)*($D$2:$D$501&lt;R$7)*($E$2:$E$501&gt;=$H63)*($E$2:$E$501&lt;$H62)," ")))</f>
        <v xml:space="preserve"> </v>
      </c>
      <c r="S62" t="str" cm="1">
        <f t="array" ref="S62">_xlfn.TEXTJOIN(",",TRUE,(_xlfn._xlws.FILTER($A$2:$A$501,($D$2:$D$501&gt;=T$7)*($D$2:$D$501&lt;S$7)*($E$2:$E$501&gt;=$H63)*($E$2:$E$501&lt;$H62)," ")))</f>
        <v xml:space="preserve"> </v>
      </c>
      <c r="T62" t="str" cm="1">
        <f t="array" ref="T62">_xlfn.TEXTJOIN(",",TRUE,(_xlfn._xlws.FILTER($A$2:$A$501,($D$2:$D$501&gt;=U$7)*($D$2:$D$501&lt;T$7)*($E$2:$E$501&gt;=$H63)*($E$2:$E$501&lt;$H62)," ")))</f>
        <v xml:space="preserve"> </v>
      </c>
      <c r="U62" t="str" cm="1">
        <f t="array" ref="U62">_xlfn.TEXTJOIN(",",TRUE,(_xlfn._xlws.FILTER($A$2:$A$501,($D$2:$D$501&gt;=V$7)*($D$2:$D$501&lt;U$7)*($E$2:$E$501&gt;=$H63)*($E$2:$E$501&lt;$H62)," ")))</f>
        <v xml:space="preserve"> </v>
      </c>
      <c r="V62" t="str" cm="1">
        <f t="array" ref="V62">_xlfn.TEXTJOIN(",",TRUE,(_xlfn._xlws.FILTER($A$2:$A$501,($D$2:$D$501&gt;=W$7)*($D$2:$D$501&lt;V$7)*($E$2:$E$501&gt;=$H63)*($E$2:$E$501&lt;$H62)," ")))</f>
        <v xml:space="preserve"> </v>
      </c>
      <c r="W62" t="str" cm="1">
        <f t="array" ref="W62">_xlfn.TEXTJOIN(",",TRUE,(_xlfn._xlws.FILTER($A$2:$A$501,($D$2:$D$501&gt;=X$7)*($D$2:$D$501&lt;W$7)*($E$2:$E$501&gt;=$H63)*($E$2:$E$501&lt;$H62)," ")))</f>
        <v xml:space="preserve"> </v>
      </c>
      <c r="X62" t="str" cm="1">
        <f t="array" ref="X62">_xlfn.TEXTJOIN(",",TRUE,(_xlfn._xlws.FILTER($A$2:$A$501,($D$2:$D$501&gt;=Y$7)*($D$2:$D$501&lt;X$7)*($E$2:$E$501&gt;=$H63)*($E$2:$E$501&lt;$H62)," ")))</f>
        <v xml:space="preserve"> </v>
      </c>
      <c r="Y62" t="str" cm="1">
        <f t="array" ref="Y62">_xlfn.TEXTJOIN(",",TRUE,(_xlfn._xlws.FILTER($A$2:$A$501,($D$2:$D$501&gt;=Z$7)*($D$2:$D$501&lt;Y$7)*($E$2:$E$501&gt;=$H63)*($E$2:$E$501&lt;$H62)," ")))</f>
        <v xml:space="preserve"> </v>
      </c>
      <c r="Z62" t="str" cm="1">
        <f t="array" ref="Z62">_xlfn.TEXTJOIN(",",TRUE,(_xlfn._xlws.FILTER($A$2:$A$501,($D$2:$D$501&gt;=AA$7)*($D$2:$D$501&lt;Z$7)*($E$2:$E$501&gt;=$H63)*($E$2:$E$501&lt;$H62)," ")))</f>
        <v xml:space="preserve"> </v>
      </c>
      <c r="AA62" t="str" cm="1">
        <f t="array" ref="AA62">_xlfn.TEXTJOIN(",",TRUE,(_xlfn._xlws.FILTER($A$2:$A$501,($D$2:$D$501&gt;=AB$7)*($D$2:$D$501&lt;AA$7)*($E$2:$E$501&gt;=$H63)*($E$2:$E$501&lt;$H62)," ")))</f>
        <v xml:space="preserve"> </v>
      </c>
      <c r="AB62" t="str" cm="1">
        <f t="array" ref="AB62">_xlfn.TEXTJOIN(",",TRUE,(_xlfn._xlws.FILTER($A$2:$A$501,($D$2:$D$501&gt;=AC$7)*($D$2:$D$501&lt;AB$7)*($E$2:$E$501&gt;=$H63)*($E$2:$E$501&lt;$H62)," ")))</f>
        <v xml:space="preserve"> </v>
      </c>
      <c r="AC62" t="str" cm="1">
        <f t="array" ref="AC62">_xlfn.TEXTJOIN(",",TRUE,(_xlfn._xlws.FILTER($A$2:$A$501,($D$2:$D$501&gt;=AD$7)*($D$2:$D$501&lt;AC$7)*($E$2:$E$501&gt;=$H63)*($E$2:$E$501&lt;$H62)," ")))</f>
        <v xml:space="preserve"> </v>
      </c>
      <c r="AD62" t="str" cm="1">
        <f t="array" ref="AD62">_xlfn.TEXTJOIN(",",TRUE,(_xlfn._xlws.FILTER($A$2:$A$501,($D$2:$D$501&gt;=AE$7)*($D$2:$D$501&lt;AD$7)*($E$2:$E$501&gt;=$H63)*($E$2:$E$501&lt;$H62)," ")))</f>
        <v xml:space="preserve"> </v>
      </c>
      <c r="AE62" t="str" cm="1">
        <f t="array" ref="AE62">_xlfn.TEXTJOIN(",",TRUE,(_xlfn._xlws.FILTER($A$2:$A$501,($D$2:$D$501&gt;=AF$7)*($D$2:$D$501&lt;AE$7)*($E$2:$E$501&gt;=$H63)*($E$2:$E$501&lt;$H62)," ")))</f>
        <v xml:space="preserve"> </v>
      </c>
      <c r="AF62" t="str" cm="1">
        <f t="array" ref="AF62">_xlfn.TEXTJOIN(",",TRUE,(_xlfn._xlws.FILTER($A$2:$A$501,($D$2:$D$501&gt;=AG$7)*($D$2:$D$501&lt;AF$7)*($E$2:$E$501&gt;=$H63)*($E$2:$E$501&lt;$H62)," ")))</f>
        <v xml:space="preserve"> </v>
      </c>
      <c r="AG62" t="str" cm="1">
        <f t="array" ref="AG62">_xlfn.TEXTJOIN(",",TRUE,(_xlfn._xlws.FILTER($A$2:$A$501,($D$2:$D$501&gt;=AH$7)*($D$2:$D$501&lt;AG$7)*($E$2:$E$501&gt;=$H63)*($E$2:$E$501&lt;$H62)," ")))</f>
        <v xml:space="preserve"> </v>
      </c>
      <c r="AH62" t="str" cm="1">
        <f t="array" ref="AH62">_xlfn.TEXTJOIN(",",TRUE,(_xlfn._xlws.FILTER($A$2:$A$501,($D$2:$D$501&gt;=AI$7)*($D$2:$D$501&lt;AH$7)*($E$2:$E$501&gt;=$H63)*($E$2:$E$501&lt;$H62)," ")))</f>
        <v xml:space="preserve"> </v>
      </c>
      <c r="AI62" t="str" cm="1">
        <f t="array" ref="AI62">_xlfn.TEXTJOIN(",",TRUE,(_xlfn._xlws.FILTER($A$2:$A$501,($D$2:$D$501&gt;=AJ$7)*($D$2:$D$501&lt;AI$7)*($E$2:$E$501&gt;=$H63)*($E$2:$E$501&lt;$H62)," ")))</f>
        <v xml:space="preserve"> </v>
      </c>
      <c r="AJ62" t="str" cm="1">
        <f t="array" ref="AJ62">_xlfn.TEXTJOIN(",",TRUE,(_xlfn._xlws.FILTER($A$2:$A$501,($D$2:$D$501&gt;=AK$7)*($D$2:$D$501&lt;AJ$7)*($E$2:$E$501&gt;=$H63)*($E$2:$E$501&lt;$H62)," ")))</f>
        <v xml:space="preserve"> </v>
      </c>
      <c r="AK62" t="str" cm="1">
        <f t="array" ref="AK62">_xlfn.TEXTJOIN(",",TRUE,(_xlfn._xlws.FILTER($A$2:$A$501,($D$2:$D$501&gt;=AL$7)*($D$2:$D$501&lt;AK$7)*($E$2:$E$501&gt;=$H63)*($E$2:$E$501&lt;$H62)," ")))</f>
        <v xml:space="preserve"> </v>
      </c>
      <c r="AL62" t="str" cm="1">
        <f t="array" ref="AL62">_xlfn.TEXTJOIN(",",TRUE,(_xlfn._xlws.FILTER($A$2:$A$501,($D$2:$D$501&gt;=AM$7)*($D$2:$D$501&lt;AL$7)*($E$2:$E$501&gt;=$H63)*($E$2:$E$501&lt;$H62)," ")))</f>
        <v xml:space="preserve"> </v>
      </c>
      <c r="AM62" t="str" cm="1">
        <f t="array" ref="AM62">_xlfn.TEXTJOIN(",",TRUE,(_xlfn._xlws.FILTER($A$2:$A$501,($D$2:$D$501&gt;=AN$7)*($D$2:$D$501&lt;AM$7)*($E$2:$E$501&gt;=$H63)*($E$2:$E$501&lt;$H62)," ")))</f>
        <v xml:space="preserve"> </v>
      </c>
      <c r="AN62" t="str" cm="1">
        <f t="array" ref="AN62">_xlfn.TEXTJOIN(",",TRUE,(_xlfn._xlws.FILTER($A$2:$A$501,($D$2:$D$501&gt;=AO$7)*($D$2:$D$501&lt;AN$7)*($E$2:$E$501&gt;=$H63)*($E$2:$E$501&lt;$H62)," ")))</f>
        <v xml:space="preserve"> </v>
      </c>
      <c r="AO62" t="str" cm="1">
        <f t="array" ref="AO62">_xlfn.TEXTJOIN(",",TRUE,(_xlfn._xlws.FILTER($A$2:$A$501,($D$2:$D$501&gt;=AP$7)*($D$2:$D$501&lt;AO$7)*($E$2:$E$501&gt;=$H63)*($E$2:$E$501&lt;$H62)," ")))</f>
        <v xml:space="preserve"> </v>
      </c>
      <c r="AP62" t="str" cm="1">
        <f t="array" ref="AP62">_xlfn.TEXTJOIN(",",TRUE,(_xlfn._xlws.FILTER($A$2:$A$501,($D$2:$D$501&gt;=AQ$7)*($D$2:$D$501&lt;AP$7)*($E$2:$E$501&gt;=$H63)*($E$2:$E$501&lt;$H62)," ")))</f>
        <v xml:space="preserve"> </v>
      </c>
      <c r="AQ62" t="str" cm="1">
        <f t="array" ref="AQ62">_xlfn.TEXTJOIN(",",TRUE,(_xlfn._xlws.FILTER($A$2:$A$501,($D$2:$D$501&gt;=AR$7)*($D$2:$D$501&lt;AQ$7)*($E$2:$E$501&gt;=$H63)*($E$2:$E$501&lt;$H62)," ")))</f>
        <v xml:space="preserve"> </v>
      </c>
      <c r="AR62" t="str" cm="1">
        <f t="array" ref="AR62">_xlfn.TEXTJOIN(",",TRUE,(_xlfn._xlws.FILTER($A$2:$A$501,($D$2:$D$501&gt;=AS$7)*($D$2:$D$501&lt;AR$7)*($E$2:$E$501&gt;=$H63)*($E$2:$E$501&lt;$H62)," ")))</f>
        <v xml:space="preserve"> </v>
      </c>
      <c r="AS62" t="str" cm="1">
        <f t="array" ref="AS62">_xlfn.TEXTJOIN(",",TRUE,(_xlfn._xlws.FILTER($A$2:$A$501,($D$2:$D$501&gt;=AT$7)*($D$2:$D$501&lt;AS$7)*($E$2:$E$501&gt;=$H63)*($E$2:$E$501&lt;$H62)," ")))</f>
        <v xml:space="preserve"> </v>
      </c>
      <c r="AT62" t="str" cm="1">
        <f t="array" ref="AT62">_xlfn.TEXTJOIN(",",TRUE,(_xlfn._xlws.FILTER($A$2:$A$501,($D$2:$D$501&gt;=AU$7)*($D$2:$D$501&lt;AT$7)*($E$2:$E$501&gt;=$H63)*($E$2:$E$501&lt;$H62)," ")))</f>
        <v xml:space="preserve"> </v>
      </c>
      <c r="AU62" t="str" cm="1">
        <f t="array" ref="AU62">_xlfn.TEXTJOIN(",",TRUE,(_xlfn._xlws.FILTER($A$2:$A$501,($D$2:$D$501&gt;=AV$7)*($D$2:$D$501&lt;AU$7)*($E$2:$E$501&gt;=$H63)*($E$2:$E$501&lt;$H62)," ")))</f>
        <v xml:space="preserve"> </v>
      </c>
      <c r="AV62" t="str" cm="1">
        <f t="array" ref="AV62">_xlfn.TEXTJOIN(",",TRUE,(_xlfn._xlws.FILTER($A$2:$A$501,($D$2:$D$501&gt;=AW$7)*($D$2:$D$501&lt;AV$7)*($E$2:$E$501&gt;=$H63)*($E$2:$E$501&lt;$H62)," ")))</f>
        <v xml:space="preserve"> </v>
      </c>
      <c r="AW62" t="str" cm="1">
        <f t="array" ref="AW62">_xlfn.TEXTJOIN(",",TRUE,(_xlfn._xlws.FILTER($A$2:$A$501,($D$2:$D$501&gt;=AX$7)*($D$2:$D$501&lt;AW$7)*($E$2:$E$501&gt;=$H63)*($E$2:$E$501&lt;$H62)," ")))</f>
        <v xml:space="preserve"> </v>
      </c>
      <c r="AX62" t="str" cm="1">
        <f t="array" ref="AX62">_xlfn.TEXTJOIN(",",TRUE,(_xlfn._xlws.FILTER($A$2:$A$501,($D$2:$D$501&gt;=AY$7)*($D$2:$D$501&lt;AX$7)*($E$2:$E$501&gt;=$H63)*($E$2:$E$501&lt;$H62)," ")))</f>
        <v xml:space="preserve"> </v>
      </c>
      <c r="AY62" t="str" cm="1">
        <f t="array" ref="AY62">_xlfn.TEXTJOIN(",",TRUE,(_xlfn._xlws.FILTER($A$2:$A$501,($D$2:$D$501&gt;=AZ$7)*($D$2:$D$501&lt;AY$7)*($E$2:$E$501&gt;=$H63)*($E$2:$E$501&lt;$H62)," ")))</f>
        <v xml:space="preserve"> </v>
      </c>
      <c r="AZ62" t="str" cm="1">
        <f t="array" ref="AZ62">_xlfn.TEXTJOIN(",",TRUE,(_xlfn._xlws.FILTER($A$2:$A$501,($D$2:$D$501&gt;=BA$7)*($D$2:$D$501&lt;AZ$7)*($E$2:$E$501&gt;=$H63)*($E$2:$E$501&lt;$H62)," ")))</f>
        <v xml:space="preserve"> </v>
      </c>
      <c r="BA62" t="str" cm="1">
        <f t="array" ref="BA62">_xlfn.TEXTJOIN(",",TRUE,(_xlfn._xlws.FILTER($A$2:$A$501,($D$2:$D$501&gt;=BB$7)*($D$2:$D$501&lt;BA$7)*($E$2:$E$501&gt;=$H63)*($E$2:$E$501&lt;$H62)," ")))</f>
        <v xml:space="preserve"> </v>
      </c>
      <c r="BB62" t="str" cm="1">
        <f t="array" ref="BB62">_xlfn.TEXTJOIN(",",TRUE,(_xlfn._xlws.FILTER($A$2:$A$501,($D$2:$D$501&gt;=BC$7)*($D$2:$D$501&lt;BB$7)*($E$2:$E$501&gt;=$H63)*($E$2:$E$501&lt;$H62)," ")))</f>
        <v xml:space="preserve"> </v>
      </c>
    </row>
    <row r="63" spans="1:54" x14ac:dyDescent="0.2">
      <c r="A63" s="3" t="s">
        <v>451</v>
      </c>
      <c r="B63" s="3" t="s">
        <v>452</v>
      </c>
      <c r="C63" s="13">
        <v>213690169.38999999</v>
      </c>
      <c r="D63" s="15">
        <v>4239795495.5599999</v>
      </c>
      <c r="E63" s="22">
        <f>TuitionRates3[[#This Row],[Tuition]]/D63</f>
        <v>5.0401055808889997E-2</v>
      </c>
      <c r="F63"/>
      <c r="H63" s="18">
        <v>9.5000000000000001E-2</v>
      </c>
      <c r="I63" t="str" cm="1">
        <f t="array" ref="I63">_xlfn.TEXTJOIN(",",TRUE,(_xlfn._xlws.FILTER($A$2:$A$501,($D$2:$D$501&gt;=J$7)*($D$2:$D$501&lt;I$7)*($E$2:$E$501&gt;=$H64)*($E$2:$E$501&lt;$H63)," ")))</f>
        <v xml:space="preserve"> </v>
      </c>
      <c r="J63" t="str" cm="1">
        <f t="array" ref="J63">_xlfn.TEXTJOIN(",",TRUE,(_xlfn._xlws.FILTER($A$2:$A$501,($D$2:$D$501&gt;=K$7)*($D$2:$D$501&lt;J$7)*($E$2:$E$501&gt;=$H64)*($E$2:$E$501&lt;$H63)," ")))</f>
        <v xml:space="preserve"> </v>
      </c>
      <c r="K63" t="str" cm="1">
        <f t="array" ref="K63">_xlfn.TEXTJOIN(",",TRUE,(_xlfn._xlws.FILTER($A$2:$A$501,($D$2:$D$501&gt;=L$7)*($D$2:$D$501&lt;K$7)*($E$2:$E$501&gt;=$H64)*($E$2:$E$501&lt;$H63)," ")))</f>
        <v xml:space="preserve"> </v>
      </c>
      <c r="L63" t="str" cm="1">
        <f t="array" ref="L63">_xlfn.TEXTJOIN(",",TRUE,(_xlfn._xlws.FILTER($A$2:$A$501,($D$2:$D$501&gt;=M$7)*($D$2:$D$501&lt;L$7)*($E$2:$E$501&gt;=$H64)*($E$2:$E$501&lt;$H63)," ")))</f>
        <v xml:space="preserve"> </v>
      </c>
      <c r="M63" t="str" cm="1">
        <f t="array" ref="M63">_xlfn.TEXTJOIN(",",TRUE,(_xlfn._xlws.FILTER($A$2:$A$501,($D$2:$D$501&gt;=N$7)*($D$2:$D$501&lt;M$7)*($E$2:$E$501&gt;=$H64)*($E$2:$E$501&lt;$H63)," ")))</f>
        <v xml:space="preserve"> </v>
      </c>
      <c r="N63" t="str" cm="1">
        <f t="array" ref="N63">_xlfn.TEXTJOIN(",",TRUE,(_xlfn._xlws.FILTER($A$2:$A$501,($D$2:$D$501&gt;=O$7)*($D$2:$D$501&lt;N$7)*($E$2:$E$501&gt;=$H64)*($E$2:$E$501&lt;$H63)," ")))</f>
        <v xml:space="preserve"> </v>
      </c>
      <c r="O63" t="str" cm="1">
        <f t="array" ref="O63">_xlfn.TEXTJOIN(",",TRUE,(_xlfn._xlws.FILTER($A$2:$A$501,($D$2:$D$501&gt;=P$7)*($D$2:$D$501&lt;O$7)*($E$2:$E$501&gt;=$H64)*($E$2:$E$501&lt;$H63)," ")))</f>
        <v xml:space="preserve"> </v>
      </c>
      <c r="P63" t="str" cm="1">
        <f t="array" ref="P63">_xlfn.TEXTJOIN(",",TRUE,(_xlfn._xlws.FILTER($A$2:$A$501,($D$2:$D$501&gt;=Q$7)*($D$2:$D$501&lt;P$7)*($E$2:$E$501&gt;=$H64)*($E$2:$E$501&lt;$H63)," ")))</f>
        <v xml:space="preserve"> </v>
      </c>
      <c r="Q63" t="str" cm="1">
        <f t="array" ref="Q63">_xlfn.TEXTJOIN(",",TRUE,(_xlfn._xlws.FILTER($A$2:$A$501,($D$2:$D$501&gt;=R$7)*($D$2:$D$501&lt;Q$7)*($E$2:$E$501&gt;=$H64)*($E$2:$E$501&lt;$H63)," ")))</f>
        <v xml:space="preserve"> </v>
      </c>
      <c r="R63" t="str" cm="1">
        <f t="array" ref="R63">_xlfn.TEXTJOIN(",",TRUE,(_xlfn._xlws.FILTER($A$2:$A$501,($D$2:$D$501&gt;=S$7)*($D$2:$D$501&lt;R$7)*($E$2:$E$501&gt;=$H64)*($E$2:$E$501&lt;$H63)," ")))</f>
        <v xml:space="preserve"> </v>
      </c>
      <c r="S63" t="str" cm="1">
        <f t="array" ref="S63">_xlfn.TEXTJOIN(",",TRUE,(_xlfn._xlws.FILTER($A$2:$A$501,($D$2:$D$501&gt;=T$7)*($D$2:$D$501&lt;S$7)*($E$2:$E$501&gt;=$H64)*($E$2:$E$501&lt;$H63)," ")))</f>
        <v xml:space="preserve"> </v>
      </c>
      <c r="T63" t="str" cm="1">
        <f t="array" ref="T63">_xlfn.TEXTJOIN(",",TRUE,(_xlfn._xlws.FILTER($A$2:$A$501,($D$2:$D$501&gt;=U$7)*($D$2:$D$501&lt;T$7)*($E$2:$E$501&gt;=$H64)*($E$2:$E$501&lt;$H63)," ")))</f>
        <v xml:space="preserve"> </v>
      </c>
      <c r="U63" t="str" cm="1">
        <f t="array" ref="U63">_xlfn.TEXTJOIN(",",TRUE,(_xlfn._xlws.FILTER($A$2:$A$501,($D$2:$D$501&gt;=V$7)*($D$2:$D$501&lt;U$7)*($E$2:$E$501&gt;=$H64)*($E$2:$E$501&lt;$H63)," ")))</f>
        <v xml:space="preserve"> </v>
      </c>
      <c r="V63" t="str" cm="1">
        <f t="array" ref="V63">_xlfn.TEXTJOIN(",",TRUE,(_xlfn._xlws.FILTER($A$2:$A$501,($D$2:$D$501&gt;=W$7)*($D$2:$D$501&lt;V$7)*($E$2:$E$501&gt;=$H64)*($E$2:$E$501&lt;$H63)," ")))</f>
        <v xml:space="preserve"> </v>
      </c>
      <c r="W63" t="str" cm="1">
        <f t="array" ref="W63">_xlfn.TEXTJOIN(",",TRUE,(_xlfn._xlws.FILTER($A$2:$A$501,($D$2:$D$501&gt;=X$7)*($D$2:$D$501&lt;W$7)*($E$2:$E$501&gt;=$H64)*($E$2:$E$501&lt;$H63)," ")))</f>
        <v xml:space="preserve"> </v>
      </c>
      <c r="X63" t="str" cm="1">
        <f t="array" ref="X63">_xlfn.TEXTJOIN(",",TRUE,(_xlfn._xlws.FILTER($A$2:$A$501,($D$2:$D$501&gt;=Y$7)*($D$2:$D$501&lt;X$7)*($E$2:$E$501&gt;=$H64)*($E$2:$E$501&lt;$H63)," ")))</f>
        <v xml:space="preserve"> </v>
      </c>
      <c r="Y63" t="str" cm="1">
        <f t="array" ref="Y63">_xlfn.TEXTJOIN(",",TRUE,(_xlfn._xlws.FILTER($A$2:$A$501,($D$2:$D$501&gt;=Z$7)*($D$2:$D$501&lt;Y$7)*($E$2:$E$501&gt;=$H64)*($E$2:$E$501&lt;$H63)," ")))</f>
        <v xml:space="preserve"> </v>
      </c>
      <c r="Z63" t="str" cm="1">
        <f t="array" ref="Z63">_xlfn.TEXTJOIN(",",TRUE,(_xlfn._xlws.FILTER($A$2:$A$501,($D$2:$D$501&gt;=AA$7)*($D$2:$D$501&lt;Z$7)*($E$2:$E$501&gt;=$H64)*($E$2:$E$501&lt;$H63)," ")))</f>
        <v xml:space="preserve"> </v>
      </c>
      <c r="AA63" t="str" cm="1">
        <f t="array" ref="AA63">_xlfn.TEXTJOIN(",",TRUE,(_xlfn._xlws.FILTER($A$2:$A$501,($D$2:$D$501&gt;=AB$7)*($D$2:$D$501&lt;AA$7)*($E$2:$E$501&gt;=$H64)*($E$2:$E$501&lt;$H63)," ")))</f>
        <v xml:space="preserve"> </v>
      </c>
      <c r="AB63" t="str" cm="1">
        <f t="array" ref="AB63">_xlfn.TEXTJOIN(",",TRUE,(_xlfn._xlws.FILTER($A$2:$A$501,($D$2:$D$501&gt;=AC$7)*($D$2:$D$501&lt;AB$7)*($E$2:$E$501&gt;=$H64)*($E$2:$E$501&lt;$H63)," ")))</f>
        <v xml:space="preserve"> </v>
      </c>
      <c r="AC63" t="str" cm="1">
        <f t="array" ref="AC63">_xlfn.TEXTJOIN(",",TRUE,(_xlfn._xlws.FILTER($A$2:$A$501,($D$2:$D$501&gt;=AD$7)*($D$2:$D$501&lt;AC$7)*($E$2:$E$501&gt;=$H64)*($E$2:$E$501&lt;$H63)," ")))</f>
        <v xml:space="preserve"> </v>
      </c>
      <c r="AD63" t="str" cm="1">
        <f t="array" ref="AD63">_xlfn.TEXTJOIN(",",TRUE,(_xlfn._xlws.FILTER($A$2:$A$501,($D$2:$D$501&gt;=AE$7)*($D$2:$D$501&lt;AD$7)*($E$2:$E$501&gt;=$H64)*($E$2:$E$501&lt;$H63)," ")))</f>
        <v xml:space="preserve"> </v>
      </c>
      <c r="AE63" t="str" cm="1">
        <f t="array" ref="AE63">_xlfn.TEXTJOIN(",",TRUE,(_xlfn._xlws.FILTER($A$2:$A$501,($D$2:$D$501&gt;=AF$7)*($D$2:$D$501&lt;AE$7)*($E$2:$E$501&gt;=$H64)*($E$2:$E$501&lt;$H63)," ")))</f>
        <v xml:space="preserve"> </v>
      </c>
      <c r="AF63" t="str" cm="1">
        <f t="array" ref="AF63">_xlfn.TEXTJOIN(",",TRUE,(_xlfn._xlws.FILTER($A$2:$A$501,($D$2:$D$501&gt;=AG$7)*($D$2:$D$501&lt;AF$7)*($E$2:$E$501&gt;=$H64)*($E$2:$E$501&lt;$H63)," ")))</f>
        <v xml:space="preserve"> </v>
      </c>
      <c r="AG63" t="str" cm="1">
        <f t="array" ref="AG63">_xlfn.TEXTJOIN(",",TRUE,(_xlfn._xlws.FILTER($A$2:$A$501,($D$2:$D$501&gt;=AH$7)*($D$2:$D$501&lt;AG$7)*($E$2:$E$501&gt;=$H64)*($E$2:$E$501&lt;$H63)," ")))</f>
        <v xml:space="preserve"> </v>
      </c>
      <c r="AH63" t="str" cm="1">
        <f t="array" ref="AH63">_xlfn.TEXTJOIN(",",TRUE,(_xlfn._xlws.FILTER($A$2:$A$501,($D$2:$D$501&gt;=AI$7)*($D$2:$D$501&lt;AH$7)*($E$2:$E$501&gt;=$H64)*($E$2:$E$501&lt;$H63)," ")))</f>
        <v xml:space="preserve"> </v>
      </c>
      <c r="AI63" t="str" cm="1">
        <f t="array" ref="AI63">_xlfn.TEXTJOIN(",",TRUE,(_xlfn._xlws.FILTER($A$2:$A$501,($D$2:$D$501&gt;=AJ$7)*($D$2:$D$501&lt;AI$7)*($E$2:$E$501&gt;=$H64)*($E$2:$E$501&lt;$H63)," ")))</f>
        <v xml:space="preserve"> </v>
      </c>
      <c r="AJ63" t="str" cm="1">
        <f t="array" ref="AJ63">_xlfn.TEXTJOIN(",",TRUE,(_xlfn._xlws.FILTER($A$2:$A$501,($D$2:$D$501&gt;=AK$7)*($D$2:$D$501&lt;AJ$7)*($E$2:$E$501&gt;=$H64)*($E$2:$E$501&lt;$H63)," ")))</f>
        <v xml:space="preserve"> </v>
      </c>
      <c r="AK63" t="str" cm="1">
        <f t="array" ref="AK63">_xlfn.TEXTJOIN(",",TRUE,(_xlfn._xlws.FILTER($A$2:$A$501,($D$2:$D$501&gt;=AL$7)*($D$2:$D$501&lt;AK$7)*($E$2:$E$501&gt;=$H64)*($E$2:$E$501&lt;$H63)," ")))</f>
        <v xml:space="preserve"> </v>
      </c>
      <c r="AL63" t="str" cm="1">
        <f t="array" ref="AL63">_xlfn.TEXTJOIN(",",TRUE,(_xlfn._xlws.FILTER($A$2:$A$501,($D$2:$D$501&gt;=AM$7)*($D$2:$D$501&lt;AL$7)*($E$2:$E$501&gt;=$H64)*($E$2:$E$501&lt;$H63)," ")))</f>
        <v xml:space="preserve"> </v>
      </c>
      <c r="AM63" t="str" cm="1">
        <f t="array" ref="AM63">_xlfn.TEXTJOIN(",",TRUE,(_xlfn._xlws.FILTER($A$2:$A$501,($D$2:$D$501&gt;=AN$7)*($D$2:$D$501&lt;AM$7)*($E$2:$E$501&gt;=$H64)*($E$2:$E$501&lt;$H63)," ")))</f>
        <v xml:space="preserve"> </v>
      </c>
      <c r="AN63" t="str" cm="1">
        <f t="array" ref="AN63">_xlfn.TEXTJOIN(",",TRUE,(_xlfn._xlws.FILTER($A$2:$A$501,($D$2:$D$501&gt;=AO$7)*($D$2:$D$501&lt;AN$7)*($E$2:$E$501&gt;=$H64)*($E$2:$E$501&lt;$H63)," ")))</f>
        <v xml:space="preserve"> </v>
      </c>
      <c r="AO63" t="str" cm="1">
        <f t="array" ref="AO63">_xlfn.TEXTJOIN(",",TRUE,(_xlfn._xlws.FILTER($A$2:$A$501,($D$2:$D$501&gt;=AP$7)*($D$2:$D$501&lt;AO$7)*($E$2:$E$501&gt;=$H64)*($E$2:$E$501&lt;$H63)," ")))</f>
        <v xml:space="preserve"> </v>
      </c>
      <c r="AP63" t="str" cm="1">
        <f t="array" ref="AP63">_xlfn.TEXTJOIN(",",TRUE,(_xlfn._xlws.FILTER($A$2:$A$501,($D$2:$D$501&gt;=AQ$7)*($D$2:$D$501&lt;AP$7)*($E$2:$E$501&gt;=$H64)*($E$2:$E$501&lt;$H63)," ")))</f>
        <v xml:space="preserve"> </v>
      </c>
      <c r="AQ63" t="str" cm="1">
        <f t="array" ref="AQ63">_xlfn.TEXTJOIN(",",TRUE,(_xlfn._xlws.FILTER($A$2:$A$501,($D$2:$D$501&gt;=AR$7)*($D$2:$D$501&lt;AQ$7)*($E$2:$E$501&gt;=$H64)*($E$2:$E$501&lt;$H63)," ")))</f>
        <v xml:space="preserve"> </v>
      </c>
      <c r="AR63" t="str" cm="1">
        <f t="array" ref="AR63">_xlfn.TEXTJOIN(",",TRUE,(_xlfn._xlws.FILTER($A$2:$A$501,($D$2:$D$501&gt;=AS$7)*($D$2:$D$501&lt;AR$7)*($E$2:$E$501&gt;=$H64)*($E$2:$E$501&lt;$H63)," ")))</f>
        <v xml:space="preserve"> </v>
      </c>
      <c r="AS63" t="str" cm="1">
        <f t="array" ref="AS63">_xlfn.TEXTJOIN(",",TRUE,(_xlfn._xlws.FILTER($A$2:$A$501,($D$2:$D$501&gt;=AT$7)*($D$2:$D$501&lt;AS$7)*($E$2:$E$501&gt;=$H64)*($E$2:$E$501&lt;$H63)," ")))</f>
        <v xml:space="preserve"> </v>
      </c>
      <c r="AT63" t="str" cm="1">
        <f t="array" ref="AT63">_xlfn.TEXTJOIN(",",TRUE,(_xlfn._xlws.FILTER($A$2:$A$501,($D$2:$D$501&gt;=AU$7)*($D$2:$D$501&lt;AT$7)*($E$2:$E$501&gt;=$H64)*($E$2:$E$501&lt;$H63)," ")))</f>
        <v xml:space="preserve"> </v>
      </c>
      <c r="AU63" t="str" cm="1">
        <f t="array" ref="AU63">_xlfn.TEXTJOIN(",",TRUE,(_xlfn._xlws.FILTER($A$2:$A$501,($D$2:$D$501&gt;=AV$7)*($D$2:$D$501&lt;AU$7)*($E$2:$E$501&gt;=$H64)*($E$2:$E$501&lt;$H63)," ")))</f>
        <v xml:space="preserve"> </v>
      </c>
      <c r="AV63" t="str" cm="1">
        <f t="array" ref="AV63">_xlfn.TEXTJOIN(",",TRUE,(_xlfn._xlws.FILTER($A$2:$A$501,($D$2:$D$501&gt;=AW$7)*($D$2:$D$501&lt;AV$7)*($E$2:$E$501&gt;=$H64)*($E$2:$E$501&lt;$H63)," ")))</f>
        <v xml:space="preserve"> </v>
      </c>
      <c r="AW63" t="str" cm="1">
        <f t="array" ref="AW63">_xlfn.TEXTJOIN(",",TRUE,(_xlfn._xlws.FILTER($A$2:$A$501,($D$2:$D$501&gt;=AX$7)*($D$2:$D$501&lt;AW$7)*($E$2:$E$501&gt;=$H64)*($E$2:$E$501&lt;$H63)," ")))</f>
        <v xml:space="preserve"> </v>
      </c>
      <c r="AX63" t="str" cm="1">
        <f t="array" ref="AX63">_xlfn.TEXTJOIN(",",TRUE,(_xlfn._xlws.FILTER($A$2:$A$501,($D$2:$D$501&gt;=AY$7)*($D$2:$D$501&lt;AX$7)*($E$2:$E$501&gt;=$H64)*($E$2:$E$501&lt;$H63)," ")))</f>
        <v xml:space="preserve"> </v>
      </c>
      <c r="AY63" t="str" cm="1">
        <f t="array" ref="AY63">_xlfn.TEXTJOIN(",",TRUE,(_xlfn._xlws.FILTER($A$2:$A$501,($D$2:$D$501&gt;=AZ$7)*($D$2:$D$501&lt;AY$7)*($E$2:$E$501&gt;=$H64)*($E$2:$E$501&lt;$H63)," ")))</f>
        <v xml:space="preserve"> </v>
      </c>
      <c r="AZ63" t="str" cm="1">
        <f t="array" ref="AZ63">_xlfn.TEXTJOIN(",",TRUE,(_xlfn._xlws.FILTER($A$2:$A$501,($D$2:$D$501&gt;=BA$7)*($D$2:$D$501&lt;AZ$7)*($E$2:$E$501&gt;=$H64)*($E$2:$E$501&lt;$H63)," ")))</f>
        <v xml:space="preserve"> </v>
      </c>
      <c r="BA63" t="str" cm="1">
        <f t="array" ref="BA63">_xlfn.TEXTJOIN(",",TRUE,(_xlfn._xlws.FILTER($A$2:$A$501,($D$2:$D$501&gt;=BB$7)*($D$2:$D$501&lt;BA$7)*($E$2:$E$501&gt;=$H64)*($E$2:$E$501&lt;$H63)," ")))</f>
        <v xml:space="preserve"> </v>
      </c>
      <c r="BB63" t="str" cm="1">
        <f t="array" ref="BB63">_xlfn.TEXTJOIN(",",TRUE,(_xlfn._xlws.FILTER($A$2:$A$501,($D$2:$D$501&gt;=BC$7)*($D$2:$D$501&lt;BB$7)*($E$2:$E$501&gt;=$H64)*($E$2:$E$501&lt;$H63)," ")))</f>
        <v xml:space="preserve"> </v>
      </c>
    </row>
    <row r="64" spans="1:54" x14ac:dyDescent="0.2">
      <c r="A64" s="3" t="s">
        <v>552</v>
      </c>
      <c r="B64" s="3" t="s">
        <v>551</v>
      </c>
      <c r="C64" s="13">
        <v>2474000.9300000002</v>
      </c>
      <c r="D64" s="15">
        <v>49382911.780000001</v>
      </c>
      <c r="E64" s="22">
        <f>TuitionRates3[[#This Row],[Tuition]]/D64</f>
        <v>5.0098320265553206E-2</v>
      </c>
      <c r="F64"/>
      <c r="H64" s="18">
        <v>9.4E-2</v>
      </c>
      <c r="I64" t="str" cm="1">
        <f t="array" ref="I64">_xlfn.TEXTJOIN(",",TRUE,(_xlfn._xlws.FILTER($A$2:$A$501,($D$2:$D$501&gt;=J$7)*($D$2:$D$501&lt;I$7)*($E$2:$E$501&gt;=$H65)*($E$2:$E$501&lt;$H64)," ")))</f>
        <v xml:space="preserve"> </v>
      </c>
      <c r="J64" t="str" cm="1">
        <f t="array" ref="J64">_xlfn.TEXTJOIN(",",TRUE,(_xlfn._xlws.FILTER($A$2:$A$501,($D$2:$D$501&gt;=K$7)*($D$2:$D$501&lt;J$7)*($E$2:$E$501&gt;=$H65)*($E$2:$E$501&lt;$H64)," ")))</f>
        <v xml:space="preserve"> </v>
      </c>
      <c r="K64" t="str" cm="1">
        <f t="array" ref="K64">_xlfn.TEXTJOIN(",",TRUE,(_xlfn._xlws.FILTER($A$2:$A$501,($D$2:$D$501&gt;=L$7)*($D$2:$D$501&lt;K$7)*($E$2:$E$501&gt;=$H65)*($E$2:$E$501&lt;$H64)," ")))</f>
        <v xml:space="preserve"> </v>
      </c>
      <c r="L64" t="str" cm="1">
        <f t="array" ref="L64">_xlfn.TEXTJOIN(",",TRUE,(_xlfn._xlws.FILTER($A$2:$A$501,($D$2:$D$501&gt;=M$7)*($D$2:$D$501&lt;L$7)*($E$2:$E$501&gt;=$H65)*($E$2:$E$501&lt;$H64)," ")))</f>
        <v xml:space="preserve"> </v>
      </c>
      <c r="M64" t="str" cm="1">
        <f t="array" ref="M64">_xlfn.TEXTJOIN(",",TRUE,(_xlfn._xlws.FILTER($A$2:$A$501,($D$2:$D$501&gt;=N$7)*($D$2:$D$501&lt;M$7)*($E$2:$E$501&gt;=$H65)*($E$2:$E$501&lt;$H64)," ")))</f>
        <v xml:space="preserve"> </v>
      </c>
      <c r="N64" t="str" cm="1">
        <f t="array" ref="N64">_xlfn.TEXTJOIN(",",TRUE,(_xlfn._xlws.FILTER($A$2:$A$501,($D$2:$D$501&gt;=O$7)*($D$2:$D$501&lt;N$7)*($E$2:$E$501&gt;=$H65)*($E$2:$E$501&lt;$H64)," ")))</f>
        <v xml:space="preserve"> </v>
      </c>
      <c r="O64" t="str" cm="1">
        <f t="array" ref="O64">_xlfn.TEXTJOIN(",",TRUE,(_xlfn._xlws.FILTER($A$2:$A$501,($D$2:$D$501&gt;=P$7)*($D$2:$D$501&lt;O$7)*($E$2:$E$501&gt;=$H65)*($E$2:$E$501&lt;$H64)," ")))</f>
        <v xml:space="preserve"> </v>
      </c>
      <c r="P64" t="str" cm="1">
        <f t="array" ref="P64">_xlfn.TEXTJOIN(",",TRUE,(_xlfn._xlws.FILTER($A$2:$A$501,($D$2:$D$501&gt;=Q$7)*($D$2:$D$501&lt;P$7)*($E$2:$E$501&gt;=$H65)*($E$2:$E$501&lt;$H64)," ")))</f>
        <v xml:space="preserve"> </v>
      </c>
      <c r="Q64" t="str" cm="1">
        <f t="array" ref="Q64">_xlfn.TEXTJOIN(",",TRUE,(_xlfn._xlws.FILTER($A$2:$A$501,($D$2:$D$501&gt;=R$7)*($D$2:$D$501&lt;Q$7)*($E$2:$E$501&gt;=$H65)*($E$2:$E$501&lt;$H64)," ")))</f>
        <v xml:space="preserve"> </v>
      </c>
      <c r="R64" t="str" cm="1">
        <f t="array" ref="R64">_xlfn.TEXTJOIN(",",TRUE,(_xlfn._xlws.FILTER($A$2:$A$501,($D$2:$D$501&gt;=S$7)*($D$2:$D$501&lt;R$7)*($E$2:$E$501&gt;=$H65)*($E$2:$E$501&lt;$H64)," ")))</f>
        <v xml:space="preserve"> </v>
      </c>
      <c r="S64" t="str" cm="1">
        <f t="array" ref="S64">_xlfn.TEXTJOIN(",",TRUE,(_xlfn._xlws.FILTER($A$2:$A$501,($D$2:$D$501&gt;=T$7)*($D$2:$D$501&lt;S$7)*($E$2:$E$501&gt;=$H65)*($E$2:$E$501&lt;$H64)," ")))</f>
        <v xml:space="preserve"> </v>
      </c>
      <c r="T64" t="str" cm="1">
        <f t="array" ref="T64">_xlfn.TEXTJOIN(",",TRUE,(_xlfn._xlws.FILTER($A$2:$A$501,($D$2:$D$501&gt;=U$7)*($D$2:$D$501&lt;T$7)*($E$2:$E$501&gt;=$H65)*($E$2:$E$501&lt;$H64)," ")))</f>
        <v xml:space="preserve"> </v>
      </c>
      <c r="U64" t="str" cm="1">
        <f t="array" ref="U64">_xlfn.TEXTJOIN(",",TRUE,(_xlfn._xlws.FILTER($A$2:$A$501,($D$2:$D$501&gt;=V$7)*($D$2:$D$501&lt;U$7)*($E$2:$E$501&gt;=$H65)*($E$2:$E$501&lt;$H64)," ")))</f>
        <v xml:space="preserve"> </v>
      </c>
      <c r="V64" t="str" cm="1">
        <f t="array" ref="V64">_xlfn.TEXTJOIN(",",TRUE,(_xlfn._xlws.FILTER($A$2:$A$501,($D$2:$D$501&gt;=W$7)*($D$2:$D$501&lt;V$7)*($E$2:$E$501&gt;=$H65)*($E$2:$E$501&lt;$H64)," ")))</f>
        <v xml:space="preserve"> </v>
      </c>
      <c r="W64" t="str" cm="1">
        <f t="array" ref="W64">_xlfn.TEXTJOIN(",",TRUE,(_xlfn._xlws.FILTER($A$2:$A$501,($D$2:$D$501&gt;=X$7)*($D$2:$D$501&lt;W$7)*($E$2:$E$501&gt;=$H65)*($E$2:$E$501&lt;$H64)," ")))</f>
        <v xml:space="preserve"> </v>
      </c>
      <c r="X64" t="str" cm="1">
        <f t="array" ref="X64">_xlfn.TEXTJOIN(",",TRUE,(_xlfn._xlws.FILTER($A$2:$A$501,($D$2:$D$501&gt;=Y$7)*($D$2:$D$501&lt;X$7)*($E$2:$E$501&gt;=$H65)*($E$2:$E$501&lt;$H64)," ")))</f>
        <v xml:space="preserve"> </v>
      </c>
      <c r="Y64" t="str" cm="1">
        <f t="array" ref="Y64">_xlfn.TEXTJOIN(",",TRUE,(_xlfn._xlws.FILTER($A$2:$A$501,($D$2:$D$501&gt;=Z$7)*($D$2:$D$501&lt;Y$7)*($E$2:$E$501&gt;=$H65)*($E$2:$E$501&lt;$H64)," ")))</f>
        <v xml:space="preserve"> </v>
      </c>
      <c r="Z64" t="str" cm="1">
        <f t="array" ref="Z64">_xlfn.TEXTJOIN(",",TRUE,(_xlfn._xlws.FILTER($A$2:$A$501,($D$2:$D$501&gt;=AA$7)*($D$2:$D$501&lt;Z$7)*($E$2:$E$501&gt;=$H65)*($E$2:$E$501&lt;$H64)," ")))</f>
        <v xml:space="preserve"> </v>
      </c>
      <c r="AA64" t="str" cm="1">
        <f t="array" ref="AA64">_xlfn.TEXTJOIN(",",TRUE,(_xlfn._xlws.FILTER($A$2:$A$501,($D$2:$D$501&gt;=AB$7)*($D$2:$D$501&lt;AA$7)*($E$2:$E$501&gt;=$H65)*($E$2:$E$501&lt;$H64)," ")))</f>
        <v xml:space="preserve"> </v>
      </c>
      <c r="AB64" t="str" cm="1">
        <f t="array" ref="AB64">_xlfn.TEXTJOIN(",",TRUE,(_xlfn._xlws.FILTER($A$2:$A$501,($D$2:$D$501&gt;=AC$7)*($D$2:$D$501&lt;AB$7)*($E$2:$E$501&gt;=$H65)*($E$2:$E$501&lt;$H64)," ")))</f>
        <v xml:space="preserve"> </v>
      </c>
      <c r="AC64" t="str" cm="1">
        <f t="array" ref="AC64">_xlfn.TEXTJOIN(",",TRUE,(_xlfn._xlws.FILTER($A$2:$A$501,($D$2:$D$501&gt;=AD$7)*($D$2:$D$501&lt;AC$7)*($E$2:$E$501&gt;=$H65)*($E$2:$E$501&lt;$H64)," ")))</f>
        <v xml:space="preserve"> </v>
      </c>
      <c r="AD64" t="str" cm="1">
        <f t="array" ref="AD64">_xlfn.TEXTJOIN(",",TRUE,(_xlfn._xlws.FILTER($A$2:$A$501,($D$2:$D$501&gt;=AE$7)*($D$2:$D$501&lt;AD$7)*($E$2:$E$501&gt;=$H65)*($E$2:$E$501&lt;$H64)," ")))</f>
        <v xml:space="preserve"> </v>
      </c>
      <c r="AE64" t="str" cm="1">
        <f t="array" ref="AE64">_xlfn.TEXTJOIN(",",TRUE,(_xlfn._xlws.FILTER($A$2:$A$501,($D$2:$D$501&gt;=AF$7)*($D$2:$D$501&lt;AE$7)*($E$2:$E$501&gt;=$H65)*($E$2:$E$501&lt;$H64)," ")))</f>
        <v xml:space="preserve"> </v>
      </c>
      <c r="AF64" t="str" cm="1">
        <f t="array" ref="AF64">_xlfn.TEXTJOIN(",",TRUE,(_xlfn._xlws.FILTER($A$2:$A$501,($D$2:$D$501&gt;=AG$7)*($D$2:$D$501&lt;AF$7)*($E$2:$E$501&gt;=$H65)*($E$2:$E$501&lt;$H64)," ")))</f>
        <v xml:space="preserve"> </v>
      </c>
      <c r="AG64" t="str" cm="1">
        <f t="array" ref="AG64">_xlfn.TEXTJOIN(",",TRUE,(_xlfn._xlws.FILTER($A$2:$A$501,($D$2:$D$501&gt;=AH$7)*($D$2:$D$501&lt;AG$7)*($E$2:$E$501&gt;=$H65)*($E$2:$E$501&lt;$H64)," ")))</f>
        <v xml:space="preserve"> </v>
      </c>
      <c r="AH64" t="str" cm="1">
        <f t="array" ref="AH64">_xlfn.TEXTJOIN(",",TRUE,(_xlfn._xlws.FILTER($A$2:$A$501,($D$2:$D$501&gt;=AI$7)*($D$2:$D$501&lt;AH$7)*($E$2:$E$501&gt;=$H65)*($E$2:$E$501&lt;$H64)," ")))</f>
        <v xml:space="preserve"> </v>
      </c>
      <c r="AI64" t="str" cm="1">
        <f t="array" ref="AI64">_xlfn.TEXTJOIN(",",TRUE,(_xlfn._xlws.FILTER($A$2:$A$501,($D$2:$D$501&gt;=AJ$7)*($D$2:$D$501&lt;AI$7)*($E$2:$E$501&gt;=$H65)*($E$2:$E$501&lt;$H64)," ")))</f>
        <v xml:space="preserve"> </v>
      </c>
      <c r="AJ64" t="str" cm="1">
        <f t="array" ref="AJ64">_xlfn.TEXTJOIN(",",TRUE,(_xlfn._xlws.FILTER($A$2:$A$501,($D$2:$D$501&gt;=AK$7)*($D$2:$D$501&lt;AJ$7)*($E$2:$E$501&gt;=$H65)*($E$2:$E$501&lt;$H64)," ")))</f>
        <v xml:space="preserve"> </v>
      </c>
      <c r="AK64" t="str" cm="1">
        <f t="array" ref="AK64">_xlfn.TEXTJOIN(",",TRUE,(_xlfn._xlws.FILTER($A$2:$A$501,($D$2:$D$501&gt;=AL$7)*($D$2:$D$501&lt;AK$7)*($E$2:$E$501&gt;=$H65)*($E$2:$E$501&lt;$H64)," ")))</f>
        <v xml:space="preserve"> </v>
      </c>
      <c r="AL64" t="str" cm="1">
        <f t="array" ref="AL64">_xlfn.TEXTJOIN(",",TRUE,(_xlfn._xlws.FILTER($A$2:$A$501,($D$2:$D$501&gt;=AM$7)*($D$2:$D$501&lt;AL$7)*($E$2:$E$501&gt;=$H65)*($E$2:$E$501&lt;$H64)," ")))</f>
        <v xml:space="preserve"> </v>
      </c>
      <c r="AM64" t="str" cm="1">
        <f t="array" ref="AM64">_xlfn.TEXTJOIN(",",TRUE,(_xlfn._xlws.FILTER($A$2:$A$501,($D$2:$D$501&gt;=AN$7)*($D$2:$D$501&lt;AM$7)*($E$2:$E$501&gt;=$H65)*($E$2:$E$501&lt;$H64)," ")))</f>
        <v xml:space="preserve"> </v>
      </c>
      <c r="AN64" t="str" cm="1">
        <f t="array" ref="AN64">_xlfn.TEXTJOIN(",",TRUE,(_xlfn._xlws.FILTER($A$2:$A$501,($D$2:$D$501&gt;=AO$7)*($D$2:$D$501&lt;AN$7)*($E$2:$E$501&gt;=$H65)*($E$2:$E$501&lt;$H64)," ")))</f>
        <v xml:space="preserve"> </v>
      </c>
      <c r="AO64" t="str" cm="1">
        <f t="array" ref="AO64">_xlfn.TEXTJOIN(",",TRUE,(_xlfn._xlws.FILTER($A$2:$A$501,($D$2:$D$501&gt;=AP$7)*($D$2:$D$501&lt;AO$7)*($E$2:$E$501&gt;=$H65)*($E$2:$E$501&lt;$H64)," ")))</f>
        <v xml:space="preserve"> </v>
      </c>
      <c r="AP64" t="str" cm="1">
        <f t="array" ref="AP64">_xlfn.TEXTJOIN(",",TRUE,(_xlfn._xlws.FILTER($A$2:$A$501,($D$2:$D$501&gt;=AQ$7)*($D$2:$D$501&lt;AP$7)*($E$2:$E$501&gt;=$H65)*($E$2:$E$501&lt;$H64)," ")))</f>
        <v xml:space="preserve"> </v>
      </c>
      <c r="AQ64" t="str" cm="1">
        <f t="array" ref="AQ64">_xlfn.TEXTJOIN(",",TRUE,(_xlfn._xlws.FILTER($A$2:$A$501,($D$2:$D$501&gt;=AR$7)*($D$2:$D$501&lt;AQ$7)*($E$2:$E$501&gt;=$H65)*($E$2:$E$501&lt;$H64)," ")))</f>
        <v xml:space="preserve"> </v>
      </c>
      <c r="AR64" t="str" cm="1">
        <f t="array" ref="AR64">_xlfn.TEXTJOIN(",",TRUE,(_xlfn._xlws.FILTER($A$2:$A$501,($D$2:$D$501&gt;=AS$7)*($D$2:$D$501&lt;AR$7)*($E$2:$E$501&gt;=$H65)*($E$2:$E$501&lt;$H64)," ")))</f>
        <v xml:space="preserve"> </v>
      </c>
      <c r="AS64" t="str" cm="1">
        <f t="array" ref="AS64">_xlfn.TEXTJOIN(",",TRUE,(_xlfn._xlws.FILTER($A$2:$A$501,($D$2:$D$501&gt;=AT$7)*($D$2:$D$501&lt;AS$7)*($E$2:$E$501&gt;=$H65)*($E$2:$E$501&lt;$H64)," ")))</f>
        <v xml:space="preserve"> </v>
      </c>
      <c r="AT64" t="str" cm="1">
        <f t="array" ref="AT64">_xlfn.TEXTJOIN(",",TRUE,(_xlfn._xlws.FILTER($A$2:$A$501,($D$2:$D$501&gt;=AU$7)*($D$2:$D$501&lt;AT$7)*($E$2:$E$501&gt;=$H65)*($E$2:$E$501&lt;$H64)," ")))</f>
        <v xml:space="preserve"> </v>
      </c>
      <c r="AU64" t="str" cm="1">
        <f t="array" ref="AU64">_xlfn.TEXTJOIN(",",TRUE,(_xlfn._xlws.FILTER($A$2:$A$501,($D$2:$D$501&gt;=AV$7)*($D$2:$D$501&lt;AU$7)*($E$2:$E$501&gt;=$H65)*($E$2:$E$501&lt;$H64)," ")))</f>
        <v xml:space="preserve"> </v>
      </c>
      <c r="AV64" t="str" cm="1">
        <f t="array" ref="AV64">_xlfn.TEXTJOIN(",",TRUE,(_xlfn._xlws.FILTER($A$2:$A$501,($D$2:$D$501&gt;=AW$7)*($D$2:$D$501&lt;AV$7)*($E$2:$E$501&gt;=$H65)*($E$2:$E$501&lt;$H64)," ")))</f>
        <v xml:space="preserve"> </v>
      </c>
      <c r="AW64" t="str" cm="1">
        <f t="array" ref="AW64">_xlfn.TEXTJOIN(",",TRUE,(_xlfn._xlws.FILTER($A$2:$A$501,($D$2:$D$501&gt;=AX$7)*($D$2:$D$501&lt;AW$7)*($E$2:$E$501&gt;=$H65)*($E$2:$E$501&lt;$H64)," ")))</f>
        <v xml:space="preserve"> </v>
      </c>
      <c r="AX64" t="str" cm="1">
        <f t="array" ref="AX64">_xlfn.TEXTJOIN(",",TRUE,(_xlfn._xlws.FILTER($A$2:$A$501,($D$2:$D$501&gt;=AY$7)*($D$2:$D$501&lt;AX$7)*($E$2:$E$501&gt;=$H65)*($E$2:$E$501&lt;$H64)," ")))</f>
        <v xml:space="preserve"> </v>
      </c>
      <c r="AY64" t="str" cm="1">
        <f t="array" ref="AY64">_xlfn.TEXTJOIN(",",TRUE,(_xlfn._xlws.FILTER($A$2:$A$501,($D$2:$D$501&gt;=AZ$7)*($D$2:$D$501&lt;AY$7)*($E$2:$E$501&gt;=$H65)*($E$2:$E$501&lt;$H64)," ")))</f>
        <v xml:space="preserve"> </v>
      </c>
      <c r="AZ64" t="str" cm="1">
        <f t="array" ref="AZ64">_xlfn.TEXTJOIN(",",TRUE,(_xlfn._xlws.FILTER($A$2:$A$501,($D$2:$D$501&gt;=BA$7)*($D$2:$D$501&lt;AZ$7)*($E$2:$E$501&gt;=$H65)*($E$2:$E$501&lt;$H64)," ")))</f>
        <v xml:space="preserve"> </v>
      </c>
      <c r="BA64" t="str" cm="1">
        <f t="array" ref="BA64">_xlfn.TEXTJOIN(",",TRUE,(_xlfn._xlws.FILTER($A$2:$A$501,($D$2:$D$501&gt;=BB$7)*($D$2:$D$501&lt;BA$7)*($E$2:$E$501&gt;=$H65)*($E$2:$E$501&lt;$H64)," ")))</f>
        <v xml:space="preserve"> </v>
      </c>
      <c r="BB64" t="str" cm="1">
        <f t="array" ref="BB64">_xlfn.TEXTJOIN(",",TRUE,(_xlfn._xlws.FILTER($A$2:$A$501,($D$2:$D$501&gt;=BC$7)*($D$2:$D$501&lt;BB$7)*($E$2:$E$501&gt;=$H65)*($E$2:$E$501&lt;$H64)," ")))</f>
        <v xml:space="preserve"> </v>
      </c>
    </row>
    <row r="65" spans="1:54" x14ac:dyDescent="0.2">
      <c r="A65" s="3" t="s">
        <v>395</v>
      </c>
      <c r="B65" s="3" t="s">
        <v>386</v>
      </c>
      <c r="C65" s="13">
        <v>2129555.67</v>
      </c>
      <c r="D65" s="15">
        <v>43106625.359999999</v>
      </c>
      <c r="E65" s="22">
        <f>TuitionRates3[[#This Row],[Tuition]]/D65</f>
        <v>4.9402050200294312E-2</v>
      </c>
      <c r="F65"/>
      <c r="H65" s="18">
        <v>9.2999999999999999E-2</v>
      </c>
      <c r="I65" t="str" cm="1">
        <f t="array" ref="I65">_xlfn.TEXTJOIN(",",TRUE,(_xlfn._xlws.FILTER($A$2:$A$501,($D$2:$D$501&gt;=J$7)*($D$2:$D$501&lt;I$7)*($E$2:$E$501&gt;=$H66)*($E$2:$E$501&lt;$H65)," ")))</f>
        <v xml:space="preserve"> </v>
      </c>
      <c r="J65" t="str" cm="1">
        <f t="array" ref="J65">_xlfn.TEXTJOIN(",",TRUE,(_xlfn._xlws.FILTER($A$2:$A$501,($D$2:$D$501&gt;=K$7)*($D$2:$D$501&lt;J$7)*($E$2:$E$501&gt;=$H66)*($E$2:$E$501&lt;$H65)," ")))</f>
        <v xml:space="preserve"> </v>
      </c>
      <c r="K65" t="str" cm="1">
        <f t="array" ref="K65">_xlfn.TEXTJOIN(",",TRUE,(_xlfn._xlws.FILTER($A$2:$A$501,($D$2:$D$501&gt;=L$7)*($D$2:$D$501&lt;K$7)*($E$2:$E$501&gt;=$H66)*($E$2:$E$501&lt;$H65)," ")))</f>
        <v xml:space="preserve"> </v>
      </c>
      <c r="L65" t="str" cm="1">
        <f t="array" ref="L65">_xlfn.TEXTJOIN(",",TRUE,(_xlfn._xlws.FILTER($A$2:$A$501,($D$2:$D$501&gt;=M$7)*($D$2:$D$501&lt;L$7)*($E$2:$E$501&gt;=$H66)*($E$2:$E$501&lt;$H65)," ")))</f>
        <v xml:space="preserve"> </v>
      </c>
      <c r="M65" t="str" cm="1">
        <f t="array" ref="M65">_xlfn.TEXTJOIN(",",TRUE,(_xlfn._xlws.FILTER($A$2:$A$501,($D$2:$D$501&gt;=N$7)*($D$2:$D$501&lt;M$7)*($E$2:$E$501&gt;=$H66)*($E$2:$E$501&lt;$H65)," ")))</f>
        <v xml:space="preserve"> </v>
      </c>
      <c r="N65" t="str" cm="1">
        <f t="array" ref="N65">_xlfn.TEXTJOIN(",",TRUE,(_xlfn._xlws.FILTER($A$2:$A$501,($D$2:$D$501&gt;=O$7)*($D$2:$D$501&lt;N$7)*($E$2:$E$501&gt;=$H66)*($E$2:$E$501&lt;$H65)," ")))</f>
        <v xml:space="preserve"> </v>
      </c>
      <c r="O65" t="str" cm="1">
        <f t="array" ref="O65">_xlfn.TEXTJOIN(",",TRUE,(_xlfn._xlws.FILTER($A$2:$A$501,($D$2:$D$501&gt;=P$7)*($D$2:$D$501&lt;O$7)*($E$2:$E$501&gt;=$H66)*($E$2:$E$501&lt;$H65)," ")))</f>
        <v xml:space="preserve"> </v>
      </c>
      <c r="P65" t="str" cm="1">
        <f t="array" ref="P65">_xlfn.TEXTJOIN(",",TRUE,(_xlfn._xlws.FILTER($A$2:$A$501,($D$2:$D$501&gt;=Q$7)*($D$2:$D$501&lt;P$7)*($E$2:$E$501&gt;=$H66)*($E$2:$E$501&lt;$H65)," ")))</f>
        <v xml:space="preserve"> </v>
      </c>
      <c r="Q65" t="str" cm="1">
        <f t="array" ref="Q65">_xlfn.TEXTJOIN(",",TRUE,(_xlfn._xlws.FILTER($A$2:$A$501,($D$2:$D$501&gt;=R$7)*($D$2:$D$501&lt;Q$7)*($E$2:$E$501&gt;=$H66)*($E$2:$E$501&lt;$H65)," ")))</f>
        <v xml:space="preserve"> </v>
      </c>
      <c r="R65" t="str" cm="1">
        <f t="array" ref="R65">_xlfn.TEXTJOIN(",",TRUE,(_xlfn._xlws.FILTER($A$2:$A$501,($D$2:$D$501&gt;=S$7)*($D$2:$D$501&lt;R$7)*($E$2:$E$501&gt;=$H66)*($E$2:$E$501&lt;$H65)," ")))</f>
        <v xml:space="preserve"> </v>
      </c>
      <c r="S65" t="str" cm="1">
        <f t="array" ref="S65">_xlfn.TEXTJOIN(",",TRUE,(_xlfn._xlws.FILTER($A$2:$A$501,($D$2:$D$501&gt;=T$7)*($D$2:$D$501&lt;S$7)*($E$2:$E$501&gt;=$H66)*($E$2:$E$501&lt;$H65)," ")))</f>
        <v xml:space="preserve"> </v>
      </c>
      <c r="T65" t="str" cm="1">
        <f t="array" ref="T65">_xlfn.TEXTJOIN(",",TRUE,(_xlfn._xlws.FILTER($A$2:$A$501,($D$2:$D$501&gt;=U$7)*($D$2:$D$501&lt;T$7)*($E$2:$E$501&gt;=$H66)*($E$2:$E$501&lt;$H65)," ")))</f>
        <v xml:space="preserve"> </v>
      </c>
      <c r="U65" t="str" cm="1">
        <f t="array" ref="U65">_xlfn.TEXTJOIN(",",TRUE,(_xlfn._xlws.FILTER($A$2:$A$501,($D$2:$D$501&gt;=V$7)*($D$2:$D$501&lt;U$7)*($E$2:$E$501&gt;=$H66)*($E$2:$E$501&lt;$H65)," ")))</f>
        <v xml:space="preserve"> </v>
      </c>
      <c r="V65" t="str" cm="1">
        <f t="array" ref="V65">_xlfn.TEXTJOIN(",",TRUE,(_xlfn._xlws.FILTER($A$2:$A$501,($D$2:$D$501&gt;=W$7)*($D$2:$D$501&lt;V$7)*($E$2:$E$501&gt;=$H66)*($E$2:$E$501&lt;$H65)," ")))</f>
        <v xml:space="preserve"> </v>
      </c>
      <c r="W65" t="str" cm="1">
        <f t="array" ref="W65">_xlfn.TEXTJOIN(",",TRUE,(_xlfn._xlws.FILTER($A$2:$A$501,($D$2:$D$501&gt;=X$7)*($D$2:$D$501&lt;W$7)*($E$2:$E$501&gt;=$H66)*($E$2:$E$501&lt;$H65)," ")))</f>
        <v xml:space="preserve"> </v>
      </c>
      <c r="X65" t="str" cm="1">
        <f t="array" ref="X65">_xlfn.TEXTJOIN(",",TRUE,(_xlfn._xlws.FILTER($A$2:$A$501,($D$2:$D$501&gt;=Y$7)*($D$2:$D$501&lt;X$7)*($E$2:$E$501&gt;=$H66)*($E$2:$E$501&lt;$H65)," ")))</f>
        <v xml:space="preserve"> </v>
      </c>
      <c r="Y65" t="str" cm="1">
        <f t="array" ref="Y65">_xlfn.TEXTJOIN(",",TRUE,(_xlfn._xlws.FILTER($A$2:$A$501,($D$2:$D$501&gt;=Z$7)*($D$2:$D$501&lt;Y$7)*($E$2:$E$501&gt;=$H66)*($E$2:$E$501&lt;$H65)," ")))</f>
        <v xml:space="preserve"> </v>
      </c>
      <c r="Z65" t="str" cm="1">
        <f t="array" ref="Z65">_xlfn.TEXTJOIN(",",TRUE,(_xlfn._xlws.FILTER($A$2:$A$501,($D$2:$D$501&gt;=AA$7)*($D$2:$D$501&lt;Z$7)*($E$2:$E$501&gt;=$H66)*($E$2:$E$501&lt;$H65)," ")))</f>
        <v xml:space="preserve"> </v>
      </c>
      <c r="AA65" t="str" cm="1">
        <f t="array" ref="AA65">_xlfn.TEXTJOIN(",",TRUE,(_xlfn._xlws.FILTER($A$2:$A$501,($D$2:$D$501&gt;=AB$7)*($D$2:$D$501&lt;AA$7)*($E$2:$E$501&gt;=$H66)*($E$2:$E$501&lt;$H65)," ")))</f>
        <v xml:space="preserve"> </v>
      </c>
      <c r="AB65" t="str" cm="1">
        <f t="array" ref="AB65">_xlfn.TEXTJOIN(",",TRUE,(_xlfn._xlws.FILTER($A$2:$A$501,($D$2:$D$501&gt;=AC$7)*($D$2:$D$501&lt;AB$7)*($E$2:$E$501&gt;=$H66)*($E$2:$E$501&lt;$H65)," ")))</f>
        <v xml:space="preserve"> </v>
      </c>
      <c r="AC65" t="str" cm="1">
        <f t="array" ref="AC65">_xlfn.TEXTJOIN(",",TRUE,(_xlfn._xlws.FILTER($A$2:$A$501,($D$2:$D$501&gt;=AD$7)*($D$2:$D$501&lt;AC$7)*($E$2:$E$501&gt;=$H66)*($E$2:$E$501&lt;$H65)," ")))</f>
        <v xml:space="preserve"> </v>
      </c>
      <c r="AD65" t="str" cm="1">
        <f t="array" ref="AD65">_xlfn.TEXTJOIN(",",TRUE,(_xlfn._xlws.FILTER($A$2:$A$501,($D$2:$D$501&gt;=AE$7)*($D$2:$D$501&lt;AD$7)*($E$2:$E$501&gt;=$H66)*($E$2:$E$501&lt;$H65)," ")))</f>
        <v xml:space="preserve"> </v>
      </c>
      <c r="AE65" t="str" cm="1">
        <f t="array" ref="AE65">_xlfn.TEXTJOIN(",",TRUE,(_xlfn._xlws.FILTER($A$2:$A$501,($D$2:$D$501&gt;=AF$7)*($D$2:$D$501&lt;AE$7)*($E$2:$E$501&gt;=$H66)*($E$2:$E$501&lt;$H65)," ")))</f>
        <v xml:space="preserve"> </v>
      </c>
      <c r="AF65" t="str" cm="1">
        <f t="array" ref="AF65">_xlfn.TEXTJOIN(",",TRUE,(_xlfn._xlws.FILTER($A$2:$A$501,($D$2:$D$501&gt;=AG$7)*($D$2:$D$501&lt;AF$7)*($E$2:$E$501&gt;=$H66)*($E$2:$E$501&lt;$H65)," ")))</f>
        <v xml:space="preserve"> </v>
      </c>
      <c r="AG65" t="str" cm="1">
        <f t="array" ref="AG65">_xlfn.TEXTJOIN(",",TRUE,(_xlfn._xlws.FILTER($A$2:$A$501,($D$2:$D$501&gt;=AH$7)*($D$2:$D$501&lt;AG$7)*($E$2:$E$501&gt;=$H66)*($E$2:$E$501&lt;$H65)," ")))</f>
        <v xml:space="preserve"> </v>
      </c>
      <c r="AH65" t="str" cm="1">
        <f t="array" ref="AH65">_xlfn.TEXTJOIN(",",TRUE,(_xlfn._xlws.FILTER($A$2:$A$501,($D$2:$D$501&gt;=AI$7)*($D$2:$D$501&lt;AH$7)*($E$2:$E$501&gt;=$H66)*($E$2:$E$501&lt;$H65)," ")))</f>
        <v xml:space="preserve"> </v>
      </c>
      <c r="AI65" t="str" cm="1">
        <f t="array" ref="AI65">_xlfn.TEXTJOIN(",",TRUE,(_xlfn._xlws.FILTER($A$2:$A$501,($D$2:$D$501&gt;=AJ$7)*($D$2:$D$501&lt;AI$7)*($E$2:$E$501&gt;=$H66)*($E$2:$E$501&lt;$H65)," ")))</f>
        <v xml:space="preserve"> </v>
      </c>
      <c r="AJ65" t="str" cm="1">
        <f t="array" ref="AJ65">_xlfn.TEXTJOIN(",",TRUE,(_xlfn._xlws.FILTER($A$2:$A$501,($D$2:$D$501&gt;=AK$7)*($D$2:$D$501&lt;AJ$7)*($E$2:$E$501&gt;=$H66)*($E$2:$E$501&lt;$H65)," ")))</f>
        <v xml:space="preserve"> </v>
      </c>
      <c r="AK65" t="str" cm="1">
        <f t="array" ref="AK65">_xlfn.TEXTJOIN(",",TRUE,(_xlfn._xlws.FILTER($A$2:$A$501,($D$2:$D$501&gt;=AL$7)*($D$2:$D$501&lt;AK$7)*($E$2:$E$501&gt;=$H66)*($E$2:$E$501&lt;$H65)," ")))</f>
        <v xml:space="preserve"> </v>
      </c>
      <c r="AL65" t="str" cm="1">
        <f t="array" ref="AL65">_xlfn.TEXTJOIN(",",TRUE,(_xlfn._xlws.FILTER($A$2:$A$501,($D$2:$D$501&gt;=AM$7)*($D$2:$D$501&lt;AL$7)*($E$2:$E$501&gt;=$H66)*($E$2:$E$501&lt;$H65)," ")))</f>
        <v xml:space="preserve"> </v>
      </c>
      <c r="AM65" t="str" cm="1">
        <f t="array" ref="AM65">_xlfn.TEXTJOIN(",",TRUE,(_xlfn._xlws.FILTER($A$2:$A$501,($D$2:$D$501&gt;=AN$7)*($D$2:$D$501&lt;AM$7)*($E$2:$E$501&gt;=$H66)*($E$2:$E$501&lt;$H65)," ")))</f>
        <v xml:space="preserve"> </v>
      </c>
      <c r="AN65" t="str" cm="1">
        <f t="array" ref="AN65">_xlfn.TEXTJOIN(",",TRUE,(_xlfn._xlws.FILTER($A$2:$A$501,($D$2:$D$501&gt;=AO$7)*($D$2:$D$501&lt;AN$7)*($E$2:$E$501&gt;=$H66)*($E$2:$E$501&lt;$H65)," ")))</f>
        <v xml:space="preserve"> </v>
      </c>
      <c r="AO65" t="str" cm="1">
        <f t="array" ref="AO65">_xlfn.TEXTJOIN(",",TRUE,(_xlfn._xlws.FILTER($A$2:$A$501,($D$2:$D$501&gt;=AP$7)*($D$2:$D$501&lt;AO$7)*($E$2:$E$501&gt;=$H66)*($E$2:$E$501&lt;$H65)," ")))</f>
        <v xml:space="preserve"> </v>
      </c>
      <c r="AP65" t="str" cm="1">
        <f t="array" ref="AP65">_xlfn.TEXTJOIN(",",TRUE,(_xlfn._xlws.FILTER($A$2:$A$501,($D$2:$D$501&gt;=AQ$7)*($D$2:$D$501&lt;AP$7)*($E$2:$E$501&gt;=$H66)*($E$2:$E$501&lt;$H65)," ")))</f>
        <v xml:space="preserve"> </v>
      </c>
      <c r="AQ65" t="str" cm="1">
        <f t="array" ref="AQ65">_xlfn.TEXTJOIN(",",TRUE,(_xlfn._xlws.FILTER($A$2:$A$501,($D$2:$D$501&gt;=AR$7)*($D$2:$D$501&lt;AQ$7)*($E$2:$E$501&gt;=$H66)*($E$2:$E$501&lt;$H65)," ")))</f>
        <v xml:space="preserve"> </v>
      </c>
      <c r="AR65" t="str" cm="1">
        <f t="array" ref="AR65">_xlfn.TEXTJOIN(",",TRUE,(_xlfn._xlws.FILTER($A$2:$A$501,($D$2:$D$501&gt;=AS$7)*($D$2:$D$501&lt;AR$7)*($E$2:$E$501&gt;=$H66)*($E$2:$E$501&lt;$H65)," ")))</f>
        <v xml:space="preserve"> </v>
      </c>
      <c r="AS65" t="str" cm="1">
        <f t="array" ref="AS65">_xlfn.TEXTJOIN(",",TRUE,(_xlfn._xlws.FILTER($A$2:$A$501,($D$2:$D$501&gt;=AT$7)*($D$2:$D$501&lt;AS$7)*($E$2:$E$501&gt;=$H66)*($E$2:$E$501&lt;$H65)," ")))</f>
        <v xml:space="preserve"> </v>
      </c>
      <c r="AT65" t="str" cm="1">
        <f t="array" ref="AT65">_xlfn.TEXTJOIN(",",TRUE,(_xlfn._xlws.FILTER($A$2:$A$501,($D$2:$D$501&gt;=AU$7)*($D$2:$D$501&lt;AT$7)*($E$2:$E$501&gt;=$H66)*($E$2:$E$501&lt;$H65)," ")))</f>
        <v xml:space="preserve"> </v>
      </c>
      <c r="AU65" t="str" cm="1">
        <f t="array" ref="AU65">_xlfn.TEXTJOIN(",",TRUE,(_xlfn._xlws.FILTER($A$2:$A$501,($D$2:$D$501&gt;=AV$7)*($D$2:$D$501&lt;AU$7)*($E$2:$E$501&gt;=$H66)*($E$2:$E$501&lt;$H65)," ")))</f>
        <v xml:space="preserve"> </v>
      </c>
      <c r="AV65" t="str" cm="1">
        <f t="array" ref="AV65">_xlfn.TEXTJOIN(",",TRUE,(_xlfn._xlws.FILTER($A$2:$A$501,($D$2:$D$501&gt;=AW$7)*($D$2:$D$501&lt;AV$7)*($E$2:$E$501&gt;=$H66)*($E$2:$E$501&lt;$H65)," ")))</f>
        <v xml:space="preserve"> </v>
      </c>
      <c r="AW65" t="str" cm="1">
        <f t="array" ref="AW65">_xlfn.TEXTJOIN(",",TRUE,(_xlfn._xlws.FILTER($A$2:$A$501,($D$2:$D$501&gt;=AX$7)*($D$2:$D$501&lt;AW$7)*($E$2:$E$501&gt;=$H66)*($E$2:$E$501&lt;$H65)," ")))</f>
        <v xml:space="preserve"> </v>
      </c>
      <c r="AX65" t="str" cm="1">
        <f t="array" ref="AX65">_xlfn.TEXTJOIN(",",TRUE,(_xlfn._xlws.FILTER($A$2:$A$501,($D$2:$D$501&gt;=AY$7)*($D$2:$D$501&lt;AX$7)*($E$2:$E$501&gt;=$H66)*($E$2:$E$501&lt;$H65)," ")))</f>
        <v xml:space="preserve"> </v>
      </c>
      <c r="AY65" t="str" cm="1">
        <f t="array" ref="AY65">_xlfn.TEXTJOIN(",",TRUE,(_xlfn._xlws.FILTER($A$2:$A$501,($D$2:$D$501&gt;=AZ$7)*($D$2:$D$501&lt;AY$7)*($E$2:$E$501&gt;=$H66)*($E$2:$E$501&lt;$H65)," ")))</f>
        <v xml:space="preserve"> </v>
      </c>
      <c r="AZ65" t="str" cm="1">
        <f t="array" ref="AZ65">_xlfn.TEXTJOIN(",",TRUE,(_xlfn._xlws.FILTER($A$2:$A$501,($D$2:$D$501&gt;=BA$7)*($D$2:$D$501&lt;AZ$7)*($E$2:$E$501&gt;=$H66)*($E$2:$E$501&lt;$H65)," ")))</f>
        <v xml:space="preserve"> </v>
      </c>
      <c r="BA65" t="str" cm="1">
        <f t="array" ref="BA65">_xlfn.TEXTJOIN(",",TRUE,(_xlfn._xlws.FILTER($A$2:$A$501,($D$2:$D$501&gt;=BB$7)*($D$2:$D$501&lt;BA$7)*($E$2:$E$501&gt;=$H66)*($E$2:$E$501&lt;$H65)," ")))</f>
        <v xml:space="preserve"> </v>
      </c>
      <c r="BB65" t="str" cm="1">
        <f t="array" ref="BB65">_xlfn.TEXTJOIN(",",TRUE,(_xlfn._xlws.FILTER($A$2:$A$501,($D$2:$D$501&gt;=BC$7)*($D$2:$D$501&lt;BB$7)*($E$2:$E$501&gt;=$H66)*($E$2:$E$501&lt;$H65)," ")))</f>
        <v xml:space="preserve"> </v>
      </c>
    </row>
    <row r="66" spans="1:54" x14ac:dyDescent="0.2">
      <c r="A66" s="3" t="s">
        <v>294</v>
      </c>
      <c r="B66" s="3" t="s">
        <v>291</v>
      </c>
      <c r="C66" s="13">
        <v>965185.52</v>
      </c>
      <c r="D66" s="15">
        <v>19614916.27</v>
      </c>
      <c r="E66" s="22">
        <f>TuitionRates3[[#This Row],[Tuition]]/D66</f>
        <v>4.9206711194388394E-2</v>
      </c>
      <c r="F66"/>
      <c r="H66" s="18">
        <v>9.1999999999999998E-2</v>
      </c>
      <c r="I66" t="str" cm="1">
        <f t="array" ref="I66">_xlfn.TEXTJOIN(",",TRUE,(_xlfn._xlws.FILTER($A$2:$A$501,($D$2:$D$501&gt;=J$7)*($D$2:$D$501&lt;I$7)*($E$2:$E$501&gt;=$H67)*($E$2:$E$501&lt;$H66)," ")))</f>
        <v xml:space="preserve"> </v>
      </c>
      <c r="J66" t="str" cm="1">
        <f t="array" ref="J66">_xlfn.TEXTJOIN(",",TRUE,(_xlfn._xlws.FILTER($A$2:$A$501,($D$2:$D$501&gt;=K$7)*($D$2:$D$501&lt;J$7)*($E$2:$E$501&gt;=$H67)*($E$2:$E$501&lt;$H66)," ")))</f>
        <v xml:space="preserve"> </v>
      </c>
      <c r="K66" t="str" cm="1">
        <f t="array" ref="K66">_xlfn.TEXTJOIN(",",TRUE,(_xlfn._xlws.FILTER($A$2:$A$501,($D$2:$D$501&gt;=L$7)*($D$2:$D$501&lt;K$7)*($E$2:$E$501&gt;=$H67)*($E$2:$E$501&lt;$H66)," ")))</f>
        <v xml:space="preserve"> </v>
      </c>
      <c r="L66" t="str" cm="1">
        <f t="array" ref="L66">_xlfn.TEXTJOIN(",",TRUE,(_xlfn._xlws.FILTER($A$2:$A$501,($D$2:$D$501&gt;=M$7)*($D$2:$D$501&lt;L$7)*($E$2:$E$501&gt;=$H67)*($E$2:$E$501&lt;$H66)," ")))</f>
        <v xml:space="preserve"> </v>
      </c>
      <c r="M66" t="str" cm="1">
        <f t="array" ref="M66">_xlfn.TEXTJOIN(",",TRUE,(_xlfn._xlws.FILTER($A$2:$A$501,($D$2:$D$501&gt;=N$7)*($D$2:$D$501&lt;M$7)*($E$2:$E$501&gt;=$H67)*($E$2:$E$501&lt;$H66)," ")))</f>
        <v xml:space="preserve"> </v>
      </c>
      <c r="N66" t="str" cm="1">
        <f t="array" ref="N66">_xlfn.TEXTJOIN(",",TRUE,(_xlfn._xlws.FILTER($A$2:$A$501,($D$2:$D$501&gt;=O$7)*($D$2:$D$501&lt;N$7)*($E$2:$E$501&gt;=$H67)*($E$2:$E$501&lt;$H66)," ")))</f>
        <v xml:space="preserve"> </v>
      </c>
      <c r="O66" t="str" cm="1">
        <f t="array" ref="O66">_xlfn.TEXTJOIN(",",TRUE,(_xlfn._xlws.FILTER($A$2:$A$501,($D$2:$D$501&gt;=P$7)*($D$2:$D$501&lt;O$7)*($E$2:$E$501&gt;=$H67)*($E$2:$E$501&lt;$H66)," ")))</f>
        <v xml:space="preserve"> </v>
      </c>
      <c r="P66" t="str" cm="1">
        <f t="array" ref="P66">_xlfn.TEXTJOIN(",",TRUE,(_xlfn._xlws.FILTER($A$2:$A$501,($D$2:$D$501&gt;=Q$7)*($D$2:$D$501&lt;P$7)*($E$2:$E$501&gt;=$H67)*($E$2:$E$501&lt;$H66)," ")))</f>
        <v xml:space="preserve"> </v>
      </c>
      <c r="Q66" t="str" cm="1">
        <f t="array" ref="Q66">_xlfn.TEXTJOIN(",",TRUE,(_xlfn._xlws.FILTER($A$2:$A$501,($D$2:$D$501&gt;=R$7)*($D$2:$D$501&lt;Q$7)*($E$2:$E$501&gt;=$H67)*($E$2:$E$501&lt;$H66)," ")))</f>
        <v xml:space="preserve"> </v>
      </c>
      <c r="R66" t="str" cm="1">
        <f t="array" ref="R66">_xlfn.TEXTJOIN(",",TRUE,(_xlfn._xlws.FILTER($A$2:$A$501,($D$2:$D$501&gt;=S$7)*($D$2:$D$501&lt;R$7)*($E$2:$E$501&gt;=$H67)*($E$2:$E$501&lt;$H66)," ")))</f>
        <v xml:space="preserve"> </v>
      </c>
      <c r="S66" t="str" cm="1">
        <f t="array" ref="S66">_xlfn.TEXTJOIN(",",TRUE,(_xlfn._xlws.FILTER($A$2:$A$501,($D$2:$D$501&gt;=T$7)*($D$2:$D$501&lt;S$7)*($E$2:$E$501&gt;=$H67)*($E$2:$E$501&lt;$H66)," ")))</f>
        <v xml:space="preserve"> </v>
      </c>
      <c r="T66" t="str" cm="1">
        <f t="array" ref="T66">_xlfn.TEXTJOIN(",",TRUE,(_xlfn._xlws.FILTER($A$2:$A$501,($D$2:$D$501&gt;=U$7)*($D$2:$D$501&lt;T$7)*($E$2:$E$501&gt;=$H67)*($E$2:$E$501&lt;$H66)," ")))</f>
        <v xml:space="preserve"> </v>
      </c>
      <c r="U66" t="str" cm="1">
        <f t="array" ref="U66">_xlfn.TEXTJOIN(",",TRUE,(_xlfn._xlws.FILTER($A$2:$A$501,($D$2:$D$501&gt;=V$7)*($D$2:$D$501&lt;U$7)*($E$2:$E$501&gt;=$H67)*($E$2:$E$501&lt;$H66)," ")))</f>
        <v>Chester-Upland SD</v>
      </c>
      <c r="V66" t="str" cm="1">
        <f t="array" ref="V66">_xlfn.TEXTJOIN(",",TRUE,(_xlfn._xlws.FILTER($A$2:$A$501,($D$2:$D$501&gt;=W$7)*($D$2:$D$501&lt;V$7)*($E$2:$E$501&gt;=$H67)*($E$2:$E$501&lt;$H66)," ")))</f>
        <v xml:space="preserve"> </v>
      </c>
      <c r="W66" t="str" cm="1">
        <f t="array" ref="W66">_xlfn.TEXTJOIN(",",TRUE,(_xlfn._xlws.FILTER($A$2:$A$501,($D$2:$D$501&gt;=X$7)*($D$2:$D$501&lt;W$7)*($E$2:$E$501&gt;=$H67)*($E$2:$E$501&lt;$H66)," ")))</f>
        <v xml:space="preserve"> </v>
      </c>
      <c r="X66" t="str" cm="1">
        <f t="array" ref="X66">_xlfn.TEXTJOIN(",",TRUE,(_xlfn._xlws.FILTER($A$2:$A$501,($D$2:$D$501&gt;=Y$7)*($D$2:$D$501&lt;X$7)*($E$2:$E$501&gt;=$H67)*($E$2:$E$501&lt;$H66)," ")))</f>
        <v xml:space="preserve"> </v>
      </c>
      <c r="Y66" t="str" cm="1">
        <f t="array" ref="Y66">_xlfn.TEXTJOIN(",",TRUE,(_xlfn._xlws.FILTER($A$2:$A$501,($D$2:$D$501&gt;=Z$7)*($D$2:$D$501&lt;Y$7)*($E$2:$E$501&gt;=$H67)*($E$2:$E$501&lt;$H66)," ")))</f>
        <v xml:space="preserve"> </v>
      </c>
      <c r="Z66" t="str" cm="1">
        <f t="array" ref="Z66">_xlfn.TEXTJOIN(",",TRUE,(_xlfn._xlws.FILTER($A$2:$A$501,($D$2:$D$501&gt;=AA$7)*($D$2:$D$501&lt;Z$7)*($E$2:$E$501&gt;=$H67)*($E$2:$E$501&lt;$H66)," ")))</f>
        <v xml:space="preserve"> </v>
      </c>
      <c r="AA66" t="str" cm="1">
        <f t="array" ref="AA66">_xlfn.TEXTJOIN(",",TRUE,(_xlfn._xlws.FILTER($A$2:$A$501,($D$2:$D$501&gt;=AB$7)*($D$2:$D$501&lt;AA$7)*($E$2:$E$501&gt;=$H67)*($E$2:$E$501&lt;$H66)," ")))</f>
        <v xml:space="preserve"> </v>
      </c>
      <c r="AB66" t="str" cm="1">
        <f t="array" ref="AB66">_xlfn.TEXTJOIN(",",TRUE,(_xlfn._xlws.FILTER($A$2:$A$501,($D$2:$D$501&gt;=AC$7)*($D$2:$D$501&lt;AB$7)*($E$2:$E$501&gt;=$H67)*($E$2:$E$501&lt;$H66)," ")))</f>
        <v xml:space="preserve"> </v>
      </c>
      <c r="AC66" t="str" cm="1">
        <f t="array" ref="AC66">_xlfn.TEXTJOIN(",",TRUE,(_xlfn._xlws.FILTER($A$2:$A$501,($D$2:$D$501&gt;=AD$7)*($D$2:$D$501&lt;AC$7)*($E$2:$E$501&gt;=$H67)*($E$2:$E$501&lt;$H66)," ")))</f>
        <v xml:space="preserve"> </v>
      </c>
      <c r="AD66" t="str" cm="1">
        <f t="array" ref="AD66">_xlfn.TEXTJOIN(",",TRUE,(_xlfn._xlws.FILTER($A$2:$A$501,($D$2:$D$501&gt;=AE$7)*($D$2:$D$501&lt;AD$7)*($E$2:$E$501&gt;=$H67)*($E$2:$E$501&lt;$H66)," ")))</f>
        <v xml:space="preserve"> </v>
      </c>
      <c r="AE66" t="str" cm="1">
        <f t="array" ref="AE66">_xlfn.TEXTJOIN(",",TRUE,(_xlfn._xlws.FILTER($A$2:$A$501,($D$2:$D$501&gt;=AF$7)*($D$2:$D$501&lt;AE$7)*($E$2:$E$501&gt;=$H67)*($E$2:$E$501&lt;$H66)," ")))</f>
        <v xml:space="preserve"> </v>
      </c>
      <c r="AF66" t="str" cm="1">
        <f t="array" ref="AF66">_xlfn.TEXTJOIN(",",TRUE,(_xlfn._xlws.FILTER($A$2:$A$501,($D$2:$D$501&gt;=AG$7)*($D$2:$D$501&lt;AF$7)*($E$2:$E$501&gt;=$H67)*($E$2:$E$501&lt;$H66)," ")))</f>
        <v xml:space="preserve"> </v>
      </c>
      <c r="AG66" t="str" cm="1">
        <f t="array" ref="AG66">_xlfn.TEXTJOIN(",",TRUE,(_xlfn._xlws.FILTER($A$2:$A$501,($D$2:$D$501&gt;=AH$7)*($D$2:$D$501&lt;AG$7)*($E$2:$E$501&gt;=$H67)*($E$2:$E$501&lt;$H66)," ")))</f>
        <v xml:space="preserve"> </v>
      </c>
      <c r="AH66" t="str" cm="1">
        <f t="array" ref="AH66">_xlfn.TEXTJOIN(",",TRUE,(_xlfn._xlws.FILTER($A$2:$A$501,($D$2:$D$501&gt;=AI$7)*($D$2:$D$501&lt;AH$7)*($E$2:$E$501&gt;=$H67)*($E$2:$E$501&lt;$H66)," ")))</f>
        <v xml:space="preserve"> </v>
      </c>
      <c r="AI66" t="str" cm="1">
        <f t="array" ref="AI66">_xlfn.TEXTJOIN(",",TRUE,(_xlfn._xlws.FILTER($A$2:$A$501,($D$2:$D$501&gt;=AJ$7)*($D$2:$D$501&lt;AI$7)*($E$2:$E$501&gt;=$H67)*($E$2:$E$501&lt;$H66)," ")))</f>
        <v xml:space="preserve"> </v>
      </c>
      <c r="AJ66" t="str" cm="1">
        <f t="array" ref="AJ66">_xlfn.TEXTJOIN(",",TRUE,(_xlfn._xlws.FILTER($A$2:$A$501,($D$2:$D$501&gt;=AK$7)*($D$2:$D$501&lt;AJ$7)*($E$2:$E$501&gt;=$H67)*($E$2:$E$501&lt;$H66)," ")))</f>
        <v xml:space="preserve"> </v>
      </c>
      <c r="AK66" t="str" cm="1">
        <f t="array" ref="AK66">_xlfn.TEXTJOIN(",",TRUE,(_xlfn._xlws.FILTER($A$2:$A$501,($D$2:$D$501&gt;=AL$7)*($D$2:$D$501&lt;AK$7)*($E$2:$E$501&gt;=$H67)*($E$2:$E$501&lt;$H66)," ")))</f>
        <v xml:space="preserve"> </v>
      </c>
      <c r="AL66" t="str" cm="1">
        <f t="array" ref="AL66">_xlfn.TEXTJOIN(",",TRUE,(_xlfn._xlws.FILTER($A$2:$A$501,($D$2:$D$501&gt;=AM$7)*($D$2:$D$501&lt;AL$7)*($E$2:$E$501&gt;=$H67)*($E$2:$E$501&lt;$H66)," ")))</f>
        <v xml:space="preserve"> </v>
      </c>
      <c r="AM66" t="str" cm="1">
        <f t="array" ref="AM66">_xlfn.TEXTJOIN(",",TRUE,(_xlfn._xlws.FILTER($A$2:$A$501,($D$2:$D$501&gt;=AN$7)*($D$2:$D$501&lt;AM$7)*($E$2:$E$501&gt;=$H67)*($E$2:$E$501&lt;$H66)," ")))</f>
        <v xml:space="preserve"> </v>
      </c>
      <c r="AN66" t="str" cm="1">
        <f t="array" ref="AN66">_xlfn.TEXTJOIN(",",TRUE,(_xlfn._xlws.FILTER($A$2:$A$501,($D$2:$D$501&gt;=AO$7)*($D$2:$D$501&lt;AN$7)*($E$2:$E$501&gt;=$H67)*($E$2:$E$501&lt;$H66)," ")))</f>
        <v xml:space="preserve"> </v>
      </c>
      <c r="AO66" t="str" cm="1">
        <f t="array" ref="AO66">_xlfn.TEXTJOIN(",",TRUE,(_xlfn._xlws.FILTER($A$2:$A$501,($D$2:$D$501&gt;=AP$7)*($D$2:$D$501&lt;AO$7)*($E$2:$E$501&gt;=$H67)*($E$2:$E$501&lt;$H66)," ")))</f>
        <v xml:space="preserve"> </v>
      </c>
      <c r="AP66" t="str" cm="1">
        <f t="array" ref="AP66">_xlfn.TEXTJOIN(",",TRUE,(_xlfn._xlws.FILTER($A$2:$A$501,($D$2:$D$501&gt;=AQ$7)*($D$2:$D$501&lt;AP$7)*($E$2:$E$501&gt;=$H67)*($E$2:$E$501&lt;$H66)," ")))</f>
        <v xml:space="preserve"> </v>
      </c>
      <c r="AQ66" t="str" cm="1">
        <f t="array" ref="AQ66">_xlfn.TEXTJOIN(",",TRUE,(_xlfn._xlws.FILTER($A$2:$A$501,($D$2:$D$501&gt;=AR$7)*($D$2:$D$501&lt;AQ$7)*($E$2:$E$501&gt;=$H67)*($E$2:$E$501&lt;$H66)," ")))</f>
        <v xml:space="preserve"> </v>
      </c>
      <c r="AR66" t="str" cm="1">
        <f t="array" ref="AR66">_xlfn.TEXTJOIN(",",TRUE,(_xlfn._xlws.FILTER($A$2:$A$501,($D$2:$D$501&gt;=AS$7)*($D$2:$D$501&lt;AR$7)*($E$2:$E$501&gt;=$H67)*($E$2:$E$501&lt;$H66)," ")))</f>
        <v xml:space="preserve"> </v>
      </c>
      <c r="AS66" t="str" cm="1">
        <f t="array" ref="AS66">_xlfn.TEXTJOIN(",",TRUE,(_xlfn._xlws.FILTER($A$2:$A$501,($D$2:$D$501&gt;=AT$7)*($D$2:$D$501&lt;AS$7)*($E$2:$E$501&gt;=$H67)*($E$2:$E$501&lt;$H66)," ")))</f>
        <v xml:space="preserve"> </v>
      </c>
      <c r="AT66" t="str" cm="1">
        <f t="array" ref="AT66">_xlfn.TEXTJOIN(",",TRUE,(_xlfn._xlws.FILTER($A$2:$A$501,($D$2:$D$501&gt;=AU$7)*($D$2:$D$501&lt;AT$7)*($E$2:$E$501&gt;=$H67)*($E$2:$E$501&lt;$H66)," ")))</f>
        <v xml:space="preserve"> </v>
      </c>
      <c r="AU66" t="str" cm="1">
        <f t="array" ref="AU66">_xlfn.TEXTJOIN(",",TRUE,(_xlfn._xlws.FILTER($A$2:$A$501,($D$2:$D$501&gt;=AV$7)*($D$2:$D$501&lt;AU$7)*($E$2:$E$501&gt;=$H67)*($E$2:$E$501&lt;$H66)," ")))</f>
        <v xml:space="preserve"> </v>
      </c>
      <c r="AV66" t="str" cm="1">
        <f t="array" ref="AV66">_xlfn.TEXTJOIN(",",TRUE,(_xlfn._xlws.FILTER($A$2:$A$501,($D$2:$D$501&gt;=AW$7)*($D$2:$D$501&lt;AV$7)*($E$2:$E$501&gt;=$H67)*($E$2:$E$501&lt;$H66)," ")))</f>
        <v xml:space="preserve"> </v>
      </c>
      <c r="AW66" t="str" cm="1">
        <f t="array" ref="AW66">_xlfn.TEXTJOIN(",",TRUE,(_xlfn._xlws.FILTER($A$2:$A$501,($D$2:$D$501&gt;=AX$7)*($D$2:$D$501&lt;AW$7)*($E$2:$E$501&gt;=$H67)*($E$2:$E$501&lt;$H66)," ")))</f>
        <v xml:space="preserve"> </v>
      </c>
      <c r="AX66" t="str" cm="1">
        <f t="array" ref="AX66">_xlfn.TEXTJOIN(",",TRUE,(_xlfn._xlws.FILTER($A$2:$A$501,($D$2:$D$501&gt;=AY$7)*($D$2:$D$501&lt;AX$7)*($E$2:$E$501&gt;=$H67)*($E$2:$E$501&lt;$H66)," ")))</f>
        <v xml:space="preserve"> </v>
      </c>
      <c r="AY66" t="str" cm="1">
        <f t="array" ref="AY66">_xlfn.TEXTJOIN(",",TRUE,(_xlfn._xlws.FILTER($A$2:$A$501,($D$2:$D$501&gt;=AZ$7)*($D$2:$D$501&lt;AY$7)*($E$2:$E$501&gt;=$H67)*($E$2:$E$501&lt;$H66)," ")))</f>
        <v xml:space="preserve"> </v>
      </c>
      <c r="AZ66" t="str" cm="1">
        <f t="array" ref="AZ66">_xlfn.TEXTJOIN(",",TRUE,(_xlfn._xlws.FILTER($A$2:$A$501,($D$2:$D$501&gt;=BA$7)*($D$2:$D$501&lt;AZ$7)*($E$2:$E$501&gt;=$H67)*($E$2:$E$501&lt;$H66)," ")))</f>
        <v xml:space="preserve"> </v>
      </c>
      <c r="BA66" t="str" cm="1">
        <f t="array" ref="BA66">_xlfn.TEXTJOIN(",",TRUE,(_xlfn._xlws.FILTER($A$2:$A$501,($D$2:$D$501&gt;=BB$7)*($D$2:$D$501&lt;BA$7)*($E$2:$E$501&gt;=$H67)*($E$2:$E$501&lt;$H66)," ")))</f>
        <v xml:space="preserve"> </v>
      </c>
      <c r="BB66" t="str" cm="1">
        <f t="array" ref="BB66">_xlfn.TEXTJOIN(",",TRUE,(_xlfn._xlws.FILTER($A$2:$A$501,($D$2:$D$501&gt;=BC$7)*($D$2:$D$501&lt;BB$7)*($E$2:$E$501&gt;=$H67)*($E$2:$E$501&lt;$H66)," ")))</f>
        <v xml:space="preserve"> </v>
      </c>
    </row>
    <row r="67" spans="1:54" x14ac:dyDescent="0.2">
      <c r="A67" s="3" t="s">
        <v>404</v>
      </c>
      <c r="B67" s="3" t="s">
        <v>401</v>
      </c>
      <c r="C67" s="13">
        <v>6694888.0300000003</v>
      </c>
      <c r="D67" s="15">
        <v>136454893.99000001</v>
      </c>
      <c r="E67" s="22">
        <f>TuitionRates3[[#This Row],[Tuition]]/D67</f>
        <v>4.9063011477555582E-2</v>
      </c>
      <c r="F67"/>
      <c r="H67" s="18">
        <v>9.0999999999999998E-2</v>
      </c>
      <c r="I67" t="str" cm="1">
        <f t="array" ref="I67">_xlfn.TEXTJOIN(",",TRUE,(_xlfn._xlws.FILTER($A$2:$A$501,($D$2:$D$501&gt;=J$7)*($D$2:$D$501&lt;I$7)*($E$2:$E$501&gt;=$H68)*($E$2:$E$501&lt;$H67)," ")))</f>
        <v xml:space="preserve"> </v>
      </c>
      <c r="J67" t="str" cm="1">
        <f t="array" ref="J67">_xlfn.TEXTJOIN(",",TRUE,(_xlfn._xlws.FILTER($A$2:$A$501,($D$2:$D$501&gt;=K$7)*($D$2:$D$501&lt;J$7)*($E$2:$E$501&gt;=$H68)*($E$2:$E$501&lt;$H67)," ")))</f>
        <v xml:space="preserve"> </v>
      </c>
      <c r="K67" t="str" cm="1">
        <f t="array" ref="K67">_xlfn.TEXTJOIN(",",TRUE,(_xlfn._xlws.FILTER($A$2:$A$501,($D$2:$D$501&gt;=L$7)*($D$2:$D$501&lt;K$7)*($E$2:$E$501&gt;=$H68)*($E$2:$E$501&lt;$H67)," ")))</f>
        <v xml:space="preserve"> </v>
      </c>
      <c r="L67" t="str" cm="1">
        <f t="array" ref="L67">_xlfn.TEXTJOIN(",",TRUE,(_xlfn._xlws.FILTER($A$2:$A$501,($D$2:$D$501&gt;=M$7)*($D$2:$D$501&lt;L$7)*($E$2:$E$501&gt;=$H68)*($E$2:$E$501&lt;$H67)," ")))</f>
        <v xml:space="preserve"> </v>
      </c>
      <c r="M67" t="str" cm="1">
        <f t="array" ref="M67">_xlfn.TEXTJOIN(",",TRUE,(_xlfn._xlws.FILTER($A$2:$A$501,($D$2:$D$501&gt;=N$7)*($D$2:$D$501&lt;M$7)*($E$2:$E$501&gt;=$H68)*($E$2:$E$501&lt;$H67)," ")))</f>
        <v xml:space="preserve"> </v>
      </c>
      <c r="N67" t="str" cm="1">
        <f t="array" ref="N67">_xlfn.TEXTJOIN(",",TRUE,(_xlfn._xlws.FILTER($A$2:$A$501,($D$2:$D$501&gt;=O$7)*($D$2:$D$501&lt;N$7)*($E$2:$E$501&gt;=$H68)*($E$2:$E$501&lt;$H67)," ")))</f>
        <v xml:space="preserve"> </v>
      </c>
      <c r="O67" t="str" cm="1">
        <f t="array" ref="O67">_xlfn.TEXTJOIN(",",TRUE,(_xlfn._xlws.FILTER($A$2:$A$501,($D$2:$D$501&gt;=P$7)*($D$2:$D$501&lt;O$7)*($E$2:$E$501&gt;=$H68)*($E$2:$E$501&lt;$H67)," ")))</f>
        <v xml:space="preserve"> </v>
      </c>
      <c r="P67" t="str" cm="1">
        <f t="array" ref="P67">_xlfn.TEXTJOIN(",",TRUE,(_xlfn._xlws.FILTER($A$2:$A$501,($D$2:$D$501&gt;=Q$7)*($D$2:$D$501&lt;P$7)*($E$2:$E$501&gt;=$H68)*($E$2:$E$501&lt;$H67)," ")))</f>
        <v xml:space="preserve"> </v>
      </c>
      <c r="Q67" t="str" cm="1">
        <f t="array" ref="Q67">_xlfn.TEXTJOIN(",",TRUE,(_xlfn._xlws.FILTER($A$2:$A$501,($D$2:$D$501&gt;=R$7)*($D$2:$D$501&lt;Q$7)*($E$2:$E$501&gt;=$H68)*($E$2:$E$501&lt;$H67)," ")))</f>
        <v xml:space="preserve"> </v>
      </c>
      <c r="R67" t="str" cm="1">
        <f t="array" ref="R67">_xlfn.TEXTJOIN(",",TRUE,(_xlfn._xlws.FILTER($A$2:$A$501,($D$2:$D$501&gt;=S$7)*($D$2:$D$501&lt;R$7)*($E$2:$E$501&gt;=$H68)*($E$2:$E$501&lt;$H67)," ")))</f>
        <v xml:space="preserve"> </v>
      </c>
      <c r="S67" t="str" cm="1">
        <f t="array" ref="S67">_xlfn.TEXTJOIN(",",TRUE,(_xlfn._xlws.FILTER($A$2:$A$501,($D$2:$D$501&gt;=T$7)*($D$2:$D$501&lt;S$7)*($E$2:$E$501&gt;=$H68)*($E$2:$E$501&lt;$H67)," ")))</f>
        <v xml:space="preserve"> </v>
      </c>
      <c r="T67" t="str" cm="1">
        <f t="array" ref="T67">_xlfn.TEXTJOIN(",",TRUE,(_xlfn._xlws.FILTER($A$2:$A$501,($D$2:$D$501&gt;=U$7)*($D$2:$D$501&lt;T$7)*($E$2:$E$501&gt;=$H68)*($E$2:$E$501&lt;$H67)," ")))</f>
        <v xml:space="preserve"> </v>
      </c>
      <c r="U67" t="str" cm="1">
        <f t="array" ref="U67">_xlfn.TEXTJOIN(",",TRUE,(_xlfn._xlws.FILTER($A$2:$A$501,($D$2:$D$501&gt;=V$7)*($D$2:$D$501&lt;U$7)*($E$2:$E$501&gt;=$H68)*($E$2:$E$501&lt;$H67)," ")))</f>
        <v xml:space="preserve"> </v>
      </c>
      <c r="V67" t="str" cm="1">
        <f t="array" ref="V67">_xlfn.TEXTJOIN(",",TRUE,(_xlfn._xlws.FILTER($A$2:$A$501,($D$2:$D$501&gt;=W$7)*($D$2:$D$501&lt;V$7)*($E$2:$E$501&gt;=$H68)*($E$2:$E$501&lt;$H67)," ")))</f>
        <v xml:space="preserve"> </v>
      </c>
      <c r="W67" t="str" cm="1">
        <f t="array" ref="W67">_xlfn.TEXTJOIN(",",TRUE,(_xlfn._xlws.FILTER($A$2:$A$501,($D$2:$D$501&gt;=X$7)*($D$2:$D$501&lt;W$7)*($E$2:$E$501&gt;=$H68)*($E$2:$E$501&lt;$H67)," ")))</f>
        <v xml:space="preserve"> </v>
      </c>
      <c r="X67" t="str" cm="1">
        <f t="array" ref="X67">_xlfn.TEXTJOIN(",",TRUE,(_xlfn._xlws.FILTER($A$2:$A$501,($D$2:$D$501&gt;=Y$7)*($D$2:$D$501&lt;X$7)*($E$2:$E$501&gt;=$H68)*($E$2:$E$501&lt;$H67)," ")))</f>
        <v xml:space="preserve"> </v>
      </c>
      <c r="Y67" t="str" cm="1">
        <f t="array" ref="Y67">_xlfn.TEXTJOIN(",",TRUE,(_xlfn._xlws.FILTER($A$2:$A$501,($D$2:$D$501&gt;=Z$7)*($D$2:$D$501&lt;Y$7)*($E$2:$E$501&gt;=$H68)*($E$2:$E$501&lt;$H67)," ")))</f>
        <v xml:space="preserve"> </v>
      </c>
      <c r="Z67" t="str" cm="1">
        <f t="array" ref="Z67">_xlfn.TEXTJOIN(",",TRUE,(_xlfn._xlws.FILTER($A$2:$A$501,($D$2:$D$501&gt;=AA$7)*($D$2:$D$501&lt;Z$7)*($E$2:$E$501&gt;=$H68)*($E$2:$E$501&lt;$H67)," ")))</f>
        <v xml:space="preserve"> </v>
      </c>
      <c r="AA67" t="str" cm="1">
        <f t="array" ref="AA67">_xlfn.TEXTJOIN(",",TRUE,(_xlfn._xlws.FILTER($A$2:$A$501,($D$2:$D$501&gt;=AB$7)*($D$2:$D$501&lt;AA$7)*($E$2:$E$501&gt;=$H68)*($E$2:$E$501&lt;$H67)," ")))</f>
        <v xml:space="preserve"> </v>
      </c>
      <c r="AB67" t="str" cm="1">
        <f t="array" ref="AB67">_xlfn.TEXTJOIN(",",TRUE,(_xlfn._xlws.FILTER($A$2:$A$501,($D$2:$D$501&gt;=AC$7)*($D$2:$D$501&lt;AB$7)*($E$2:$E$501&gt;=$H68)*($E$2:$E$501&lt;$H67)," ")))</f>
        <v xml:space="preserve"> </v>
      </c>
      <c r="AC67" t="str" cm="1">
        <f t="array" ref="AC67">_xlfn.TEXTJOIN(",",TRUE,(_xlfn._xlws.FILTER($A$2:$A$501,($D$2:$D$501&gt;=AD$7)*($D$2:$D$501&lt;AC$7)*($E$2:$E$501&gt;=$H68)*($E$2:$E$501&lt;$H67)," ")))</f>
        <v xml:space="preserve"> </v>
      </c>
      <c r="AD67" t="str" cm="1">
        <f t="array" ref="AD67">_xlfn.TEXTJOIN(",",TRUE,(_xlfn._xlws.FILTER($A$2:$A$501,($D$2:$D$501&gt;=AE$7)*($D$2:$D$501&lt;AD$7)*($E$2:$E$501&gt;=$H68)*($E$2:$E$501&lt;$H67)," ")))</f>
        <v xml:space="preserve"> </v>
      </c>
      <c r="AE67" t="str" cm="1">
        <f t="array" ref="AE67">_xlfn.TEXTJOIN(",",TRUE,(_xlfn._xlws.FILTER($A$2:$A$501,($D$2:$D$501&gt;=AF$7)*($D$2:$D$501&lt;AE$7)*($E$2:$E$501&gt;=$H68)*($E$2:$E$501&lt;$H67)," ")))</f>
        <v xml:space="preserve"> </v>
      </c>
      <c r="AF67" t="str" cm="1">
        <f t="array" ref="AF67">_xlfn.TEXTJOIN(",",TRUE,(_xlfn._xlws.FILTER($A$2:$A$501,($D$2:$D$501&gt;=AG$7)*($D$2:$D$501&lt;AF$7)*($E$2:$E$501&gt;=$H68)*($E$2:$E$501&lt;$H67)," ")))</f>
        <v xml:space="preserve"> </v>
      </c>
      <c r="AG67" t="str" cm="1">
        <f t="array" ref="AG67">_xlfn.TEXTJOIN(",",TRUE,(_xlfn._xlws.FILTER($A$2:$A$501,($D$2:$D$501&gt;=AH$7)*($D$2:$D$501&lt;AG$7)*($E$2:$E$501&gt;=$H68)*($E$2:$E$501&lt;$H67)," ")))</f>
        <v xml:space="preserve"> </v>
      </c>
      <c r="AH67" t="str" cm="1">
        <f t="array" ref="AH67">_xlfn.TEXTJOIN(",",TRUE,(_xlfn._xlws.FILTER($A$2:$A$501,($D$2:$D$501&gt;=AI$7)*($D$2:$D$501&lt;AH$7)*($E$2:$E$501&gt;=$H68)*($E$2:$E$501&lt;$H67)," ")))</f>
        <v xml:space="preserve"> </v>
      </c>
      <c r="AI67" t="str" cm="1">
        <f t="array" ref="AI67">_xlfn.TEXTJOIN(",",TRUE,(_xlfn._xlws.FILTER($A$2:$A$501,($D$2:$D$501&gt;=AJ$7)*($D$2:$D$501&lt;AI$7)*($E$2:$E$501&gt;=$H68)*($E$2:$E$501&lt;$H67)," ")))</f>
        <v xml:space="preserve"> </v>
      </c>
      <c r="AJ67" t="str" cm="1">
        <f t="array" ref="AJ67">_xlfn.TEXTJOIN(",",TRUE,(_xlfn._xlws.FILTER($A$2:$A$501,($D$2:$D$501&gt;=AK$7)*($D$2:$D$501&lt;AJ$7)*($E$2:$E$501&gt;=$H68)*($E$2:$E$501&lt;$H67)," ")))</f>
        <v xml:space="preserve"> </v>
      </c>
      <c r="AK67" t="str" cm="1">
        <f t="array" ref="AK67">_xlfn.TEXTJOIN(",",TRUE,(_xlfn._xlws.FILTER($A$2:$A$501,($D$2:$D$501&gt;=AL$7)*($D$2:$D$501&lt;AK$7)*($E$2:$E$501&gt;=$H68)*($E$2:$E$501&lt;$H67)," ")))</f>
        <v xml:space="preserve"> </v>
      </c>
      <c r="AL67" t="str" cm="1">
        <f t="array" ref="AL67">_xlfn.TEXTJOIN(",",TRUE,(_xlfn._xlws.FILTER($A$2:$A$501,($D$2:$D$501&gt;=AM$7)*($D$2:$D$501&lt;AL$7)*($E$2:$E$501&gt;=$H68)*($E$2:$E$501&lt;$H67)," ")))</f>
        <v xml:space="preserve"> </v>
      </c>
      <c r="AM67" t="str" cm="1">
        <f t="array" ref="AM67">_xlfn.TEXTJOIN(",",TRUE,(_xlfn._xlws.FILTER($A$2:$A$501,($D$2:$D$501&gt;=AN$7)*($D$2:$D$501&lt;AM$7)*($E$2:$E$501&gt;=$H68)*($E$2:$E$501&lt;$H67)," ")))</f>
        <v xml:space="preserve"> </v>
      </c>
      <c r="AN67" t="str" cm="1">
        <f t="array" ref="AN67">_xlfn.TEXTJOIN(",",TRUE,(_xlfn._xlws.FILTER($A$2:$A$501,($D$2:$D$501&gt;=AO$7)*($D$2:$D$501&lt;AN$7)*($E$2:$E$501&gt;=$H68)*($E$2:$E$501&lt;$H67)," ")))</f>
        <v xml:space="preserve"> </v>
      </c>
      <c r="AO67" t="str" cm="1">
        <f t="array" ref="AO67">_xlfn.TEXTJOIN(",",TRUE,(_xlfn._xlws.FILTER($A$2:$A$501,($D$2:$D$501&gt;=AP$7)*($D$2:$D$501&lt;AO$7)*($E$2:$E$501&gt;=$H68)*($E$2:$E$501&lt;$H67)," ")))</f>
        <v xml:space="preserve"> </v>
      </c>
      <c r="AP67" t="str" cm="1">
        <f t="array" ref="AP67">_xlfn.TEXTJOIN(",",TRUE,(_xlfn._xlws.FILTER($A$2:$A$501,($D$2:$D$501&gt;=AQ$7)*($D$2:$D$501&lt;AP$7)*($E$2:$E$501&gt;=$H68)*($E$2:$E$501&lt;$H67)," ")))</f>
        <v xml:space="preserve"> </v>
      </c>
      <c r="AQ67" t="str" cm="1">
        <f t="array" ref="AQ67">_xlfn.TEXTJOIN(",",TRUE,(_xlfn._xlws.FILTER($A$2:$A$501,($D$2:$D$501&gt;=AR$7)*($D$2:$D$501&lt;AQ$7)*($E$2:$E$501&gt;=$H68)*($E$2:$E$501&lt;$H67)," ")))</f>
        <v xml:space="preserve"> </v>
      </c>
      <c r="AR67" t="str" cm="1">
        <f t="array" ref="AR67">_xlfn.TEXTJOIN(",",TRUE,(_xlfn._xlws.FILTER($A$2:$A$501,($D$2:$D$501&gt;=AS$7)*($D$2:$D$501&lt;AR$7)*($E$2:$E$501&gt;=$H68)*($E$2:$E$501&lt;$H67)," ")))</f>
        <v xml:space="preserve"> </v>
      </c>
      <c r="AS67" t="str" cm="1">
        <f t="array" ref="AS67">_xlfn.TEXTJOIN(",",TRUE,(_xlfn._xlws.FILTER($A$2:$A$501,($D$2:$D$501&gt;=AT$7)*($D$2:$D$501&lt;AS$7)*($E$2:$E$501&gt;=$H68)*($E$2:$E$501&lt;$H67)," ")))</f>
        <v xml:space="preserve"> </v>
      </c>
      <c r="AT67" t="str" cm="1">
        <f t="array" ref="AT67">_xlfn.TEXTJOIN(",",TRUE,(_xlfn._xlws.FILTER($A$2:$A$501,($D$2:$D$501&gt;=AU$7)*($D$2:$D$501&lt;AT$7)*($E$2:$E$501&gt;=$H68)*($E$2:$E$501&lt;$H67)," ")))</f>
        <v xml:space="preserve"> </v>
      </c>
      <c r="AU67" t="str" cm="1">
        <f t="array" ref="AU67">_xlfn.TEXTJOIN(",",TRUE,(_xlfn._xlws.FILTER($A$2:$A$501,($D$2:$D$501&gt;=AV$7)*($D$2:$D$501&lt;AU$7)*($E$2:$E$501&gt;=$H68)*($E$2:$E$501&lt;$H67)," ")))</f>
        <v xml:space="preserve"> </v>
      </c>
      <c r="AV67" t="str" cm="1">
        <f t="array" ref="AV67">_xlfn.TEXTJOIN(",",TRUE,(_xlfn._xlws.FILTER($A$2:$A$501,($D$2:$D$501&gt;=AW$7)*($D$2:$D$501&lt;AV$7)*($E$2:$E$501&gt;=$H68)*($E$2:$E$501&lt;$H67)," ")))</f>
        <v xml:space="preserve"> </v>
      </c>
      <c r="AW67" t="str" cm="1">
        <f t="array" ref="AW67">_xlfn.TEXTJOIN(",",TRUE,(_xlfn._xlws.FILTER($A$2:$A$501,($D$2:$D$501&gt;=AX$7)*($D$2:$D$501&lt;AW$7)*($E$2:$E$501&gt;=$H68)*($E$2:$E$501&lt;$H67)," ")))</f>
        <v xml:space="preserve"> </v>
      </c>
      <c r="AX67" t="str" cm="1">
        <f t="array" ref="AX67">_xlfn.TEXTJOIN(",",TRUE,(_xlfn._xlws.FILTER($A$2:$A$501,($D$2:$D$501&gt;=AY$7)*($D$2:$D$501&lt;AX$7)*($E$2:$E$501&gt;=$H68)*($E$2:$E$501&lt;$H67)," ")))</f>
        <v xml:space="preserve"> </v>
      </c>
      <c r="AY67" t="str" cm="1">
        <f t="array" ref="AY67">_xlfn.TEXTJOIN(",",TRUE,(_xlfn._xlws.FILTER($A$2:$A$501,($D$2:$D$501&gt;=AZ$7)*($D$2:$D$501&lt;AY$7)*($E$2:$E$501&gt;=$H68)*($E$2:$E$501&lt;$H67)," ")))</f>
        <v xml:space="preserve"> </v>
      </c>
      <c r="AZ67" t="str" cm="1">
        <f t="array" ref="AZ67">_xlfn.TEXTJOIN(",",TRUE,(_xlfn._xlws.FILTER($A$2:$A$501,($D$2:$D$501&gt;=BA$7)*($D$2:$D$501&lt;AZ$7)*($E$2:$E$501&gt;=$H68)*($E$2:$E$501&lt;$H67)," ")))</f>
        <v xml:space="preserve"> </v>
      </c>
      <c r="BA67" t="str" cm="1">
        <f t="array" ref="BA67">_xlfn.TEXTJOIN(",",TRUE,(_xlfn._xlws.FILTER($A$2:$A$501,($D$2:$D$501&gt;=BB$7)*($D$2:$D$501&lt;BA$7)*($E$2:$E$501&gt;=$H68)*($E$2:$E$501&lt;$H67)," ")))</f>
        <v xml:space="preserve"> </v>
      </c>
      <c r="BB67" t="str" cm="1">
        <f t="array" ref="BB67">_xlfn.TEXTJOIN(",",TRUE,(_xlfn._xlws.FILTER($A$2:$A$501,($D$2:$D$501&gt;=BC$7)*($D$2:$D$501&lt;BB$7)*($E$2:$E$501&gt;=$H68)*($E$2:$E$501&lt;$H67)," ")))</f>
        <v xml:space="preserve"> </v>
      </c>
    </row>
    <row r="68" spans="1:54" x14ac:dyDescent="0.2">
      <c r="A68" s="3" t="s">
        <v>403</v>
      </c>
      <c r="B68" s="3" t="s">
        <v>401</v>
      </c>
      <c r="C68" s="13">
        <v>11693513.119999999</v>
      </c>
      <c r="D68" s="15">
        <v>239055379.97999999</v>
      </c>
      <c r="E68" s="22">
        <f>TuitionRates3[[#This Row],[Tuition]]/D68</f>
        <v>4.8915498663859018E-2</v>
      </c>
      <c r="F68"/>
      <c r="H68" s="18">
        <v>0.09</v>
      </c>
      <c r="I68" t="str" cm="1">
        <f t="array" ref="I68">_xlfn.TEXTJOIN(",",TRUE,(_xlfn._xlws.FILTER($A$2:$A$501,($D$2:$D$501&gt;=J$7)*($D$2:$D$501&lt;I$7)*($E$2:$E$501&gt;=$H69)*($E$2:$E$501&lt;$H68)," ")))</f>
        <v xml:space="preserve"> </v>
      </c>
      <c r="J68" t="str" cm="1">
        <f t="array" ref="J68">_xlfn.TEXTJOIN(",",TRUE,(_xlfn._xlws.FILTER($A$2:$A$501,($D$2:$D$501&gt;=K$7)*($D$2:$D$501&lt;J$7)*($E$2:$E$501&gt;=$H69)*($E$2:$E$501&lt;$H68)," ")))</f>
        <v xml:space="preserve"> </v>
      </c>
      <c r="K68" t="str" cm="1">
        <f t="array" ref="K68">_xlfn.TEXTJOIN(",",TRUE,(_xlfn._xlws.FILTER($A$2:$A$501,($D$2:$D$501&gt;=L$7)*($D$2:$D$501&lt;K$7)*($E$2:$E$501&gt;=$H69)*($E$2:$E$501&lt;$H68)," ")))</f>
        <v xml:space="preserve"> </v>
      </c>
      <c r="L68" t="str" cm="1">
        <f t="array" ref="L68">_xlfn.TEXTJOIN(",",TRUE,(_xlfn._xlws.FILTER($A$2:$A$501,($D$2:$D$501&gt;=M$7)*($D$2:$D$501&lt;L$7)*($E$2:$E$501&gt;=$H69)*($E$2:$E$501&lt;$H68)," ")))</f>
        <v xml:space="preserve"> </v>
      </c>
      <c r="M68" t="str" cm="1">
        <f t="array" ref="M68">_xlfn.TEXTJOIN(",",TRUE,(_xlfn._xlws.FILTER($A$2:$A$501,($D$2:$D$501&gt;=N$7)*($D$2:$D$501&lt;M$7)*($E$2:$E$501&gt;=$H69)*($E$2:$E$501&lt;$H68)," ")))</f>
        <v xml:space="preserve"> </v>
      </c>
      <c r="N68" t="str" cm="1">
        <f t="array" ref="N68">_xlfn.TEXTJOIN(",",TRUE,(_xlfn._xlws.FILTER($A$2:$A$501,($D$2:$D$501&gt;=O$7)*($D$2:$D$501&lt;N$7)*($E$2:$E$501&gt;=$H69)*($E$2:$E$501&lt;$H68)," ")))</f>
        <v xml:space="preserve"> </v>
      </c>
      <c r="O68" t="str" cm="1">
        <f t="array" ref="O68">_xlfn.TEXTJOIN(",",TRUE,(_xlfn._xlws.FILTER($A$2:$A$501,($D$2:$D$501&gt;=P$7)*($D$2:$D$501&lt;O$7)*($E$2:$E$501&gt;=$H69)*($E$2:$E$501&lt;$H68)," ")))</f>
        <v xml:space="preserve"> </v>
      </c>
      <c r="P68" t="str" cm="1">
        <f t="array" ref="P68">_xlfn.TEXTJOIN(",",TRUE,(_xlfn._xlws.FILTER($A$2:$A$501,($D$2:$D$501&gt;=Q$7)*($D$2:$D$501&lt;P$7)*($E$2:$E$501&gt;=$H69)*($E$2:$E$501&lt;$H68)," ")))</f>
        <v xml:space="preserve"> </v>
      </c>
      <c r="Q68" t="str" cm="1">
        <f t="array" ref="Q68">_xlfn.TEXTJOIN(",",TRUE,(_xlfn._xlws.FILTER($A$2:$A$501,($D$2:$D$501&gt;=R$7)*($D$2:$D$501&lt;Q$7)*($E$2:$E$501&gt;=$H69)*($E$2:$E$501&lt;$H68)," ")))</f>
        <v xml:space="preserve"> </v>
      </c>
      <c r="R68" t="str" cm="1">
        <f t="array" ref="R68">_xlfn.TEXTJOIN(",",TRUE,(_xlfn._xlws.FILTER($A$2:$A$501,($D$2:$D$501&gt;=S$7)*($D$2:$D$501&lt;R$7)*($E$2:$E$501&gt;=$H69)*($E$2:$E$501&lt;$H68)," ")))</f>
        <v xml:space="preserve"> </v>
      </c>
      <c r="S68" t="str" cm="1">
        <f t="array" ref="S68">_xlfn.TEXTJOIN(",",TRUE,(_xlfn._xlws.FILTER($A$2:$A$501,($D$2:$D$501&gt;=T$7)*($D$2:$D$501&lt;S$7)*($E$2:$E$501&gt;=$H69)*($E$2:$E$501&lt;$H68)," ")))</f>
        <v xml:space="preserve"> </v>
      </c>
      <c r="T68" t="str" cm="1">
        <f t="array" ref="T68">_xlfn.TEXTJOIN(",",TRUE,(_xlfn._xlws.FILTER($A$2:$A$501,($D$2:$D$501&gt;=U$7)*($D$2:$D$501&lt;T$7)*($E$2:$E$501&gt;=$H69)*($E$2:$E$501&lt;$H68)," ")))</f>
        <v xml:space="preserve"> </v>
      </c>
      <c r="U68" t="str" cm="1">
        <f t="array" ref="U68">_xlfn.TEXTJOIN(",",TRUE,(_xlfn._xlws.FILTER($A$2:$A$501,($D$2:$D$501&gt;=V$7)*($D$2:$D$501&lt;U$7)*($E$2:$E$501&gt;=$H69)*($E$2:$E$501&lt;$H68)," ")))</f>
        <v xml:space="preserve"> </v>
      </c>
      <c r="V68" t="str" cm="1">
        <f t="array" ref="V68">_xlfn.TEXTJOIN(",",TRUE,(_xlfn._xlws.FILTER($A$2:$A$501,($D$2:$D$501&gt;=W$7)*($D$2:$D$501&lt;V$7)*($E$2:$E$501&gt;=$H69)*($E$2:$E$501&lt;$H68)," ")))</f>
        <v xml:space="preserve"> </v>
      </c>
      <c r="W68" t="str" cm="1">
        <f t="array" ref="W68">_xlfn.TEXTJOIN(",",TRUE,(_xlfn._xlws.FILTER($A$2:$A$501,($D$2:$D$501&gt;=X$7)*($D$2:$D$501&lt;W$7)*($E$2:$E$501&gt;=$H69)*($E$2:$E$501&lt;$H68)," ")))</f>
        <v xml:space="preserve"> </v>
      </c>
      <c r="X68" t="str" cm="1">
        <f t="array" ref="X68">_xlfn.TEXTJOIN(",",TRUE,(_xlfn._xlws.FILTER($A$2:$A$501,($D$2:$D$501&gt;=Y$7)*($D$2:$D$501&lt;X$7)*($E$2:$E$501&gt;=$H69)*($E$2:$E$501&lt;$H68)," ")))</f>
        <v xml:space="preserve"> </v>
      </c>
      <c r="Y68" t="str" cm="1">
        <f t="array" ref="Y68">_xlfn.TEXTJOIN(",",TRUE,(_xlfn._xlws.FILTER($A$2:$A$501,($D$2:$D$501&gt;=Z$7)*($D$2:$D$501&lt;Y$7)*($E$2:$E$501&gt;=$H69)*($E$2:$E$501&lt;$H68)," ")))</f>
        <v xml:space="preserve"> </v>
      </c>
      <c r="Z68" t="str" cm="1">
        <f t="array" ref="Z68">_xlfn.TEXTJOIN(",",TRUE,(_xlfn._xlws.FILTER($A$2:$A$501,($D$2:$D$501&gt;=AA$7)*($D$2:$D$501&lt;Z$7)*($E$2:$E$501&gt;=$H69)*($E$2:$E$501&lt;$H68)," ")))</f>
        <v xml:space="preserve"> </v>
      </c>
      <c r="AA68" t="str" cm="1">
        <f t="array" ref="AA68">_xlfn.TEXTJOIN(",",TRUE,(_xlfn._xlws.FILTER($A$2:$A$501,($D$2:$D$501&gt;=AB$7)*($D$2:$D$501&lt;AA$7)*($E$2:$E$501&gt;=$H69)*($E$2:$E$501&lt;$H68)," ")))</f>
        <v xml:space="preserve"> </v>
      </c>
      <c r="AB68" t="str" cm="1">
        <f t="array" ref="AB68">_xlfn.TEXTJOIN(",",TRUE,(_xlfn._xlws.FILTER($A$2:$A$501,($D$2:$D$501&gt;=AC$7)*($D$2:$D$501&lt;AB$7)*($E$2:$E$501&gt;=$H69)*($E$2:$E$501&lt;$H68)," ")))</f>
        <v xml:space="preserve"> </v>
      </c>
      <c r="AC68" t="str" cm="1">
        <f t="array" ref="AC68">_xlfn.TEXTJOIN(",",TRUE,(_xlfn._xlws.FILTER($A$2:$A$501,($D$2:$D$501&gt;=AD$7)*($D$2:$D$501&lt;AC$7)*($E$2:$E$501&gt;=$H69)*($E$2:$E$501&lt;$H68)," ")))</f>
        <v xml:space="preserve"> </v>
      </c>
      <c r="AD68" t="str" cm="1">
        <f t="array" ref="AD68">_xlfn.TEXTJOIN(",",TRUE,(_xlfn._xlws.FILTER($A$2:$A$501,($D$2:$D$501&gt;=AE$7)*($D$2:$D$501&lt;AD$7)*($E$2:$E$501&gt;=$H69)*($E$2:$E$501&lt;$H68)," ")))</f>
        <v xml:space="preserve"> </v>
      </c>
      <c r="AE68" t="str" cm="1">
        <f t="array" ref="AE68">_xlfn.TEXTJOIN(",",TRUE,(_xlfn._xlws.FILTER($A$2:$A$501,($D$2:$D$501&gt;=AF$7)*($D$2:$D$501&lt;AE$7)*($E$2:$E$501&gt;=$H69)*($E$2:$E$501&lt;$H68)," ")))</f>
        <v xml:space="preserve"> </v>
      </c>
      <c r="AF68" t="str" cm="1">
        <f t="array" ref="AF68">_xlfn.TEXTJOIN(",",TRUE,(_xlfn._xlws.FILTER($A$2:$A$501,($D$2:$D$501&gt;=AG$7)*($D$2:$D$501&lt;AF$7)*($E$2:$E$501&gt;=$H69)*($E$2:$E$501&lt;$H68)," ")))</f>
        <v xml:space="preserve"> </v>
      </c>
      <c r="AG68" t="str" cm="1">
        <f t="array" ref="AG68">_xlfn.TEXTJOIN(",",TRUE,(_xlfn._xlws.FILTER($A$2:$A$501,($D$2:$D$501&gt;=AH$7)*($D$2:$D$501&lt;AG$7)*($E$2:$E$501&gt;=$H69)*($E$2:$E$501&lt;$H68)," ")))</f>
        <v xml:space="preserve"> </v>
      </c>
      <c r="AH68" t="str" cm="1">
        <f t="array" ref="AH68">_xlfn.TEXTJOIN(",",TRUE,(_xlfn._xlws.FILTER($A$2:$A$501,($D$2:$D$501&gt;=AI$7)*($D$2:$D$501&lt;AH$7)*($E$2:$E$501&gt;=$H69)*($E$2:$E$501&lt;$H68)," ")))</f>
        <v xml:space="preserve"> </v>
      </c>
      <c r="AI68" t="str" cm="1">
        <f t="array" ref="AI68">_xlfn.TEXTJOIN(",",TRUE,(_xlfn._xlws.FILTER($A$2:$A$501,($D$2:$D$501&gt;=AJ$7)*($D$2:$D$501&lt;AI$7)*($E$2:$E$501&gt;=$H69)*($E$2:$E$501&lt;$H68)," ")))</f>
        <v xml:space="preserve"> </v>
      </c>
      <c r="AJ68" t="str" cm="1">
        <f t="array" ref="AJ68">_xlfn.TEXTJOIN(",",TRUE,(_xlfn._xlws.FILTER($A$2:$A$501,($D$2:$D$501&gt;=AK$7)*($D$2:$D$501&lt;AJ$7)*($E$2:$E$501&gt;=$H69)*($E$2:$E$501&lt;$H68)," ")))</f>
        <v xml:space="preserve"> </v>
      </c>
      <c r="AK68" t="str" cm="1">
        <f t="array" ref="AK68">_xlfn.TEXTJOIN(",",TRUE,(_xlfn._xlws.FILTER($A$2:$A$501,($D$2:$D$501&gt;=AL$7)*($D$2:$D$501&lt;AK$7)*($E$2:$E$501&gt;=$H69)*($E$2:$E$501&lt;$H68)," ")))</f>
        <v xml:space="preserve"> </v>
      </c>
      <c r="AL68" t="str" cm="1">
        <f t="array" ref="AL68">_xlfn.TEXTJOIN(",",TRUE,(_xlfn._xlws.FILTER($A$2:$A$501,($D$2:$D$501&gt;=AM$7)*($D$2:$D$501&lt;AL$7)*($E$2:$E$501&gt;=$H69)*($E$2:$E$501&lt;$H68)," ")))</f>
        <v xml:space="preserve"> </v>
      </c>
      <c r="AM68" t="str" cm="1">
        <f t="array" ref="AM68">_xlfn.TEXTJOIN(",",TRUE,(_xlfn._xlws.FILTER($A$2:$A$501,($D$2:$D$501&gt;=AN$7)*($D$2:$D$501&lt;AM$7)*($E$2:$E$501&gt;=$H69)*($E$2:$E$501&lt;$H68)," ")))</f>
        <v xml:space="preserve"> </v>
      </c>
      <c r="AN68" t="str" cm="1">
        <f t="array" ref="AN68">_xlfn.TEXTJOIN(",",TRUE,(_xlfn._xlws.FILTER($A$2:$A$501,($D$2:$D$501&gt;=AO$7)*($D$2:$D$501&lt;AN$7)*($E$2:$E$501&gt;=$H69)*($E$2:$E$501&lt;$H68)," ")))</f>
        <v xml:space="preserve"> </v>
      </c>
      <c r="AO68" t="str" cm="1">
        <f t="array" ref="AO68">_xlfn.TEXTJOIN(",",TRUE,(_xlfn._xlws.FILTER($A$2:$A$501,($D$2:$D$501&gt;=AP$7)*($D$2:$D$501&lt;AO$7)*($E$2:$E$501&gt;=$H69)*($E$2:$E$501&lt;$H68)," ")))</f>
        <v xml:space="preserve"> </v>
      </c>
      <c r="AP68" t="str" cm="1">
        <f t="array" ref="AP68">_xlfn.TEXTJOIN(",",TRUE,(_xlfn._xlws.FILTER($A$2:$A$501,($D$2:$D$501&gt;=AQ$7)*($D$2:$D$501&lt;AP$7)*($E$2:$E$501&gt;=$H69)*($E$2:$E$501&lt;$H68)," ")))</f>
        <v xml:space="preserve"> </v>
      </c>
      <c r="AQ68" t="str" cm="1">
        <f t="array" ref="AQ68">_xlfn.TEXTJOIN(",",TRUE,(_xlfn._xlws.FILTER($A$2:$A$501,($D$2:$D$501&gt;=AR$7)*($D$2:$D$501&lt;AQ$7)*($E$2:$E$501&gt;=$H69)*($E$2:$E$501&lt;$H68)," ")))</f>
        <v xml:space="preserve"> </v>
      </c>
      <c r="AR68" t="str" cm="1">
        <f t="array" ref="AR68">_xlfn.TEXTJOIN(",",TRUE,(_xlfn._xlws.FILTER($A$2:$A$501,($D$2:$D$501&gt;=AS$7)*($D$2:$D$501&lt;AR$7)*($E$2:$E$501&gt;=$H69)*($E$2:$E$501&lt;$H68)," ")))</f>
        <v xml:space="preserve"> </v>
      </c>
      <c r="AS68" t="str" cm="1">
        <f t="array" ref="AS68">_xlfn.TEXTJOIN(",",TRUE,(_xlfn._xlws.FILTER($A$2:$A$501,($D$2:$D$501&gt;=AT$7)*($D$2:$D$501&lt;AS$7)*($E$2:$E$501&gt;=$H69)*($E$2:$E$501&lt;$H68)," ")))</f>
        <v xml:space="preserve"> </v>
      </c>
      <c r="AT68" t="str" cm="1">
        <f t="array" ref="AT68">_xlfn.TEXTJOIN(",",TRUE,(_xlfn._xlws.FILTER($A$2:$A$501,($D$2:$D$501&gt;=AU$7)*($D$2:$D$501&lt;AT$7)*($E$2:$E$501&gt;=$H69)*($E$2:$E$501&lt;$H68)," ")))</f>
        <v xml:space="preserve"> </v>
      </c>
      <c r="AU68" t="str" cm="1">
        <f t="array" ref="AU68">_xlfn.TEXTJOIN(",",TRUE,(_xlfn._xlws.FILTER($A$2:$A$501,($D$2:$D$501&gt;=AV$7)*($D$2:$D$501&lt;AU$7)*($E$2:$E$501&gt;=$H69)*($E$2:$E$501&lt;$H68)," ")))</f>
        <v xml:space="preserve"> </v>
      </c>
      <c r="AV68" t="str" cm="1">
        <f t="array" ref="AV68">_xlfn.TEXTJOIN(",",TRUE,(_xlfn._xlws.FILTER($A$2:$A$501,($D$2:$D$501&gt;=AW$7)*($D$2:$D$501&lt;AV$7)*($E$2:$E$501&gt;=$H69)*($E$2:$E$501&lt;$H68)," ")))</f>
        <v xml:space="preserve"> </v>
      </c>
      <c r="AW68" t="str" cm="1">
        <f t="array" ref="AW68">_xlfn.TEXTJOIN(",",TRUE,(_xlfn._xlws.FILTER($A$2:$A$501,($D$2:$D$501&gt;=AX$7)*($D$2:$D$501&lt;AW$7)*($E$2:$E$501&gt;=$H69)*($E$2:$E$501&lt;$H68)," ")))</f>
        <v xml:space="preserve"> </v>
      </c>
      <c r="AX68" t="str" cm="1">
        <f t="array" ref="AX68">_xlfn.TEXTJOIN(",",TRUE,(_xlfn._xlws.FILTER($A$2:$A$501,($D$2:$D$501&gt;=AY$7)*($D$2:$D$501&lt;AX$7)*($E$2:$E$501&gt;=$H69)*($E$2:$E$501&lt;$H68)," ")))</f>
        <v xml:space="preserve"> </v>
      </c>
      <c r="AY68" t="str" cm="1">
        <f t="array" ref="AY68">_xlfn.TEXTJOIN(",",TRUE,(_xlfn._xlws.FILTER($A$2:$A$501,($D$2:$D$501&gt;=AZ$7)*($D$2:$D$501&lt;AY$7)*($E$2:$E$501&gt;=$H69)*($E$2:$E$501&lt;$H68)," ")))</f>
        <v xml:space="preserve"> </v>
      </c>
      <c r="AZ68" t="str" cm="1">
        <f t="array" ref="AZ68">_xlfn.TEXTJOIN(",",TRUE,(_xlfn._xlws.FILTER($A$2:$A$501,($D$2:$D$501&gt;=BA$7)*($D$2:$D$501&lt;AZ$7)*($E$2:$E$501&gt;=$H69)*($E$2:$E$501&lt;$H68)," ")))</f>
        <v xml:space="preserve"> </v>
      </c>
      <c r="BA68" t="str" cm="1">
        <f t="array" ref="BA68">_xlfn.TEXTJOIN(",",TRUE,(_xlfn._xlws.FILTER($A$2:$A$501,($D$2:$D$501&gt;=BB$7)*($D$2:$D$501&lt;BA$7)*($E$2:$E$501&gt;=$H69)*($E$2:$E$501&lt;$H68)," ")))</f>
        <v xml:space="preserve"> </v>
      </c>
      <c r="BB68" t="str" cm="1">
        <f t="array" ref="BB68">_xlfn.TEXTJOIN(",",TRUE,(_xlfn._xlws.FILTER($A$2:$A$501,($D$2:$D$501&gt;=BC$7)*($D$2:$D$501&lt;BB$7)*($E$2:$E$501&gt;=$H69)*($E$2:$E$501&lt;$H68)," ")))</f>
        <v xml:space="preserve"> </v>
      </c>
    </row>
    <row r="69" spans="1:54" x14ac:dyDescent="0.2">
      <c r="A69" s="3" t="s">
        <v>52</v>
      </c>
      <c r="B69" s="3" t="s">
        <v>11</v>
      </c>
      <c r="C69" s="13">
        <v>1905170</v>
      </c>
      <c r="D69" s="15">
        <v>39173806.530000001</v>
      </c>
      <c r="E69" s="22">
        <f>TuitionRates3[[#This Row],[Tuition]]/D69</f>
        <v>4.8633772634298043E-2</v>
      </c>
      <c r="F69"/>
      <c r="H69" s="18">
        <v>8.8999999999999899E-2</v>
      </c>
      <c r="I69" t="str" cm="1">
        <f t="array" ref="I69">_xlfn.TEXTJOIN(",",TRUE,(_xlfn._xlws.FILTER($A$2:$A$501,($D$2:$D$501&gt;=J$7)*($D$2:$D$501&lt;I$7)*($E$2:$E$501&gt;=$H70)*($E$2:$E$501&lt;$H69)," ")))</f>
        <v xml:space="preserve"> </v>
      </c>
      <c r="J69" t="str" cm="1">
        <f t="array" ref="J69">_xlfn.TEXTJOIN(",",TRUE,(_xlfn._xlws.FILTER($A$2:$A$501,($D$2:$D$501&gt;=K$7)*($D$2:$D$501&lt;J$7)*($E$2:$E$501&gt;=$H70)*($E$2:$E$501&lt;$H69)," ")))</f>
        <v xml:space="preserve"> </v>
      </c>
      <c r="K69" t="str" cm="1">
        <f t="array" ref="K69">_xlfn.TEXTJOIN(",",TRUE,(_xlfn._xlws.FILTER($A$2:$A$501,($D$2:$D$501&gt;=L$7)*($D$2:$D$501&lt;K$7)*($E$2:$E$501&gt;=$H70)*($E$2:$E$501&lt;$H69)," ")))</f>
        <v xml:space="preserve"> </v>
      </c>
      <c r="L69" t="str" cm="1">
        <f t="array" ref="L69">_xlfn.TEXTJOIN(",",TRUE,(_xlfn._xlws.FILTER($A$2:$A$501,($D$2:$D$501&gt;=M$7)*($D$2:$D$501&lt;L$7)*($E$2:$E$501&gt;=$H70)*($E$2:$E$501&lt;$H69)," ")))</f>
        <v xml:space="preserve"> </v>
      </c>
      <c r="M69" t="str" cm="1">
        <f t="array" ref="M69">_xlfn.TEXTJOIN(",",TRUE,(_xlfn._xlws.FILTER($A$2:$A$501,($D$2:$D$501&gt;=N$7)*($D$2:$D$501&lt;M$7)*($E$2:$E$501&gt;=$H70)*($E$2:$E$501&lt;$H69)," ")))</f>
        <v xml:space="preserve"> </v>
      </c>
      <c r="N69" t="str" cm="1">
        <f t="array" ref="N69">_xlfn.TEXTJOIN(",",TRUE,(_xlfn._xlws.FILTER($A$2:$A$501,($D$2:$D$501&gt;=O$7)*($D$2:$D$501&lt;N$7)*($E$2:$E$501&gt;=$H70)*($E$2:$E$501&lt;$H69)," ")))</f>
        <v xml:space="preserve"> </v>
      </c>
      <c r="O69" t="str" cm="1">
        <f t="array" ref="O69">_xlfn.TEXTJOIN(",",TRUE,(_xlfn._xlws.FILTER($A$2:$A$501,($D$2:$D$501&gt;=P$7)*($D$2:$D$501&lt;O$7)*($E$2:$E$501&gt;=$H70)*($E$2:$E$501&lt;$H69)," ")))</f>
        <v xml:space="preserve"> </v>
      </c>
      <c r="P69" t="str" cm="1">
        <f t="array" ref="P69">_xlfn.TEXTJOIN(",",TRUE,(_xlfn._xlws.FILTER($A$2:$A$501,($D$2:$D$501&gt;=Q$7)*($D$2:$D$501&lt;P$7)*($E$2:$E$501&gt;=$H70)*($E$2:$E$501&lt;$H69)," ")))</f>
        <v xml:space="preserve"> </v>
      </c>
      <c r="Q69" t="str" cm="1">
        <f t="array" ref="Q69">_xlfn.TEXTJOIN(",",TRUE,(_xlfn._xlws.FILTER($A$2:$A$501,($D$2:$D$501&gt;=R$7)*($D$2:$D$501&lt;Q$7)*($E$2:$E$501&gt;=$H70)*($E$2:$E$501&lt;$H69)," ")))</f>
        <v xml:space="preserve"> </v>
      </c>
      <c r="R69" t="str" cm="1">
        <f t="array" ref="R69">_xlfn.TEXTJOIN(",",TRUE,(_xlfn._xlws.FILTER($A$2:$A$501,($D$2:$D$501&gt;=S$7)*($D$2:$D$501&lt;R$7)*($E$2:$E$501&gt;=$H70)*($E$2:$E$501&lt;$H69)," ")))</f>
        <v xml:space="preserve"> </v>
      </c>
      <c r="S69" t="str" cm="1">
        <f t="array" ref="S69">_xlfn.TEXTJOIN(",",TRUE,(_xlfn._xlws.FILTER($A$2:$A$501,($D$2:$D$501&gt;=T$7)*($D$2:$D$501&lt;S$7)*($E$2:$E$501&gt;=$H70)*($E$2:$E$501&lt;$H69)," ")))</f>
        <v xml:space="preserve"> </v>
      </c>
      <c r="T69" t="str" cm="1">
        <f t="array" ref="T69">_xlfn.TEXTJOIN(",",TRUE,(_xlfn._xlws.FILTER($A$2:$A$501,($D$2:$D$501&gt;=U$7)*($D$2:$D$501&lt;T$7)*($E$2:$E$501&gt;=$H70)*($E$2:$E$501&lt;$H69)," ")))</f>
        <v xml:space="preserve"> </v>
      </c>
      <c r="U69" t="str" cm="1">
        <f t="array" ref="U69">_xlfn.TEXTJOIN(",",TRUE,(_xlfn._xlws.FILTER($A$2:$A$501,($D$2:$D$501&gt;=V$7)*($D$2:$D$501&lt;U$7)*($E$2:$E$501&gt;=$H70)*($E$2:$E$501&lt;$H69)," ")))</f>
        <v xml:space="preserve"> </v>
      </c>
      <c r="V69" t="str" cm="1">
        <f t="array" ref="V69">_xlfn.TEXTJOIN(",",TRUE,(_xlfn._xlws.FILTER($A$2:$A$501,($D$2:$D$501&gt;=W$7)*($D$2:$D$501&lt;V$7)*($E$2:$E$501&gt;=$H70)*($E$2:$E$501&lt;$H69)," ")))</f>
        <v xml:space="preserve"> </v>
      </c>
      <c r="W69" t="str" cm="1">
        <f t="array" ref="W69">_xlfn.TEXTJOIN(",",TRUE,(_xlfn._xlws.FILTER($A$2:$A$501,($D$2:$D$501&gt;=X$7)*($D$2:$D$501&lt;W$7)*($E$2:$E$501&gt;=$H70)*($E$2:$E$501&lt;$H69)," ")))</f>
        <v xml:space="preserve"> </v>
      </c>
      <c r="X69" t="str" cm="1">
        <f t="array" ref="X69">_xlfn.TEXTJOIN(",",TRUE,(_xlfn._xlws.FILTER($A$2:$A$501,($D$2:$D$501&gt;=Y$7)*($D$2:$D$501&lt;X$7)*($E$2:$E$501&gt;=$H70)*($E$2:$E$501&lt;$H69)," ")))</f>
        <v xml:space="preserve"> </v>
      </c>
      <c r="Y69" t="str" cm="1">
        <f t="array" ref="Y69">_xlfn.TEXTJOIN(",",TRUE,(_xlfn._xlws.FILTER($A$2:$A$501,($D$2:$D$501&gt;=Z$7)*($D$2:$D$501&lt;Y$7)*($E$2:$E$501&gt;=$H70)*($E$2:$E$501&lt;$H69)," ")))</f>
        <v xml:space="preserve"> </v>
      </c>
      <c r="Z69" t="str" cm="1">
        <f t="array" ref="Z69">_xlfn.TEXTJOIN(",",TRUE,(_xlfn._xlws.FILTER($A$2:$A$501,($D$2:$D$501&gt;=AA$7)*($D$2:$D$501&lt;Z$7)*($E$2:$E$501&gt;=$H70)*($E$2:$E$501&lt;$H69)," ")))</f>
        <v xml:space="preserve"> </v>
      </c>
      <c r="AA69" t="str" cm="1">
        <f t="array" ref="AA69">_xlfn.TEXTJOIN(",",TRUE,(_xlfn._xlws.FILTER($A$2:$A$501,($D$2:$D$501&gt;=AB$7)*($D$2:$D$501&lt;AA$7)*($E$2:$E$501&gt;=$H70)*($E$2:$E$501&lt;$H69)," ")))</f>
        <v xml:space="preserve"> </v>
      </c>
      <c r="AB69" t="str" cm="1">
        <f t="array" ref="AB69">_xlfn.TEXTJOIN(",",TRUE,(_xlfn._xlws.FILTER($A$2:$A$501,($D$2:$D$501&gt;=AC$7)*($D$2:$D$501&lt;AB$7)*($E$2:$E$501&gt;=$H70)*($E$2:$E$501&lt;$H69)," ")))</f>
        <v xml:space="preserve"> </v>
      </c>
      <c r="AC69" t="str" cm="1">
        <f t="array" ref="AC69">_xlfn.TEXTJOIN(",",TRUE,(_xlfn._xlws.FILTER($A$2:$A$501,($D$2:$D$501&gt;=AD$7)*($D$2:$D$501&lt;AC$7)*($E$2:$E$501&gt;=$H70)*($E$2:$E$501&lt;$H69)," ")))</f>
        <v xml:space="preserve"> </v>
      </c>
      <c r="AD69" t="str" cm="1">
        <f t="array" ref="AD69">_xlfn.TEXTJOIN(",",TRUE,(_xlfn._xlws.FILTER($A$2:$A$501,($D$2:$D$501&gt;=AE$7)*($D$2:$D$501&lt;AD$7)*($E$2:$E$501&gt;=$H70)*($E$2:$E$501&lt;$H69)," ")))</f>
        <v xml:space="preserve"> </v>
      </c>
      <c r="AE69" t="str" cm="1">
        <f t="array" ref="AE69">_xlfn.TEXTJOIN(",",TRUE,(_xlfn._xlws.FILTER($A$2:$A$501,($D$2:$D$501&gt;=AF$7)*($D$2:$D$501&lt;AE$7)*($E$2:$E$501&gt;=$H70)*($E$2:$E$501&lt;$H69)," ")))</f>
        <v xml:space="preserve"> </v>
      </c>
      <c r="AF69" t="str" cm="1">
        <f t="array" ref="AF69">_xlfn.TEXTJOIN(",",TRUE,(_xlfn._xlws.FILTER($A$2:$A$501,($D$2:$D$501&gt;=AG$7)*($D$2:$D$501&lt;AF$7)*($E$2:$E$501&gt;=$H70)*($E$2:$E$501&lt;$H69)," ")))</f>
        <v xml:space="preserve"> </v>
      </c>
      <c r="AG69" t="str" cm="1">
        <f t="array" ref="AG69">_xlfn.TEXTJOIN(",",TRUE,(_xlfn._xlws.FILTER($A$2:$A$501,($D$2:$D$501&gt;=AH$7)*($D$2:$D$501&lt;AG$7)*($E$2:$E$501&gt;=$H70)*($E$2:$E$501&lt;$H69)," ")))</f>
        <v xml:space="preserve"> </v>
      </c>
      <c r="AH69" t="str" cm="1">
        <f t="array" ref="AH69">_xlfn.TEXTJOIN(",",TRUE,(_xlfn._xlws.FILTER($A$2:$A$501,($D$2:$D$501&gt;=AI$7)*($D$2:$D$501&lt;AH$7)*($E$2:$E$501&gt;=$H70)*($E$2:$E$501&lt;$H69)," ")))</f>
        <v xml:space="preserve"> </v>
      </c>
      <c r="AI69" t="str" cm="1">
        <f t="array" ref="AI69">_xlfn.TEXTJOIN(",",TRUE,(_xlfn._xlws.FILTER($A$2:$A$501,($D$2:$D$501&gt;=AJ$7)*($D$2:$D$501&lt;AI$7)*($E$2:$E$501&gt;=$H70)*($E$2:$E$501&lt;$H69)," ")))</f>
        <v xml:space="preserve"> </v>
      </c>
      <c r="AJ69" t="str" cm="1">
        <f t="array" ref="AJ69">_xlfn.TEXTJOIN(",",TRUE,(_xlfn._xlws.FILTER($A$2:$A$501,($D$2:$D$501&gt;=AK$7)*($D$2:$D$501&lt;AJ$7)*($E$2:$E$501&gt;=$H70)*($E$2:$E$501&lt;$H69)," ")))</f>
        <v xml:space="preserve"> </v>
      </c>
      <c r="AK69" t="str" cm="1">
        <f t="array" ref="AK69">_xlfn.TEXTJOIN(",",TRUE,(_xlfn._xlws.FILTER($A$2:$A$501,($D$2:$D$501&gt;=AL$7)*($D$2:$D$501&lt;AK$7)*($E$2:$E$501&gt;=$H70)*($E$2:$E$501&lt;$H69)," ")))</f>
        <v xml:space="preserve"> </v>
      </c>
      <c r="AL69" t="str" cm="1">
        <f t="array" ref="AL69">_xlfn.TEXTJOIN(",",TRUE,(_xlfn._xlws.FILTER($A$2:$A$501,($D$2:$D$501&gt;=AM$7)*($D$2:$D$501&lt;AL$7)*($E$2:$E$501&gt;=$H70)*($E$2:$E$501&lt;$H69)," ")))</f>
        <v xml:space="preserve"> </v>
      </c>
      <c r="AM69" t="str" cm="1">
        <f t="array" ref="AM69">_xlfn.TEXTJOIN(",",TRUE,(_xlfn._xlws.FILTER($A$2:$A$501,($D$2:$D$501&gt;=AN$7)*($D$2:$D$501&lt;AM$7)*($E$2:$E$501&gt;=$H70)*($E$2:$E$501&lt;$H69)," ")))</f>
        <v xml:space="preserve"> </v>
      </c>
      <c r="AN69" t="str" cm="1">
        <f t="array" ref="AN69">_xlfn.TEXTJOIN(",",TRUE,(_xlfn._xlws.FILTER($A$2:$A$501,($D$2:$D$501&gt;=AO$7)*($D$2:$D$501&lt;AN$7)*($E$2:$E$501&gt;=$H70)*($E$2:$E$501&lt;$H69)," ")))</f>
        <v xml:space="preserve"> </v>
      </c>
      <c r="AO69" t="str" cm="1">
        <f t="array" ref="AO69">_xlfn.TEXTJOIN(",",TRUE,(_xlfn._xlws.FILTER($A$2:$A$501,($D$2:$D$501&gt;=AP$7)*($D$2:$D$501&lt;AO$7)*($E$2:$E$501&gt;=$H70)*($E$2:$E$501&lt;$H69)," ")))</f>
        <v xml:space="preserve"> </v>
      </c>
      <c r="AP69" t="str" cm="1">
        <f t="array" ref="AP69">_xlfn.TEXTJOIN(",",TRUE,(_xlfn._xlws.FILTER($A$2:$A$501,($D$2:$D$501&gt;=AQ$7)*($D$2:$D$501&lt;AP$7)*($E$2:$E$501&gt;=$H70)*($E$2:$E$501&lt;$H69)," ")))</f>
        <v xml:space="preserve"> </v>
      </c>
      <c r="AQ69" t="str" cm="1">
        <f t="array" ref="AQ69">_xlfn.TEXTJOIN(",",TRUE,(_xlfn._xlws.FILTER($A$2:$A$501,($D$2:$D$501&gt;=AR$7)*($D$2:$D$501&lt;AQ$7)*($E$2:$E$501&gt;=$H70)*($E$2:$E$501&lt;$H69)," ")))</f>
        <v xml:space="preserve"> </v>
      </c>
      <c r="AR69" t="str" cm="1">
        <f t="array" ref="AR69">_xlfn.TEXTJOIN(",",TRUE,(_xlfn._xlws.FILTER($A$2:$A$501,($D$2:$D$501&gt;=AS$7)*($D$2:$D$501&lt;AR$7)*($E$2:$E$501&gt;=$H70)*($E$2:$E$501&lt;$H69)," ")))</f>
        <v xml:space="preserve"> </v>
      </c>
      <c r="AS69" t="str" cm="1">
        <f t="array" ref="AS69">_xlfn.TEXTJOIN(",",TRUE,(_xlfn._xlws.FILTER($A$2:$A$501,($D$2:$D$501&gt;=AT$7)*($D$2:$D$501&lt;AS$7)*($E$2:$E$501&gt;=$H70)*($E$2:$E$501&lt;$H69)," ")))</f>
        <v xml:space="preserve"> </v>
      </c>
      <c r="AT69" t="str" cm="1">
        <f t="array" ref="AT69">_xlfn.TEXTJOIN(",",TRUE,(_xlfn._xlws.FILTER($A$2:$A$501,($D$2:$D$501&gt;=AU$7)*($D$2:$D$501&lt;AT$7)*($E$2:$E$501&gt;=$H70)*($E$2:$E$501&lt;$H69)," ")))</f>
        <v xml:space="preserve"> </v>
      </c>
      <c r="AU69" t="str" cm="1">
        <f t="array" ref="AU69">_xlfn.TEXTJOIN(",",TRUE,(_xlfn._xlws.FILTER($A$2:$A$501,($D$2:$D$501&gt;=AV$7)*($D$2:$D$501&lt;AU$7)*($E$2:$E$501&gt;=$H70)*($E$2:$E$501&lt;$H69)," ")))</f>
        <v xml:space="preserve"> </v>
      </c>
      <c r="AV69" t="str" cm="1">
        <f t="array" ref="AV69">_xlfn.TEXTJOIN(",",TRUE,(_xlfn._xlws.FILTER($A$2:$A$501,($D$2:$D$501&gt;=AW$7)*($D$2:$D$501&lt;AV$7)*($E$2:$E$501&gt;=$H70)*($E$2:$E$501&lt;$H69)," ")))</f>
        <v xml:space="preserve"> </v>
      </c>
      <c r="AW69" t="str" cm="1">
        <f t="array" ref="AW69">_xlfn.TEXTJOIN(",",TRUE,(_xlfn._xlws.FILTER($A$2:$A$501,($D$2:$D$501&gt;=AX$7)*($D$2:$D$501&lt;AW$7)*($E$2:$E$501&gt;=$H70)*($E$2:$E$501&lt;$H69)," ")))</f>
        <v xml:space="preserve"> </v>
      </c>
      <c r="AX69" t="str" cm="1">
        <f t="array" ref="AX69">_xlfn.TEXTJOIN(",",TRUE,(_xlfn._xlws.FILTER($A$2:$A$501,($D$2:$D$501&gt;=AY$7)*($D$2:$D$501&lt;AX$7)*($E$2:$E$501&gt;=$H70)*($E$2:$E$501&lt;$H69)," ")))</f>
        <v xml:space="preserve"> </v>
      </c>
      <c r="AY69" t="str" cm="1">
        <f t="array" ref="AY69">_xlfn.TEXTJOIN(",",TRUE,(_xlfn._xlws.FILTER($A$2:$A$501,($D$2:$D$501&gt;=AZ$7)*($D$2:$D$501&lt;AY$7)*($E$2:$E$501&gt;=$H70)*($E$2:$E$501&lt;$H69)," ")))</f>
        <v xml:space="preserve"> </v>
      </c>
      <c r="AZ69" t="str" cm="1">
        <f t="array" ref="AZ69">_xlfn.TEXTJOIN(",",TRUE,(_xlfn._xlws.FILTER($A$2:$A$501,($D$2:$D$501&gt;=BA$7)*($D$2:$D$501&lt;AZ$7)*($E$2:$E$501&gt;=$H70)*($E$2:$E$501&lt;$H69)," ")))</f>
        <v xml:space="preserve"> </v>
      </c>
      <c r="BA69" t="str" cm="1">
        <f t="array" ref="BA69">_xlfn.TEXTJOIN(",",TRUE,(_xlfn._xlws.FILTER($A$2:$A$501,($D$2:$D$501&gt;=BB$7)*($D$2:$D$501&lt;BA$7)*($E$2:$E$501&gt;=$H70)*($E$2:$E$501&lt;$H69)," ")))</f>
        <v xml:space="preserve"> </v>
      </c>
      <c r="BB69" t="str" cm="1">
        <f t="array" ref="BB69">_xlfn.TEXTJOIN(",",TRUE,(_xlfn._xlws.FILTER($A$2:$A$501,($D$2:$D$501&gt;=BC$7)*($D$2:$D$501&lt;BB$7)*($E$2:$E$501&gt;=$H70)*($E$2:$E$501&lt;$H69)," ")))</f>
        <v xml:space="preserve"> </v>
      </c>
    </row>
    <row r="70" spans="1:54" x14ac:dyDescent="0.2">
      <c r="A70" s="3" t="s">
        <v>157</v>
      </c>
      <c r="B70" s="3" t="s">
        <v>153</v>
      </c>
      <c r="C70" s="13">
        <v>762738.22</v>
      </c>
      <c r="D70" s="15">
        <v>15690479.609999999</v>
      </c>
      <c r="E70" s="22">
        <f>TuitionRates3[[#This Row],[Tuition]]/D70</f>
        <v>4.8611529982415878E-2</v>
      </c>
      <c r="F70"/>
      <c r="H70" s="18">
        <v>8.7999999999999898E-2</v>
      </c>
      <c r="I70" t="str" cm="1">
        <f t="array" ref="I70">_xlfn.TEXTJOIN(",",TRUE,(_xlfn._xlws.FILTER($A$2:$A$501,($D$2:$D$501&gt;=J$7)*($D$2:$D$501&lt;I$7)*($E$2:$E$501&gt;=$H71)*($E$2:$E$501&lt;$H70)," ")))</f>
        <v xml:space="preserve"> </v>
      </c>
      <c r="J70" t="str" cm="1">
        <f t="array" ref="J70">_xlfn.TEXTJOIN(",",TRUE,(_xlfn._xlws.FILTER($A$2:$A$501,($D$2:$D$501&gt;=K$7)*($D$2:$D$501&lt;J$7)*($E$2:$E$501&gt;=$H71)*($E$2:$E$501&lt;$H70)," ")))</f>
        <v xml:space="preserve"> </v>
      </c>
      <c r="K70" t="str" cm="1">
        <f t="array" ref="K70">_xlfn.TEXTJOIN(",",TRUE,(_xlfn._xlws.FILTER($A$2:$A$501,($D$2:$D$501&gt;=L$7)*($D$2:$D$501&lt;K$7)*($E$2:$E$501&gt;=$H71)*($E$2:$E$501&lt;$H70)," ")))</f>
        <v xml:space="preserve"> </v>
      </c>
      <c r="L70" t="str" cm="1">
        <f t="array" ref="L70">_xlfn.TEXTJOIN(",",TRUE,(_xlfn._xlws.FILTER($A$2:$A$501,($D$2:$D$501&gt;=M$7)*($D$2:$D$501&lt;L$7)*($E$2:$E$501&gt;=$H71)*($E$2:$E$501&lt;$H70)," ")))</f>
        <v xml:space="preserve"> </v>
      </c>
      <c r="M70" t="str" cm="1">
        <f t="array" ref="M70">_xlfn.TEXTJOIN(",",TRUE,(_xlfn._xlws.FILTER($A$2:$A$501,($D$2:$D$501&gt;=N$7)*($D$2:$D$501&lt;M$7)*($E$2:$E$501&gt;=$H71)*($E$2:$E$501&lt;$H70)," ")))</f>
        <v xml:space="preserve"> </v>
      </c>
      <c r="N70" t="str" cm="1">
        <f t="array" ref="N70">_xlfn.TEXTJOIN(",",TRUE,(_xlfn._xlws.FILTER($A$2:$A$501,($D$2:$D$501&gt;=O$7)*($D$2:$D$501&lt;N$7)*($E$2:$E$501&gt;=$H71)*($E$2:$E$501&lt;$H70)," ")))</f>
        <v xml:space="preserve"> </v>
      </c>
      <c r="O70" t="str" cm="1">
        <f t="array" ref="O70">_xlfn.TEXTJOIN(",",TRUE,(_xlfn._xlws.FILTER($A$2:$A$501,($D$2:$D$501&gt;=P$7)*($D$2:$D$501&lt;O$7)*($E$2:$E$501&gt;=$H71)*($E$2:$E$501&lt;$H70)," ")))</f>
        <v xml:space="preserve"> </v>
      </c>
      <c r="P70" t="str" cm="1">
        <f t="array" ref="P70">_xlfn.TEXTJOIN(",",TRUE,(_xlfn._xlws.FILTER($A$2:$A$501,($D$2:$D$501&gt;=Q$7)*($D$2:$D$501&lt;P$7)*($E$2:$E$501&gt;=$H71)*($E$2:$E$501&lt;$H70)," ")))</f>
        <v xml:space="preserve"> </v>
      </c>
      <c r="Q70" t="str" cm="1">
        <f t="array" ref="Q70">_xlfn.TEXTJOIN(",",TRUE,(_xlfn._xlws.FILTER($A$2:$A$501,($D$2:$D$501&gt;=R$7)*($D$2:$D$501&lt;Q$7)*($E$2:$E$501&gt;=$H71)*($E$2:$E$501&lt;$H70)," ")))</f>
        <v xml:space="preserve"> </v>
      </c>
      <c r="R70" t="str" cm="1">
        <f t="array" ref="R70">_xlfn.TEXTJOIN(",",TRUE,(_xlfn._xlws.FILTER($A$2:$A$501,($D$2:$D$501&gt;=S$7)*($D$2:$D$501&lt;R$7)*($E$2:$E$501&gt;=$H71)*($E$2:$E$501&lt;$H70)," ")))</f>
        <v xml:space="preserve"> </v>
      </c>
      <c r="S70" t="str" cm="1">
        <f t="array" ref="S70">_xlfn.TEXTJOIN(",",TRUE,(_xlfn._xlws.FILTER($A$2:$A$501,($D$2:$D$501&gt;=T$7)*($D$2:$D$501&lt;S$7)*($E$2:$E$501&gt;=$H71)*($E$2:$E$501&lt;$H70)," ")))</f>
        <v xml:space="preserve"> </v>
      </c>
      <c r="T70" t="str" cm="1">
        <f t="array" ref="T70">_xlfn.TEXTJOIN(",",TRUE,(_xlfn._xlws.FILTER($A$2:$A$501,($D$2:$D$501&gt;=U$7)*($D$2:$D$501&lt;T$7)*($E$2:$E$501&gt;=$H71)*($E$2:$E$501&lt;$H70)," ")))</f>
        <v xml:space="preserve"> </v>
      </c>
      <c r="U70" t="str" cm="1">
        <f t="array" ref="U70">_xlfn.TEXTJOIN(",",TRUE,(_xlfn._xlws.FILTER($A$2:$A$501,($D$2:$D$501&gt;=V$7)*($D$2:$D$501&lt;U$7)*($E$2:$E$501&gt;=$H71)*($E$2:$E$501&lt;$H70)," ")))</f>
        <v xml:space="preserve"> </v>
      </c>
      <c r="V70" t="str" cm="1">
        <f t="array" ref="V70">_xlfn.TEXTJOIN(",",TRUE,(_xlfn._xlws.FILTER($A$2:$A$501,($D$2:$D$501&gt;=W$7)*($D$2:$D$501&lt;V$7)*($E$2:$E$501&gt;=$H71)*($E$2:$E$501&lt;$H70)," ")))</f>
        <v xml:space="preserve"> </v>
      </c>
      <c r="W70" t="str" cm="1">
        <f t="array" ref="W70">_xlfn.TEXTJOIN(",",TRUE,(_xlfn._xlws.FILTER($A$2:$A$501,($D$2:$D$501&gt;=X$7)*($D$2:$D$501&lt;W$7)*($E$2:$E$501&gt;=$H71)*($E$2:$E$501&lt;$H70)," ")))</f>
        <v xml:space="preserve"> </v>
      </c>
      <c r="X70" t="str" cm="1">
        <f t="array" ref="X70">_xlfn.TEXTJOIN(",",TRUE,(_xlfn._xlws.FILTER($A$2:$A$501,($D$2:$D$501&gt;=Y$7)*($D$2:$D$501&lt;X$7)*($E$2:$E$501&gt;=$H71)*($E$2:$E$501&lt;$H70)," ")))</f>
        <v xml:space="preserve"> </v>
      </c>
      <c r="Y70" t="str" cm="1">
        <f t="array" ref="Y70">_xlfn.TEXTJOIN(",",TRUE,(_xlfn._xlws.FILTER($A$2:$A$501,($D$2:$D$501&gt;=Z$7)*($D$2:$D$501&lt;Y$7)*($E$2:$E$501&gt;=$H71)*($E$2:$E$501&lt;$H70)," ")))</f>
        <v xml:space="preserve"> </v>
      </c>
      <c r="Z70" t="str" cm="1">
        <f t="array" ref="Z70">_xlfn.TEXTJOIN(",",TRUE,(_xlfn._xlws.FILTER($A$2:$A$501,($D$2:$D$501&gt;=AA$7)*($D$2:$D$501&lt;Z$7)*($E$2:$E$501&gt;=$H71)*($E$2:$E$501&lt;$H70)," ")))</f>
        <v xml:space="preserve"> </v>
      </c>
      <c r="AA70" t="str" cm="1">
        <f t="array" ref="AA70">_xlfn.TEXTJOIN(",",TRUE,(_xlfn._xlws.FILTER($A$2:$A$501,($D$2:$D$501&gt;=AB$7)*($D$2:$D$501&lt;AA$7)*($E$2:$E$501&gt;=$H71)*($E$2:$E$501&lt;$H70)," ")))</f>
        <v xml:space="preserve"> </v>
      </c>
      <c r="AB70" t="str" cm="1">
        <f t="array" ref="AB70">_xlfn.TEXTJOIN(",",TRUE,(_xlfn._xlws.FILTER($A$2:$A$501,($D$2:$D$501&gt;=AC$7)*($D$2:$D$501&lt;AB$7)*($E$2:$E$501&gt;=$H71)*($E$2:$E$501&lt;$H70)," ")))</f>
        <v xml:space="preserve"> </v>
      </c>
      <c r="AC70" t="str" cm="1">
        <f t="array" ref="AC70">_xlfn.TEXTJOIN(",",TRUE,(_xlfn._xlws.FILTER($A$2:$A$501,($D$2:$D$501&gt;=AD$7)*($D$2:$D$501&lt;AC$7)*($E$2:$E$501&gt;=$H71)*($E$2:$E$501&lt;$H70)," ")))</f>
        <v xml:space="preserve"> </v>
      </c>
      <c r="AD70" t="str" cm="1">
        <f t="array" ref="AD70">_xlfn.TEXTJOIN(",",TRUE,(_xlfn._xlws.FILTER($A$2:$A$501,($D$2:$D$501&gt;=AE$7)*($D$2:$D$501&lt;AD$7)*($E$2:$E$501&gt;=$H71)*($E$2:$E$501&lt;$H70)," ")))</f>
        <v xml:space="preserve"> </v>
      </c>
      <c r="AE70" t="str" cm="1">
        <f t="array" ref="AE70">_xlfn.TEXTJOIN(",",TRUE,(_xlfn._xlws.FILTER($A$2:$A$501,($D$2:$D$501&gt;=AF$7)*($D$2:$D$501&lt;AE$7)*($E$2:$E$501&gt;=$H71)*($E$2:$E$501&lt;$H70)," ")))</f>
        <v xml:space="preserve"> </v>
      </c>
      <c r="AF70" t="str" cm="1">
        <f t="array" ref="AF70">_xlfn.TEXTJOIN(",",TRUE,(_xlfn._xlws.FILTER($A$2:$A$501,($D$2:$D$501&gt;=AG$7)*($D$2:$D$501&lt;AF$7)*($E$2:$E$501&gt;=$H71)*($E$2:$E$501&lt;$H70)," ")))</f>
        <v xml:space="preserve"> </v>
      </c>
      <c r="AG70" t="str" cm="1">
        <f t="array" ref="AG70">_xlfn.TEXTJOIN(",",TRUE,(_xlfn._xlws.FILTER($A$2:$A$501,($D$2:$D$501&gt;=AH$7)*($D$2:$D$501&lt;AG$7)*($E$2:$E$501&gt;=$H71)*($E$2:$E$501&lt;$H70)," ")))</f>
        <v xml:space="preserve"> </v>
      </c>
      <c r="AH70" t="str" cm="1">
        <f t="array" ref="AH70">_xlfn.TEXTJOIN(",",TRUE,(_xlfn._xlws.FILTER($A$2:$A$501,($D$2:$D$501&gt;=AI$7)*($D$2:$D$501&lt;AH$7)*($E$2:$E$501&gt;=$H71)*($E$2:$E$501&lt;$H70)," ")))</f>
        <v xml:space="preserve"> </v>
      </c>
      <c r="AI70" t="str" cm="1">
        <f t="array" ref="AI70">_xlfn.TEXTJOIN(",",TRUE,(_xlfn._xlws.FILTER($A$2:$A$501,($D$2:$D$501&gt;=AJ$7)*($D$2:$D$501&lt;AI$7)*($E$2:$E$501&gt;=$H71)*($E$2:$E$501&lt;$H70)," ")))</f>
        <v xml:space="preserve"> </v>
      </c>
      <c r="AJ70" t="str" cm="1">
        <f t="array" ref="AJ70">_xlfn.TEXTJOIN(",",TRUE,(_xlfn._xlws.FILTER($A$2:$A$501,($D$2:$D$501&gt;=AK$7)*($D$2:$D$501&lt;AJ$7)*($E$2:$E$501&gt;=$H71)*($E$2:$E$501&lt;$H70)," ")))</f>
        <v xml:space="preserve"> </v>
      </c>
      <c r="AK70" t="str" cm="1">
        <f t="array" ref="AK70">_xlfn.TEXTJOIN(",",TRUE,(_xlfn._xlws.FILTER($A$2:$A$501,($D$2:$D$501&gt;=AL$7)*($D$2:$D$501&lt;AK$7)*($E$2:$E$501&gt;=$H71)*($E$2:$E$501&lt;$H70)," ")))</f>
        <v xml:space="preserve"> </v>
      </c>
      <c r="AL70" t="str" cm="1">
        <f t="array" ref="AL70">_xlfn.TEXTJOIN(",",TRUE,(_xlfn._xlws.FILTER($A$2:$A$501,($D$2:$D$501&gt;=AM$7)*($D$2:$D$501&lt;AL$7)*($E$2:$E$501&gt;=$H71)*($E$2:$E$501&lt;$H70)," ")))</f>
        <v xml:space="preserve"> </v>
      </c>
      <c r="AM70" t="str" cm="1">
        <f t="array" ref="AM70">_xlfn.TEXTJOIN(",",TRUE,(_xlfn._xlws.FILTER($A$2:$A$501,($D$2:$D$501&gt;=AN$7)*($D$2:$D$501&lt;AM$7)*($E$2:$E$501&gt;=$H71)*($E$2:$E$501&lt;$H70)," ")))</f>
        <v xml:space="preserve"> </v>
      </c>
      <c r="AN70" t="str" cm="1">
        <f t="array" ref="AN70">_xlfn.TEXTJOIN(",",TRUE,(_xlfn._xlws.FILTER($A$2:$A$501,($D$2:$D$501&gt;=AO$7)*($D$2:$D$501&lt;AN$7)*($E$2:$E$501&gt;=$H71)*($E$2:$E$501&lt;$H70)," ")))</f>
        <v xml:space="preserve"> </v>
      </c>
      <c r="AO70" t="str" cm="1">
        <f t="array" ref="AO70">_xlfn.TEXTJOIN(",",TRUE,(_xlfn._xlws.FILTER($A$2:$A$501,($D$2:$D$501&gt;=AP$7)*($D$2:$D$501&lt;AO$7)*($E$2:$E$501&gt;=$H71)*($E$2:$E$501&lt;$H70)," ")))</f>
        <v xml:space="preserve"> </v>
      </c>
      <c r="AP70" t="str" cm="1">
        <f t="array" ref="AP70">_xlfn.TEXTJOIN(",",TRUE,(_xlfn._xlws.FILTER($A$2:$A$501,($D$2:$D$501&gt;=AQ$7)*($D$2:$D$501&lt;AP$7)*($E$2:$E$501&gt;=$H71)*($E$2:$E$501&lt;$H70)," ")))</f>
        <v xml:space="preserve"> </v>
      </c>
      <c r="AQ70" t="str" cm="1">
        <f t="array" ref="AQ70">_xlfn.TEXTJOIN(",",TRUE,(_xlfn._xlws.FILTER($A$2:$A$501,($D$2:$D$501&gt;=AR$7)*($D$2:$D$501&lt;AQ$7)*($E$2:$E$501&gt;=$H71)*($E$2:$E$501&lt;$H70)," ")))</f>
        <v xml:space="preserve"> </v>
      </c>
      <c r="AR70" t="str" cm="1">
        <f t="array" ref="AR70">_xlfn.TEXTJOIN(",",TRUE,(_xlfn._xlws.FILTER($A$2:$A$501,($D$2:$D$501&gt;=AS$7)*($D$2:$D$501&lt;AR$7)*($E$2:$E$501&gt;=$H71)*($E$2:$E$501&lt;$H70)," ")))</f>
        <v xml:space="preserve"> </v>
      </c>
      <c r="AS70" t="str" cm="1">
        <f t="array" ref="AS70">_xlfn.TEXTJOIN(",",TRUE,(_xlfn._xlws.FILTER($A$2:$A$501,($D$2:$D$501&gt;=AT$7)*($D$2:$D$501&lt;AS$7)*($E$2:$E$501&gt;=$H71)*($E$2:$E$501&lt;$H70)," ")))</f>
        <v xml:space="preserve"> </v>
      </c>
      <c r="AT70" t="str" cm="1">
        <f t="array" ref="AT70">_xlfn.TEXTJOIN(",",TRUE,(_xlfn._xlws.FILTER($A$2:$A$501,($D$2:$D$501&gt;=AU$7)*($D$2:$D$501&lt;AT$7)*($E$2:$E$501&gt;=$H71)*($E$2:$E$501&lt;$H70)," ")))</f>
        <v xml:space="preserve"> </v>
      </c>
      <c r="AU70" t="str" cm="1">
        <f t="array" ref="AU70">_xlfn.TEXTJOIN(",",TRUE,(_xlfn._xlws.FILTER($A$2:$A$501,($D$2:$D$501&gt;=AV$7)*($D$2:$D$501&lt;AU$7)*($E$2:$E$501&gt;=$H71)*($E$2:$E$501&lt;$H70)," ")))</f>
        <v xml:space="preserve"> </v>
      </c>
      <c r="AV70" t="str" cm="1">
        <f t="array" ref="AV70">_xlfn.TEXTJOIN(",",TRUE,(_xlfn._xlws.FILTER($A$2:$A$501,($D$2:$D$501&gt;=AW$7)*($D$2:$D$501&lt;AV$7)*($E$2:$E$501&gt;=$H71)*($E$2:$E$501&lt;$H70)," ")))</f>
        <v xml:space="preserve"> </v>
      </c>
      <c r="AW70" t="str" cm="1">
        <f t="array" ref="AW70">_xlfn.TEXTJOIN(",",TRUE,(_xlfn._xlws.FILTER($A$2:$A$501,($D$2:$D$501&gt;=AX$7)*($D$2:$D$501&lt;AW$7)*($E$2:$E$501&gt;=$H71)*($E$2:$E$501&lt;$H70)," ")))</f>
        <v xml:space="preserve"> </v>
      </c>
      <c r="AX70" t="str" cm="1">
        <f t="array" ref="AX70">_xlfn.TEXTJOIN(",",TRUE,(_xlfn._xlws.FILTER($A$2:$A$501,($D$2:$D$501&gt;=AY$7)*($D$2:$D$501&lt;AX$7)*($E$2:$E$501&gt;=$H71)*($E$2:$E$501&lt;$H70)," ")))</f>
        <v xml:space="preserve"> </v>
      </c>
      <c r="AY70" t="str" cm="1">
        <f t="array" ref="AY70">_xlfn.TEXTJOIN(",",TRUE,(_xlfn._xlws.FILTER($A$2:$A$501,($D$2:$D$501&gt;=AZ$7)*($D$2:$D$501&lt;AY$7)*($E$2:$E$501&gt;=$H71)*($E$2:$E$501&lt;$H70)," ")))</f>
        <v xml:space="preserve"> </v>
      </c>
      <c r="AZ70" t="str" cm="1">
        <f t="array" ref="AZ70">_xlfn.TEXTJOIN(",",TRUE,(_xlfn._xlws.FILTER($A$2:$A$501,($D$2:$D$501&gt;=BA$7)*($D$2:$D$501&lt;AZ$7)*($E$2:$E$501&gt;=$H71)*($E$2:$E$501&lt;$H70)," ")))</f>
        <v xml:space="preserve"> </v>
      </c>
      <c r="BA70" t="str" cm="1">
        <f t="array" ref="BA70">_xlfn.TEXTJOIN(",",TRUE,(_xlfn._xlws.FILTER($A$2:$A$501,($D$2:$D$501&gt;=BB$7)*($D$2:$D$501&lt;BA$7)*($E$2:$E$501&gt;=$H71)*($E$2:$E$501&lt;$H70)," ")))</f>
        <v xml:space="preserve"> </v>
      </c>
      <c r="BB70" t="str" cm="1">
        <f t="array" ref="BB70">_xlfn.TEXTJOIN(",",TRUE,(_xlfn._xlws.FILTER($A$2:$A$501,($D$2:$D$501&gt;=BC$7)*($D$2:$D$501&lt;BB$7)*($E$2:$E$501&gt;=$H71)*($E$2:$E$501&lt;$H70)," ")))</f>
        <v xml:space="preserve"> </v>
      </c>
    </row>
    <row r="71" spans="1:54" x14ac:dyDescent="0.2">
      <c r="A71" s="3" t="s">
        <v>518</v>
      </c>
      <c r="B71" s="3" t="s">
        <v>515</v>
      </c>
      <c r="C71" s="13">
        <v>1189152.6100000001</v>
      </c>
      <c r="D71" s="15">
        <v>24521430.550000001</v>
      </c>
      <c r="E71" s="22">
        <f>TuitionRates3[[#This Row],[Tuition]]/D71</f>
        <v>4.8494422361504516E-2</v>
      </c>
      <c r="F71"/>
      <c r="H71" s="18">
        <v>8.6999999999999897E-2</v>
      </c>
      <c r="I71" t="str" cm="1">
        <f t="array" ref="I71">_xlfn.TEXTJOIN(",",TRUE,(_xlfn._xlws.FILTER($A$2:$A$501,($D$2:$D$501&gt;=J$7)*($D$2:$D$501&lt;I$7)*($E$2:$E$501&gt;=$H72)*($E$2:$E$501&lt;$H71)," ")))</f>
        <v xml:space="preserve"> </v>
      </c>
      <c r="J71" t="str" cm="1">
        <f t="array" ref="J71">_xlfn.TEXTJOIN(",",TRUE,(_xlfn._xlws.FILTER($A$2:$A$501,($D$2:$D$501&gt;=K$7)*($D$2:$D$501&lt;J$7)*($E$2:$E$501&gt;=$H72)*($E$2:$E$501&lt;$H71)," ")))</f>
        <v xml:space="preserve"> </v>
      </c>
      <c r="K71" t="str" cm="1">
        <f t="array" ref="K71">_xlfn.TEXTJOIN(",",TRUE,(_xlfn._xlws.FILTER($A$2:$A$501,($D$2:$D$501&gt;=L$7)*($D$2:$D$501&lt;K$7)*($E$2:$E$501&gt;=$H72)*($E$2:$E$501&lt;$H71)," ")))</f>
        <v xml:space="preserve"> </v>
      </c>
      <c r="L71" t="str" cm="1">
        <f t="array" ref="L71">_xlfn.TEXTJOIN(",",TRUE,(_xlfn._xlws.FILTER($A$2:$A$501,($D$2:$D$501&gt;=M$7)*($D$2:$D$501&lt;L$7)*($E$2:$E$501&gt;=$H72)*($E$2:$E$501&lt;$H71)," ")))</f>
        <v xml:space="preserve"> </v>
      </c>
      <c r="M71" t="str" cm="1">
        <f t="array" ref="M71">_xlfn.TEXTJOIN(",",TRUE,(_xlfn._xlws.FILTER($A$2:$A$501,($D$2:$D$501&gt;=N$7)*($D$2:$D$501&lt;M$7)*($E$2:$E$501&gt;=$H72)*($E$2:$E$501&lt;$H71)," ")))</f>
        <v xml:space="preserve"> </v>
      </c>
      <c r="N71" t="str" cm="1">
        <f t="array" ref="N71">_xlfn.TEXTJOIN(",",TRUE,(_xlfn._xlws.FILTER($A$2:$A$501,($D$2:$D$501&gt;=O$7)*($D$2:$D$501&lt;N$7)*($E$2:$E$501&gt;=$H72)*($E$2:$E$501&lt;$H71)," ")))</f>
        <v xml:space="preserve"> </v>
      </c>
      <c r="O71" t="str" cm="1">
        <f t="array" ref="O71">_xlfn.TEXTJOIN(",",TRUE,(_xlfn._xlws.FILTER($A$2:$A$501,($D$2:$D$501&gt;=P$7)*($D$2:$D$501&lt;O$7)*($E$2:$E$501&gt;=$H72)*($E$2:$E$501&lt;$H71)," ")))</f>
        <v xml:space="preserve"> </v>
      </c>
      <c r="P71" t="str" cm="1">
        <f t="array" ref="P71">_xlfn.TEXTJOIN(",",TRUE,(_xlfn._xlws.FILTER($A$2:$A$501,($D$2:$D$501&gt;=Q$7)*($D$2:$D$501&lt;P$7)*($E$2:$E$501&gt;=$H72)*($E$2:$E$501&lt;$H71)," ")))</f>
        <v xml:space="preserve"> </v>
      </c>
      <c r="Q71" t="str" cm="1">
        <f t="array" ref="Q71">_xlfn.TEXTJOIN(",",TRUE,(_xlfn._xlws.FILTER($A$2:$A$501,($D$2:$D$501&gt;=R$7)*($D$2:$D$501&lt;Q$7)*($E$2:$E$501&gt;=$H72)*($E$2:$E$501&lt;$H71)," ")))</f>
        <v xml:space="preserve"> </v>
      </c>
      <c r="R71" t="str" cm="1">
        <f t="array" ref="R71">_xlfn.TEXTJOIN(",",TRUE,(_xlfn._xlws.FILTER($A$2:$A$501,($D$2:$D$501&gt;=S$7)*($D$2:$D$501&lt;R$7)*($E$2:$E$501&gt;=$H72)*($E$2:$E$501&lt;$H71)," ")))</f>
        <v xml:space="preserve"> </v>
      </c>
      <c r="S71" t="str" cm="1">
        <f t="array" ref="S71">_xlfn.TEXTJOIN(",",TRUE,(_xlfn._xlws.FILTER($A$2:$A$501,($D$2:$D$501&gt;=T$7)*($D$2:$D$501&lt;S$7)*($E$2:$E$501&gt;=$H72)*($E$2:$E$501&lt;$H71)," ")))</f>
        <v xml:space="preserve"> </v>
      </c>
      <c r="T71" t="str" cm="1">
        <f t="array" ref="T71">_xlfn.TEXTJOIN(",",TRUE,(_xlfn._xlws.FILTER($A$2:$A$501,($D$2:$D$501&gt;=U$7)*($D$2:$D$501&lt;T$7)*($E$2:$E$501&gt;=$H72)*($E$2:$E$501&lt;$H71)," ")))</f>
        <v xml:space="preserve"> </v>
      </c>
      <c r="U71" t="str" cm="1">
        <f t="array" ref="U71">_xlfn.TEXTJOIN(",",TRUE,(_xlfn._xlws.FILTER($A$2:$A$501,($D$2:$D$501&gt;=V$7)*($D$2:$D$501&lt;U$7)*($E$2:$E$501&gt;=$H72)*($E$2:$E$501&lt;$H71)," ")))</f>
        <v xml:space="preserve"> </v>
      </c>
      <c r="V71" t="str" cm="1">
        <f t="array" ref="V71">_xlfn.TEXTJOIN(",",TRUE,(_xlfn._xlws.FILTER($A$2:$A$501,($D$2:$D$501&gt;=W$7)*($D$2:$D$501&lt;V$7)*($E$2:$E$501&gt;=$H72)*($E$2:$E$501&lt;$H71)," ")))</f>
        <v xml:space="preserve"> </v>
      </c>
      <c r="W71" t="str" cm="1">
        <f t="array" ref="W71">_xlfn.TEXTJOIN(",",TRUE,(_xlfn._xlws.FILTER($A$2:$A$501,($D$2:$D$501&gt;=X$7)*($D$2:$D$501&lt;W$7)*($E$2:$E$501&gt;=$H72)*($E$2:$E$501&lt;$H71)," ")))</f>
        <v xml:space="preserve"> </v>
      </c>
      <c r="X71" t="str" cm="1">
        <f t="array" ref="X71">_xlfn.TEXTJOIN(",",TRUE,(_xlfn._xlws.FILTER($A$2:$A$501,($D$2:$D$501&gt;=Y$7)*($D$2:$D$501&lt;X$7)*($E$2:$E$501&gt;=$H72)*($E$2:$E$501&lt;$H71)," ")))</f>
        <v xml:space="preserve"> </v>
      </c>
      <c r="Y71" t="str" cm="1">
        <f t="array" ref="Y71">_xlfn.TEXTJOIN(",",TRUE,(_xlfn._xlws.FILTER($A$2:$A$501,($D$2:$D$501&gt;=Z$7)*($D$2:$D$501&lt;Y$7)*($E$2:$E$501&gt;=$H72)*($E$2:$E$501&lt;$H71)," ")))</f>
        <v xml:space="preserve"> </v>
      </c>
      <c r="Z71" t="str" cm="1">
        <f t="array" ref="Z71">_xlfn.TEXTJOIN(",",TRUE,(_xlfn._xlws.FILTER($A$2:$A$501,($D$2:$D$501&gt;=AA$7)*($D$2:$D$501&lt;Z$7)*($E$2:$E$501&gt;=$H72)*($E$2:$E$501&lt;$H71)," ")))</f>
        <v xml:space="preserve"> </v>
      </c>
      <c r="AA71" t="str" cm="1">
        <f t="array" ref="AA71">_xlfn.TEXTJOIN(",",TRUE,(_xlfn._xlws.FILTER($A$2:$A$501,($D$2:$D$501&gt;=AB$7)*($D$2:$D$501&lt;AA$7)*($E$2:$E$501&gt;=$H72)*($E$2:$E$501&lt;$H71)," ")))</f>
        <v xml:space="preserve"> </v>
      </c>
      <c r="AB71" t="str" cm="1">
        <f t="array" ref="AB71">_xlfn.TEXTJOIN(",",TRUE,(_xlfn._xlws.FILTER($A$2:$A$501,($D$2:$D$501&gt;=AC$7)*($D$2:$D$501&lt;AB$7)*($E$2:$E$501&gt;=$H72)*($E$2:$E$501&lt;$H71)," ")))</f>
        <v xml:space="preserve"> </v>
      </c>
      <c r="AC71" t="str" cm="1">
        <f t="array" ref="AC71">_xlfn.TEXTJOIN(",",TRUE,(_xlfn._xlws.FILTER($A$2:$A$501,($D$2:$D$501&gt;=AD$7)*($D$2:$D$501&lt;AC$7)*($E$2:$E$501&gt;=$H72)*($E$2:$E$501&lt;$H71)," ")))</f>
        <v xml:space="preserve"> </v>
      </c>
      <c r="AD71" t="str" cm="1">
        <f t="array" ref="AD71">_xlfn.TEXTJOIN(",",TRUE,(_xlfn._xlws.FILTER($A$2:$A$501,($D$2:$D$501&gt;=AE$7)*($D$2:$D$501&lt;AD$7)*($E$2:$E$501&gt;=$H72)*($E$2:$E$501&lt;$H71)," ")))</f>
        <v xml:space="preserve"> </v>
      </c>
      <c r="AE71" t="str" cm="1">
        <f t="array" ref="AE71">_xlfn.TEXTJOIN(",",TRUE,(_xlfn._xlws.FILTER($A$2:$A$501,($D$2:$D$501&gt;=AF$7)*($D$2:$D$501&lt;AE$7)*($E$2:$E$501&gt;=$H72)*($E$2:$E$501&lt;$H71)," ")))</f>
        <v xml:space="preserve"> </v>
      </c>
      <c r="AF71" t="str" cm="1">
        <f t="array" ref="AF71">_xlfn.TEXTJOIN(",",TRUE,(_xlfn._xlws.FILTER($A$2:$A$501,($D$2:$D$501&gt;=AG$7)*($D$2:$D$501&lt;AF$7)*($E$2:$E$501&gt;=$H72)*($E$2:$E$501&lt;$H71)," ")))</f>
        <v xml:space="preserve"> </v>
      </c>
      <c r="AG71" t="str" cm="1">
        <f t="array" ref="AG71">_xlfn.TEXTJOIN(",",TRUE,(_xlfn._xlws.FILTER($A$2:$A$501,($D$2:$D$501&gt;=AH$7)*($D$2:$D$501&lt;AG$7)*($E$2:$E$501&gt;=$H72)*($E$2:$E$501&lt;$H71)," ")))</f>
        <v xml:space="preserve"> </v>
      </c>
      <c r="AH71" t="str" cm="1">
        <f t="array" ref="AH71">_xlfn.TEXTJOIN(",",TRUE,(_xlfn._xlws.FILTER($A$2:$A$501,($D$2:$D$501&gt;=AI$7)*($D$2:$D$501&lt;AH$7)*($E$2:$E$501&gt;=$H72)*($E$2:$E$501&lt;$H71)," ")))</f>
        <v xml:space="preserve"> </v>
      </c>
      <c r="AI71" t="str" cm="1">
        <f t="array" ref="AI71">_xlfn.TEXTJOIN(",",TRUE,(_xlfn._xlws.FILTER($A$2:$A$501,($D$2:$D$501&gt;=AJ$7)*($D$2:$D$501&lt;AI$7)*($E$2:$E$501&gt;=$H72)*($E$2:$E$501&lt;$H71)," ")))</f>
        <v xml:space="preserve"> </v>
      </c>
      <c r="AJ71" t="str" cm="1">
        <f t="array" ref="AJ71">_xlfn.TEXTJOIN(",",TRUE,(_xlfn._xlws.FILTER($A$2:$A$501,($D$2:$D$501&gt;=AK$7)*($D$2:$D$501&lt;AJ$7)*($E$2:$E$501&gt;=$H72)*($E$2:$E$501&lt;$H71)," ")))</f>
        <v xml:space="preserve"> </v>
      </c>
      <c r="AK71" t="str" cm="1">
        <f t="array" ref="AK71">_xlfn.TEXTJOIN(",",TRUE,(_xlfn._xlws.FILTER($A$2:$A$501,($D$2:$D$501&gt;=AL$7)*($D$2:$D$501&lt;AK$7)*($E$2:$E$501&gt;=$H72)*($E$2:$E$501&lt;$H71)," ")))</f>
        <v xml:space="preserve"> </v>
      </c>
      <c r="AL71" t="str" cm="1">
        <f t="array" ref="AL71">_xlfn.TEXTJOIN(",",TRUE,(_xlfn._xlws.FILTER($A$2:$A$501,($D$2:$D$501&gt;=AM$7)*($D$2:$D$501&lt;AL$7)*($E$2:$E$501&gt;=$H72)*($E$2:$E$501&lt;$H71)," ")))</f>
        <v xml:space="preserve"> </v>
      </c>
      <c r="AM71" t="str" cm="1">
        <f t="array" ref="AM71">_xlfn.TEXTJOIN(",",TRUE,(_xlfn._xlws.FILTER($A$2:$A$501,($D$2:$D$501&gt;=AN$7)*($D$2:$D$501&lt;AM$7)*($E$2:$E$501&gt;=$H72)*($E$2:$E$501&lt;$H71)," ")))</f>
        <v xml:space="preserve"> </v>
      </c>
      <c r="AN71" t="str" cm="1">
        <f t="array" ref="AN71">_xlfn.TEXTJOIN(",",TRUE,(_xlfn._xlws.FILTER($A$2:$A$501,($D$2:$D$501&gt;=AO$7)*($D$2:$D$501&lt;AN$7)*($E$2:$E$501&gt;=$H72)*($E$2:$E$501&lt;$H71)," ")))</f>
        <v xml:space="preserve"> </v>
      </c>
      <c r="AO71" t="str" cm="1">
        <f t="array" ref="AO71">_xlfn.TEXTJOIN(",",TRUE,(_xlfn._xlws.FILTER($A$2:$A$501,($D$2:$D$501&gt;=AP$7)*($D$2:$D$501&lt;AO$7)*($E$2:$E$501&gt;=$H72)*($E$2:$E$501&lt;$H71)," ")))</f>
        <v xml:space="preserve"> </v>
      </c>
      <c r="AP71" t="str" cm="1">
        <f t="array" ref="AP71">_xlfn.TEXTJOIN(",",TRUE,(_xlfn._xlws.FILTER($A$2:$A$501,($D$2:$D$501&gt;=AQ$7)*($D$2:$D$501&lt;AP$7)*($E$2:$E$501&gt;=$H72)*($E$2:$E$501&lt;$H71)," ")))</f>
        <v xml:space="preserve"> </v>
      </c>
      <c r="AQ71" t="str" cm="1">
        <f t="array" ref="AQ71">_xlfn.TEXTJOIN(",",TRUE,(_xlfn._xlws.FILTER($A$2:$A$501,($D$2:$D$501&gt;=AR$7)*($D$2:$D$501&lt;AQ$7)*($E$2:$E$501&gt;=$H72)*($E$2:$E$501&lt;$H71)," ")))</f>
        <v xml:space="preserve"> </v>
      </c>
      <c r="AR71" t="str" cm="1">
        <f t="array" ref="AR71">_xlfn.TEXTJOIN(",",TRUE,(_xlfn._xlws.FILTER($A$2:$A$501,($D$2:$D$501&gt;=AS$7)*($D$2:$D$501&lt;AR$7)*($E$2:$E$501&gt;=$H72)*($E$2:$E$501&lt;$H71)," ")))</f>
        <v xml:space="preserve"> </v>
      </c>
      <c r="AS71" t="str" cm="1">
        <f t="array" ref="AS71">_xlfn.TEXTJOIN(",",TRUE,(_xlfn._xlws.FILTER($A$2:$A$501,($D$2:$D$501&gt;=AT$7)*($D$2:$D$501&lt;AS$7)*($E$2:$E$501&gt;=$H72)*($E$2:$E$501&lt;$H71)," ")))</f>
        <v xml:space="preserve"> </v>
      </c>
      <c r="AT71" t="str" cm="1">
        <f t="array" ref="AT71">_xlfn.TEXTJOIN(",",TRUE,(_xlfn._xlws.FILTER($A$2:$A$501,($D$2:$D$501&gt;=AU$7)*($D$2:$D$501&lt;AT$7)*($E$2:$E$501&gt;=$H72)*($E$2:$E$501&lt;$H71)," ")))</f>
        <v xml:space="preserve"> </v>
      </c>
      <c r="AU71" t="str" cm="1">
        <f t="array" ref="AU71">_xlfn.TEXTJOIN(",",TRUE,(_xlfn._xlws.FILTER($A$2:$A$501,($D$2:$D$501&gt;=AV$7)*($D$2:$D$501&lt;AU$7)*($E$2:$E$501&gt;=$H72)*($E$2:$E$501&lt;$H71)," ")))</f>
        <v xml:space="preserve"> </v>
      </c>
      <c r="AV71" t="str" cm="1">
        <f t="array" ref="AV71">_xlfn.TEXTJOIN(",",TRUE,(_xlfn._xlws.FILTER($A$2:$A$501,($D$2:$D$501&gt;=AW$7)*($D$2:$D$501&lt;AV$7)*($E$2:$E$501&gt;=$H72)*($E$2:$E$501&lt;$H71)," ")))</f>
        <v xml:space="preserve"> </v>
      </c>
      <c r="AW71" t="str" cm="1">
        <f t="array" ref="AW71">_xlfn.TEXTJOIN(",",TRUE,(_xlfn._xlws.FILTER($A$2:$A$501,($D$2:$D$501&gt;=AX$7)*($D$2:$D$501&lt;AW$7)*($E$2:$E$501&gt;=$H72)*($E$2:$E$501&lt;$H71)," ")))</f>
        <v xml:space="preserve"> </v>
      </c>
      <c r="AX71" t="str" cm="1">
        <f t="array" ref="AX71">_xlfn.TEXTJOIN(",",TRUE,(_xlfn._xlws.FILTER($A$2:$A$501,($D$2:$D$501&gt;=AY$7)*($D$2:$D$501&lt;AX$7)*($E$2:$E$501&gt;=$H72)*($E$2:$E$501&lt;$H71)," ")))</f>
        <v xml:space="preserve"> </v>
      </c>
      <c r="AY71" t="str" cm="1">
        <f t="array" ref="AY71">_xlfn.TEXTJOIN(",",TRUE,(_xlfn._xlws.FILTER($A$2:$A$501,($D$2:$D$501&gt;=AZ$7)*($D$2:$D$501&lt;AY$7)*($E$2:$E$501&gt;=$H72)*($E$2:$E$501&lt;$H71)," ")))</f>
        <v xml:space="preserve"> </v>
      </c>
      <c r="AZ71" t="str" cm="1">
        <f t="array" ref="AZ71">_xlfn.TEXTJOIN(",",TRUE,(_xlfn._xlws.FILTER($A$2:$A$501,($D$2:$D$501&gt;=BA$7)*($D$2:$D$501&lt;AZ$7)*($E$2:$E$501&gt;=$H72)*($E$2:$E$501&lt;$H71)," ")))</f>
        <v xml:space="preserve"> </v>
      </c>
      <c r="BA71" t="str" cm="1">
        <f t="array" ref="BA71">_xlfn.TEXTJOIN(",",TRUE,(_xlfn._xlws.FILTER($A$2:$A$501,($D$2:$D$501&gt;=BB$7)*($D$2:$D$501&lt;BA$7)*($E$2:$E$501&gt;=$H72)*($E$2:$E$501&lt;$H71)," ")))</f>
        <v xml:space="preserve"> </v>
      </c>
      <c r="BB71" t="str" cm="1">
        <f t="array" ref="BB71">_xlfn.TEXTJOIN(",",TRUE,(_xlfn._xlws.FILTER($A$2:$A$501,($D$2:$D$501&gt;=BC$7)*($D$2:$D$501&lt;BB$7)*($E$2:$E$501&gt;=$H72)*($E$2:$E$501&lt;$H71)," ")))</f>
        <v xml:space="preserve"> </v>
      </c>
    </row>
    <row r="72" spans="1:54" x14ac:dyDescent="0.2">
      <c r="A72" s="3" t="s">
        <v>529</v>
      </c>
      <c r="B72" s="3" t="s">
        <v>530</v>
      </c>
      <c r="C72" s="13">
        <v>3260946.72</v>
      </c>
      <c r="D72" s="15">
        <v>67389113.849999994</v>
      </c>
      <c r="E72" s="22">
        <f>TuitionRates3[[#This Row],[Tuition]]/D72</f>
        <v>4.8389814521948939E-2</v>
      </c>
      <c r="F72"/>
      <c r="H72" s="18">
        <v>8.5999999999999896E-2</v>
      </c>
      <c r="I72" t="str" cm="1">
        <f t="array" ref="I72">_xlfn.TEXTJOIN(",",TRUE,(_xlfn._xlws.FILTER($A$2:$A$501,($D$2:$D$501&gt;=J$7)*($D$2:$D$501&lt;I$7)*($E$2:$E$501&gt;=$H73)*($E$2:$E$501&lt;$H72)," ")))</f>
        <v xml:space="preserve"> </v>
      </c>
      <c r="J72" t="str" cm="1">
        <f t="array" ref="J72">_xlfn.TEXTJOIN(",",TRUE,(_xlfn._xlws.FILTER($A$2:$A$501,($D$2:$D$501&gt;=K$7)*($D$2:$D$501&lt;J$7)*($E$2:$E$501&gt;=$H73)*($E$2:$E$501&lt;$H72)," ")))</f>
        <v xml:space="preserve"> </v>
      </c>
      <c r="K72" t="str" cm="1">
        <f t="array" ref="K72">_xlfn.TEXTJOIN(",",TRUE,(_xlfn._xlws.FILTER($A$2:$A$501,($D$2:$D$501&gt;=L$7)*($D$2:$D$501&lt;K$7)*($E$2:$E$501&gt;=$H73)*($E$2:$E$501&lt;$H72)," ")))</f>
        <v xml:space="preserve"> </v>
      </c>
      <c r="L72" t="str" cm="1">
        <f t="array" ref="L72">_xlfn.TEXTJOIN(",",TRUE,(_xlfn._xlws.FILTER($A$2:$A$501,($D$2:$D$501&gt;=M$7)*($D$2:$D$501&lt;L$7)*($E$2:$E$501&gt;=$H73)*($E$2:$E$501&lt;$H72)," ")))</f>
        <v xml:space="preserve"> </v>
      </c>
      <c r="M72" t="str" cm="1">
        <f t="array" ref="M72">_xlfn.TEXTJOIN(",",TRUE,(_xlfn._xlws.FILTER($A$2:$A$501,($D$2:$D$501&gt;=N$7)*($D$2:$D$501&lt;M$7)*($E$2:$E$501&gt;=$H73)*($E$2:$E$501&lt;$H72)," ")))</f>
        <v xml:space="preserve"> </v>
      </c>
      <c r="N72" t="str" cm="1">
        <f t="array" ref="N72">_xlfn.TEXTJOIN(",",TRUE,(_xlfn._xlws.FILTER($A$2:$A$501,($D$2:$D$501&gt;=O$7)*($D$2:$D$501&lt;N$7)*($E$2:$E$501&gt;=$H73)*($E$2:$E$501&lt;$H72)," ")))</f>
        <v xml:space="preserve"> </v>
      </c>
      <c r="O72" t="str" cm="1">
        <f t="array" ref="O72">_xlfn.TEXTJOIN(",",TRUE,(_xlfn._xlws.FILTER($A$2:$A$501,($D$2:$D$501&gt;=P$7)*($D$2:$D$501&lt;O$7)*($E$2:$E$501&gt;=$H73)*($E$2:$E$501&lt;$H72)," ")))</f>
        <v xml:space="preserve"> </v>
      </c>
      <c r="P72" t="str" cm="1">
        <f t="array" ref="P72">_xlfn.TEXTJOIN(",",TRUE,(_xlfn._xlws.FILTER($A$2:$A$501,($D$2:$D$501&gt;=Q$7)*($D$2:$D$501&lt;P$7)*($E$2:$E$501&gt;=$H73)*($E$2:$E$501&lt;$H72)," ")))</f>
        <v xml:space="preserve"> </v>
      </c>
      <c r="Q72" t="str" cm="1">
        <f t="array" ref="Q72">_xlfn.TEXTJOIN(",",TRUE,(_xlfn._xlws.FILTER($A$2:$A$501,($D$2:$D$501&gt;=R$7)*($D$2:$D$501&lt;Q$7)*($E$2:$E$501&gt;=$H73)*($E$2:$E$501&lt;$H72)," ")))</f>
        <v xml:space="preserve"> </v>
      </c>
      <c r="R72" t="str" cm="1">
        <f t="array" ref="R72">_xlfn.TEXTJOIN(",",TRUE,(_xlfn._xlws.FILTER($A$2:$A$501,($D$2:$D$501&gt;=S$7)*($D$2:$D$501&lt;R$7)*($E$2:$E$501&gt;=$H73)*($E$2:$E$501&lt;$H72)," ")))</f>
        <v xml:space="preserve"> </v>
      </c>
      <c r="S72" t="str" cm="1">
        <f t="array" ref="S72">_xlfn.TEXTJOIN(",",TRUE,(_xlfn._xlws.FILTER($A$2:$A$501,($D$2:$D$501&gt;=T$7)*($D$2:$D$501&lt;S$7)*($E$2:$E$501&gt;=$H73)*($E$2:$E$501&lt;$H72)," ")))</f>
        <v xml:space="preserve"> </v>
      </c>
      <c r="T72" t="str" cm="1">
        <f t="array" ref="T72">_xlfn.TEXTJOIN(",",TRUE,(_xlfn._xlws.FILTER($A$2:$A$501,($D$2:$D$501&gt;=U$7)*($D$2:$D$501&lt;T$7)*($E$2:$E$501&gt;=$H73)*($E$2:$E$501&lt;$H72)," ")))</f>
        <v xml:space="preserve"> </v>
      </c>
      <c r="U72" t="str" cm="1">
        <f t="array" ref="U72">_xlfn.TEXTJOIN(",",TRUE,(_xlfn._xlws.FILTER($A$2:$A$501,($D$2:$D$501&gt;=V$7)*($D$2:$D$501&lt;U$7)*($E$2:$E$501&gt;=$H73)*($E$2:$E$501&lt;$H72)," ")))</f>
        <v xml:space="preserve"> </v>
      </c>
      <c r="V72" t="str" cm="1">
        <f t="array" ref="V72">_xlfn.TEXTJOIN(",",TRUE,(_xlfn._xlws.FILTER($A$2:$A$501,($D$2:$D$501&gt;=W$7)*($D$2:$D$501&lt;V$7)*($E$2:$E$501&gt;=$H73)*($E$2:$E$501&lt;$H72)," ")))</f>
        <v xml:space="preserve"> </v>
      </c>
      <c r="W72" t="str" cm="1">
        <f t="array" ref="W72">_xlfn.TEXTJOIN(",",TRUE,(_xlfn._xlws.FILTER($A$2:$A$501,($D$2:$D$501&gt;=X$7)*($D$2:$D$501&lt;W$7)*($E$2:$E$501&gt;=$H73)*($E$2:$E$501&lt;$H72)," ")))</f>
        <v xml:space="preserve"> </v>
      </c>
      <c r="X72" t="str" cm="1">
        <f t="array" ref="X72">_xlfn.TEXTJOIN(",",TRUE,(_xlfn._xlws.FILTER($A$2:$A$501,($D$2:$D$501&gt;=Y$7)*($D$2:$D$501&lt;X$7)*($E$2:$E$501&gt;=$H73)*($E$2:$E$501&lt;$H72)," ")))</f>
        <v xml:space="preserve"> </v>
      </c>
      <c r="Y72" t="str" cm="1">
        <f t="array" ref="Y72">_xlfn.TEXTJOIN(",",TRUE,(_xlfn._xlws.FILTER($A$2:$A$501,($D$2:$D$501&gt;=Z$7)*($D$2:$D$501&lt;Y$7)*($E$2:$E$501&gt;=$H73)*($E$2:$E$501&lt;$H72)," ")))</f>
        <v xml:space="preserve"> </v>
      </c>
      <c r="Z72" t="str" cm="1">
        <f t="array" ref="Z72">_xlfn.TEXTJOIN(",",TRUE,(_xlfn._xlws.FILTER($A$2:$A$501,($D$2:$D$501&gt;=AA$7)*($D$2:$D$501&lt;Z$7)*($E$2:$E$501&gt;=$H73)*($E$2:$E$501&lt;$H72)," ")))</f>
        <v xml:space="preserve"> </v>
      </c>
      <c r="AA72" t="str" cm="1">
        <f t="array" ref="AA72">_xlfn.TEXTJOIN(",",TRUE,(_xlfn._xlws.FILTER($A$2:$A$501,($D$2:$D$501&gt;=AB$7)*($D$2:$D$501&lt;AA$7)*($E$2:$E$501&gt;=$H73)*($E$2:$E$501&lt;$H72)," ")))</f>
        <v xml:space="preserve"> </v>
      </c>
      <c r="AB72" t="str" cm="1">
        <f t="array" ref="AB72">_xlfn.TEXTJOIN(",",TRUE,(_xlfn._xlws.FILTER($A$2:$A$501,($D$2:$D$501&gt;=AC$7)*($D$2:$D$501&lt;AB$7)*($E$2:$E$501&gt;=$H73)*($E$2:$E$501&lt;$H72)," ")))</f>
        <v xml:space="preserve"> </v>
      </c>
      <c r="AC72" t="str" cm="1">
        <f t="array" ref="AC72">_xlfn.TEXTJOIN(",",TRUE,(_xlfn._xlws.FILTER($A$2:$A$501,($D$2:$D$501&gt;=AD$7)*($D$2:$D$501&lt;AC$7)*($E$2:$E$501&gt;=$H73)*($E$2:$E$501&lt;$H72)," ")))</f>
        <v xml:space="preserve"> </v>
      </c>
      <c r="AD72" t="str" cm="1">
        <f t="array" ref="AD72">_xlfn.TEXTJOIN(",",TRUE,(_xlfn._xlws.FILTER($A$2:$A$501,($D$2:$D$501&gt;=AE$7)*($D$2:$D$501&lt;AD$7)*($E$2:$E$501&gt;=$H73)*($E$2:$E$501&lt;$H72)," ")))</f>
        <v>Millersburg Area SD</v>
      </c>
      <c r="AE72" t="str" cm="1">
        <f t="array" ref="AE72">_xlfn.TEXTJOIN(",",TRUE,(_xlfn._xlws.FILTER($A$2:$A$501,($D$2:$D$501&gt;=AF$7)*($D$2:$D$501&lt;AE$7)*($E$2:$E$501&gt;=$H73)*($E$2:$E$501&lt;$H72)," ")))</f>
        <v xml:space="preserve"> </v>
      </c>
      <c r="AF72" t="str" cm="1">
        <f t="array" ref="AF72">_xlfn.TEXTJOIN(",",TRUE,(_xlfn._xlws.FILTER($A$2:$A$501,($D$2:$D$501&gt;=AG$7)*($D$2:$D$501&lt;AF$7)*($E$2:$E$501&gt;=$H73)*($E$2:$E$501&lt;$H72)," ")))</f>
        <v xml:space="preserve"> </v>
      </c>
      <c r="AG72" t="str" cm="1">
        <f t="array" ref="AG72">_xlfn.TEXTJOIN(",",TRUE,(_xlfn._xlws.FILTER($A$2:$A$501,($D$2:$D$501&gt;=AH$7)*($D$2:$D$501&lt;AG$7)*($E$2:$E$501&gt;=$H73)*($E$2:$E$501&lt;$H72)," ")))</f>
        <v xml:space="preserve"> </v>
      </c>
      <c r="AH72" t="str" cm="1">
        <f t="array" ref="AH72">_xlfn.TEXTJOIN(",",TRUE,(_xlfn._xlws.FILTER($A$2:$A$501,($D$2:$D$501&gt;=AI$7)*($D$2:$D$501&lt;AH$7)*($E$2:$E$501&gt;=$H73)*($E$2:$E$501&lt;$H72)," ")))</f>
        <v xml:space="preserve"> </v>
      </c>
      <c r="AI72" t="str" cm="1">
        <f t="array" ref="AI72">_xlfn.TEXTJOIN(",",TRUE,(_xlfn._xlws.FILTER($A$2:$A$501,($D$2:$D$501&gt;=AJ$7)*($D$2:$D$501&lt;AI$7)*($E$2:$E$501&gt;=$H73)*($E$2:$E$501&lt;$H72)," ")))</f>
        <v xml:space="preserve"> </v>
      </c>
      <c r="AJ72" t="str" cm="1">
        <f t="array" ref="AJ72">_xlfn.TEXTJOIN(",",TRUE,(_xlfn._xlws.FILTER($A$2:$A$501,($D$2:$D$501&gt;=AK$7)*($D$2:$D$501&lt;AJ$7)*($E$2:$E$501&gt;=$H73)*($E$2:$E$501&lt;$H72)," ")))</f>
        <v xml:space="preserve"> </v>
      </c>
      <c r="AK72" t="str" cm="1">
        <f t="array" ref="AK72">_xlfn.TEXTJOIN(",",TRUE,(_xlfn._xlws.FILTER($A$2:$A$501,($D$2:$D$501&gt;=AL$7)*($D$2:$D$501&lt;AK$7)*($E$2:$E$501&gt;=$H73)*($E$2:$E$501&lt;$H72)," ")))</f>
        <v xml:space="preserve"> </v>
      </c>
      <c r="AL72" t="str" cm="1">
        <f t="array" ref="AL72">_xlfn.TEXTJOIN(",",TRUE,(_xlfn._xlws.FILTER($A$2:$A$501,($D$2:$D$501&gt;=AM$7)*($D$2:$D$501&lt;AL$7)*($E$2:$E$501&gt;=$H73)*($E$2:$E$501&lt;$H72)," ")))</f>
        <v xml:space="preserve"> </v>
      </c>
      <c r="AM72" t="str" cm="1">
        <f t="array" ref="AM72">_xlfn.TEXTJOIN(",",TRUE,(_xlfn._xlws.FILTER($A$2:$A$501,($D$2:$D$501&gt;=AN$7)*($D$2:$D$501&lt;AM$7)*($E$2:$E$501&gt;=$H73)*($E$2:$E$501&lt;$H72)," ")))</f>
        <v xml:space="preserve"> </v>
      </c>
      <c r="AN72" t="str" cm="1">
        <f t="array" ref="AN72">_xlfn.TEXTJOIN(",",TRUE,(_xlfn._xlws.FILTER($A$2:$A$501,($D$2:$D$501&gt;=AO$7)*($D$2:$D$501&lt;AN$7)*($E$2:$E$501&gt;=$H73)*($E$2:$E$501&lt;$H72)," ")))</f>
        <v xml:space="preserve"> </v>
      </c>
      <c r="AO72" t="str" cm="1">
        <f t="array" ref="AO72">_xlfn.TEXTJOIN(",",TRUE,(_xlfn._xlws.FILTER($A$2:$A$501,($D$2:$D$501&gt;=AP$7)*($D$2:$D$501&lt;AO$7)*($E$2:$E$501&gt;=$H73)*($E$2:$E$501&lt;$H72)," ")))</f>
        <v xml:space="preserve"> </v>
      </c>
      <c r="AP72" t="str" cm="1">
        <f t="array" ref="AP72">_xlfn.TEXTJOIN(",",TRUE,(_xlfn._xlws.FILTER($A$2:$A$501,($D$2:$D$501&gt;=AQ$7)*($D$2:$D$501&lt;AP$7)*($E$2:$E$501&gt;=$H73)*($E$2:$E$501&lt;$H72)," ")))</f>
        <v xml:space="preserve"> </v>
      </c>
      <c r="AQ72" t="str" cm="1">
        <f t="array" ref="AQ72">_xlfn.TEXTJOIN(",",TRUE,(_xlfn._xlws.FILTER($A$2:$A$501,($D$2:$D$501&gt;=AR$7)*($D$2:$D$501&lt;AQ$7)*($E$2:$E$501&gt;=$H73)*($E$2:$E$501&lt;$H72)," ")))</f>
        <v xml:space="preserve"> </v>
      </c>
      <c r="AR72" t="str" cm="1">
        <f t="array" ref="AR72">_xlfn.TEXTJOIN(",",TRUE,(_xlfn._xlws.FILTER($A$2:$A$501,($D$2:$D$501&gt;=AS$7)*($D$2:$D$501&lt;AR$7)*($E$2:$E$501&gt;=$H73)*($E$2:$E$501&lt;$H72)," ")))</f>
        <v xml:space="preserve"> </v>
      </c>
      <c r="AS72" t="str" cm="1">
        <f t="array" ref="AS72">_xlfn.TEXTJOIN(",",TRUE,(_xlfn._xlws.FILTER($A$2:$A$501,($D$2:$D$501&gt;=AT$7)*($D$2:$D$501&lt;AS$7)*($E$2:$E$501&gt;=$H73)*($E$2:$E$501&lt;$H72)," ")))</f>
        <v xml:space="preserve"> </v>
      </c>
      <c r="AT72" t="str" cm="1">
        <f t="array" ref="AT72">_xlfn.TEXTJOIN(",",TRUE,(_xlfn._xlws.FILTER($A$2:$A$501,($D$2:$D$501&gt;=AU$7)*($D$2:$D$501&lt;AT$7)*($E$2:$E$501&gt;=$H73)*($E$2:$E$501&lt;$H72)," ")))</f>
        <v xml:space="preserve"> </v>
      </c>
      <c r="AU72" t="str" cm="1">
        <f t="array" ref="AU72">_xlfn.TEXTJOIN(",",TRUE,(_xlfn._xlws.FILTER($A$2:$A$501,($D$2:$D$501&gt;=AV$7)*($D$2:$D$501&lt;AU$7)*($E$2:$E$501&gt;=$H73)*($E$2:$E$501&lt;$H72)," ")))</f>
        <v xml:space="preserve"> </v>
      </c>
      <c r="AV72" t="str" cm="1">
        <f t="array" ref="AV72">_xlfn.TEXTJOIN(",",TRUE,(_xlfn._xlws.FILTER($A$2:$A$501,($D$2:$D$501&gt;=AW$7)*($D$2:$D$501&lt;AV$7)*($E$2:$E$501&gt;=$H73)*($E$2:$E$501&lt;$H72)," ")))</f>
        <v xml:space="preserve"> </v>
      </c>
      <c r="AW72" t="str" cm="1">
        <f t="array" ref="AW72">_xlfn.TEXTJOIN(",",TRUE,(_xlfn._xlws.FILTER($A$2:$A$501,($D$2:$D$501&gt;=AX$7)*($D$2:$D$501&lt;AW$7)*($E$2:$E$501&gt;=$H73)*($E$2:$E$501&lt;$H72)," ")))</f>
        <v xml:space="preserve"> </v>
      </c>
      <c r="AX72" t="str" cm="1">
        <f t="array" ref="AX72">_xlfn.TEXTJOIN(",",TRUE,(_xlfn._xlws.FILTER($A$2:$A$501,($D$2:$D$501&gt;=AY$7)*($D$2:$D$501&lt;AX$7)*($E$2:$E$501&gt;=$H73)*($E$2:$E$501&lt;$H72)," ")))</f>
        <v xml:space="preserve"> </v>
      </c>
      <c r="AY72" t="str" cm="1">
        <f t="array" ref="AY72">_xlfn.TEXTJOIN(",",TRUE,(_xlfn._xlws.FILTER($A$2:$A$501,($D$2:$D$501&gt;=AZ$7)*($D$2:$D$501&lt;AY$7)*($E$2:$E$501&gt;=$H73)*($E$2:$E$501&lt;$H72)," ")))</f>
        <v xml:space="preserve"> </v>
      </c>
      <c r="AZ72" t="str" cm="1">
        <f t="array" ref="AZ72">_xlfn.TEXTJOIN(",",TRUE,(_xlfn._xlws.FILTER($A$2:$A$501,($D$2:$D$501&gt;=BA$7)*($D$2:$D$501&lt;AZ$7)*($E$2:$E$501&gt;=$H73)*($E$2:$E$501&lt;$H72)," ")))</f>
        <v xml:space="preserve"> </v>
      </c>
      <c r="BA72" t="str" cm="1">
        <f t="array" ref="BA72">_xlfn.TEXTJOIN(",",TRUE,(_xlfn._xlws.FILTER($A$2:$A$501,($D$2:$D$501&gt;=BB$7)*($D$2:$D$501&lt;BA$7)*($E$2:$E$501&gt;=$H73)*($E$2:$E$501&lt;$H72)," ")))</f>
        <v xml:space="preserve"> </v>
      </c>
      <c r="BB72" t="str" cm="1">
        <f t="array" ref="BB72">_xlfn.TEXTJOIN(",",TRUE,(_xlfn._xlws.FILTER($A$2:$A$501,($D$2:$D$501&gt;=BC$7)*($D$2:$D$501&lt;BB$7)*($E$2:$E$501&gt;=$H73)*($E$2:$E$501&lt;$H72)," ")))</f>
        <v xml:space="preserve"> </v>
      </c>
    </row>
    <row r="73" spans="1:54" x14ac:dyDescent="0.2">
      <c r="A73" s="3" t="s">
        <v>365</v>
      </c>
      <c r="B73" s="3" t="s">
        <v>359</v>
      </c>
      <c r="C73" s="13">
        <v>1050290.54</v>
      </c>
      <c r="D73" s="15">
        <v>21740017.399999999</v>
      </c>
      <c r="E73" s="22">
        <f>TuitionRates3[[#This Row],[Tuition]]/D73</f>
        <v>4.8311393715811841E-2</v>
      </c>
      <c r="F73"/>
      <c r="H73" s="18">
        <v>8.4999999999999895E-2</v>
      </c>
      <c r="I73" t="str" cm="1">
        <f t="array" ref="I73">_xlfn.TEXTJOIN(",",TRUE,(_xlfn._xlws.FILTER($A$2:$A$501,($D$2:$D$501&gt;=J$7)*($D$2:$D$501&lt;I$7)*($E$2:$E$501&gt;=$H74)*($E$2:$E$501&lt;$H73)," ")))</f>
        <v xml:space="preserve"> </v>
      </c>
      <c r="J73" t="str" cm="1">
        <f t="array" ref="J73">_xlfn.TEXTJOIN(",",TRUE,(_xlfn._xlws.FILTER($A$2:$A$501,($D$2:$D$501&gt;=K$7)*($D$2:$D$501&lt;J$7)*($E$2:$E$501&gt;=$H74)*($E$2:$E$501&lt;$H73)," ")))</f>
        <v xml:space="preserve"> </v>
      </c>
      <c r="K73" t="str" cm="1">
        <f t="array" ref="K73">_xlfn.TEXTJOIN(",",TRUE,(_xlfn._xlws.FILTER($A$2:$A$501,($D$2:$D$501&gt;=L$7)*($D$2:$D$501&lt;K$7)*($E$2:$E$501&gt;=$H74)*($E$2:$E$501&lt;$H73)," ")))</f>
        <v xml:space="preserve"> </v>
      </c>
      <c r="L73" t="str" cm="1">
        <f t="array" ref="L73">_xlfn.TEXTJOIN(",",TRUE,(_xlfn._xlws.FILTER($A$2:$A$501,($D$2:$D$501&gt;=M$7)*($D$2:$D$501&lt;L$7)*($E$2:$E$501&gt;=$H74)*($E$2:$E$501&lt;$H73)," ")))</f>
        <v xml:space="preserve"> </v>
      </c>
      <c r="M73" t="str" cm="1">
        <f t="array" ref="M73">_xlfn.TEXTJOIN(",",TRUE,(_xlfn._xlws.FILTER($A$2:$A$501,($D$2:$D$501&gt;=N$7)*($D$2:$D$501&lt;M$7)*($E$2:$E$501&gt;=$H74)*($E$2:$E$501&lt;$H73)," ")))</f>
        <v xml:space="preserve"> </v>
      </c>
      <c r="N73" t="str" cm="1">
        <f t="array" ref="N73">_xlfn.TEXTJOIN(",",TRUE,(_xlfn._xlws.FILTER($A$2:$A$501,($D$2:$D$501&gt;=O$7)*($D$2:$D$501&lt;N$7)*($E$2:$E$501&gt;=$H74)*($E$2:$E$501&lt;$H73)," ")))</f>
        <v xml:space="preserve"> </v>
      </c>
      <c r="O73" t="str" cm="1">
        <f t="array" ref="O73">_xlfn.TEXTJOIN(",",TRUE,(_xlfn._xlws.FILTER($A$2:$A$501,($D$2:$D$501&gt;=P$7)*($D$2:$D$501&lt;O$7)*($E$2:$E$501&gt;=$H74)*($E$2:$E$501&lt;$H73)," ")))</f>
        <v xml:space="preserve"> </v>
      </c>
      <c r="P73" t="str" cm="1">
        <f t="array" ref="P73">_xlfn.TEXTJOIN(",",TRUE,(_xlfn._xlws.FILTER($A$2:$A$501,($D$2:$D$501&gt;=Q$7)*($D$2:$D$501&lt;P$7)*($E$2:$E$501&gt;=$H74)*($E$2:$E$501&lt;$H73)," ")))</f>
        <v xml:space="preserve"> </v>
      </c>
      <c r="Q73" t="str" cm="1">
        <f t="array" ref="Q73">_xlfn.TEXTJOIN(",",TRUE,(_xlfn._xlws.FILTER($A$2:$A$501,($D$2:$D$501&gt;=R$7)*($D$2:$D$501&lt;Q$7)*($E$2:$E$501&gt;=$H74)*($E$2:$E$501&lt;$H73)," ")))</f>
        <v xml:space="preserve"> </v>
      </c>
      <c r="R73" t="str" cm="1">
        <f t="array" ref="R73">_xlfn.TEXTJOIN(",",TRUE,(_xlfn._xlws.FILTER($A$2:$A$501,($D$2:$D$501&gt;=S$7)*($D$2:$D$501&lt;R$7)*($E$2:$E$501&gt;=$H74)*($E$2:$E$501&lt;$H73)," ")))</f>
        <v xml:space="preserve"> </v>
      </c>
      <c r="S73" t="str" cm="1">
        <f t="array" ref="S73">_xlfn.TEXTJOIN(",",TRUE,(_xlfn._xlws.FILTER($A$2:$A$501,($D$2:$D$501&gt;=T$7)*($D$2:$D$501&lt;S$7)*($E$2:$E$501&gt;=$H74)*($E$2:$E$501&lt;$H73)," ")))</f>
        <v xml:space="preserve"> </v>
      </c>
      <c r="T73" t="str" cm="1">
        <f t="array" ref="T73">_xlfn.TEXTJOIN(",",TRUE,(_xlfn._xlws.FILTER($A$2:$A$501,($D$2:$D$501&gt;=U$7)*($D$2:$D$501&lt;T$7)*($E$2:$E$501&gt;=$H74)*($E$2:$E$501&lt;$H73)," ")))</f>
        <v xml:space="preserve"> </v>
      </c>
      <c r="U73" t="str" cm="1">
        <f t="array" ref="U73">_xlfn.TEXTJOIN(",",TRUE,(_xlfn._xlws.FILTER($A$2:$A$501,($D$2:$D$501&gt;=V$7)*($D$2:$D$501&lt;U$7)*($E$2:$E$501&gt;=$H74)*($E$2:$E$501&lt;$H73)," ")))</f>
        <v xml:space="preserve"> </v>
      </c>
      <c r="V73" t="str" cm="1">
        <f t="array" ref="V73">_xlfn.TEXTJOIN(",",TRUE,(_xlfn._xlws.FILTER($A$2:$A$501,($D$2:$D$501&gt;=W$7)*($D$2:$D$501&lt;V$7)*($E$2:$E$501&gt;=$H74)*($E$2:$E$501&lt;$H73)," ")))</f>
        <v xml:space="preserve"> </v>
      </c>
      <c r="W73" t="str" cm="1">
        <f t="array" ref="W73">_xlfn.TEXTJOIN(",",TRUE,(_xlfn._xlws.FILTER($A$2:$A$501,($D$2:$D$501&gt;=X$7)*($D$2:$D$501&lt;W$7)*($E$2:$E$501&gt;=$H74)*($E$2:$E$501&lt;$H73)," ")))</f>
        <v xml:space="preserve"> </v>
      </c>
      <c r="X73" t="str" cm="1">
        <f t="array" ref="X73">_xlfn.TEXTJOIN(",",TRUE,(_xlfn._xlws.FILTER($A$2:$A$501,($D$2:$D$501&gt;=Y$7)*($D$2:$D$501&lt;X$7)*($E$2:$E$501&gt;=$H74)*($E$2:$E$501&lt;$H73)," ")))</f>
        <v xml:space="preserve"> </v>
      </c>
      <c r="Y73" t="str" cm="1">
        <f t="array" ref="Y73">_xlfn.TEXTJOIN(",",TRUE,(_xlfn._xlws.FILTER($A$2:$A$501,($D$2:$D$501&gt;=Z$7)*($D$2:$D$501&lt;Y$7)*($E$2:$E$501&gt;=$H74)*($E$2:$E$501&lt;$H73)," ")))</f>
        <v xml:space="preserve"> </v>
      </c>
      <c r="Z73" t="str" cm="1">
        <f t="array" ref="Z73">_xlfn.TEXTJOIN(",",TRUE,(_xlfn._xlws.FILTER($A$2:$A$501,($D$2:$D$501&gt;=AA$7)*($D$2:$D$501&lt;Z$7)*($E$2:$E$501&gt;=$H74)*($E$2:$E$501&lt;$H73)," ")))</f>
        <v xml:space="preserve"> </v>
      </c>
      <c r="AA73" t="str" cm="1">
        <f t="array" ref="AA73">_xlfn.TEXTJOIN(",",TRUE,(_xlfn._xlws.FILTER($A$2:$A$501,($D$2:$D$501&gt;=AB$7)*($D$2:$D$501&lt;AA$7)*($E$2:$E$501&gt;=$H74)*($E$2:$E$501&lt;$H73)," ")))</f>
        <v xml:space="preserve"> </v>
      </c>
      <c r="AB73" t="str" cm="1">
        <f t="array" ref="AB73">_xlfn.TEXTJOIN(",",TRUE,(_xlfn._xlws.FILTER($A$2:$A$501,($D$2:$D$501&gt;=AC$7)*($D$2:$D$501&lt;AB$7)*($E$2:$E$501&gt;=$H74)*($E$2:$E$501&lt;$H73)," ")))</f>
        <v xml:space="preserve"> </v>
      </c>
      <c r="AC73" t="str" cm="1">
        <f t="array" ref="AC73">_xlfn.TEXTJOIN(",",TRUE,(_xlfn._xlws.FILTER($A$2:$A$501,($D$2:$D$501&gt;=AD$7)*($D$2:$D$501&lt;AC$7)*($E$2:$E$501&gt;=$H74)*($E$2:$E$501&lt;$H73)," ")))</f>
        <v xml:space="preserve"> </v>
      </c>
      <c r="AD73" t="str" cm="1">
        <f t="array" ref="AD73">_xlfn.TEXTJOIN(",",TRUE,(_xlfn._xlws.FILTER($A$2:$A$501,($D$2:$D$501&gt;=AE$7)*($D$2:$D$501&lt;AD$7)*($E$2:$E$501&gt;=$H74)*($E$2:$E$501&lt;$H73)," ")))</f>
        <v xml:space="preserve"> </v>
      </c>
      <c r="AE73" t="str" cm="1">
        <f t="array" ref="AE73">_xlfn.TEXTJOIN(",",TRUE,(_xlfn._xlws.FILTER($A$2:$A$501,($D$2:$D$501&gt;=AF$7)*($D$2:$D$501&lt;AE$7)*($E$2:$E$501&gt;=$H74)*($E$2:$E$501&lt;$H73)," ")))</f>
        <v xml:space="preserve"> </v>
      </c>
      <c r="AF73" t="str" cm="1">
        <f t="array" ref="AF73">_xlfn.TEXTJOIN(",",TRUE,(_xlfn._xlws.FILTER($A$2:$A$501,($D$2:$D$501&gt;=AG$7)*($D$2:$D$501&lt;AF$7)*($E$2:$E$501&gt;=$H74)*($E$2:$E$501&lt;$H73)," ")))</f>
        <v xml:space="preserve"> </v>
      </c>
      <c r="AG73" t="str" cm="1">
        <f t="array" ref="AG73">_xlfn.TEXTJOIN(",",TRUE,(_xlfn._xlws.FILTER($A$2:$A$501,($D$2:$D$501&gt;=AH$7)*($D$2:$D$501&lt;AG$7)*($E$2:$E$501&gt;=$H74)*($E$2:$E$501&lt;$H73)," ")))</f>
        <v xml:space="preserve"> </v>
      </c>
      <c r="AH73" t="str" cm="1">
        <f t="array" ref="AH73">_xlfn.TEXTJOIN(",",TRUE,(_xlfn._xlws.FILTER($A$2:$A$501,($D$2:$D$501&gt;=AI$7)*($D$2:$D$501&lt;AH$7)*($E$2:$E$501&gt;=$H74)*($E$2:$E$501&lt;$H73)," ")))</f>
        <v xml:space="preserve"> </v>
      </c>
      <c r="AI73" t="str" cm="1">
        <f t="array" ref="AI73">_xlfn.TEXTJOIN(",",TRUE,(_xlfn._xlws.FILTER($A$2:$A$501,($D$2:$D$501&gt;=AJ$7)*($D$2:$D$501&lt;AI$7)*($E$2:$E$501&gt;=$H74)*($E$2:$E$501&lt;$H73)," ")))</f>
        <v xml:space="preserve"> </v>
      </c>
      <c r="AJ73" t="str" cm="1">
        <f t="array" ref="AJ73">_xlfn.TEXTJOIN(",",TRUE,(_xlfn._xlws.FILTER($A$2:$A$501,($D$2:$D$501&gt;=AK$7)*($D$2:$D$501&lt;AJ$7)*($E$2:$E$501&gt;=$H74)*($E$2:$E$501&lt;$H73)," ")))</f>
        <v xml:space="preserve"> </v>
      </c>
      <c r="AK73" t="str" cm="1">
        <f t="array" ref="AK73">_xlfn.TEXTJOIN(",",TRUE,(_xlfn._xlws.FILTER($A$2:$A$501,($D$2:$D$501&gt;=AL$7)*($D$2:$D$501&lt;AK$7)*($E$2:$E$501&gt;=$H74)*($E$2:$E$501&lt;$H73)," ")))</f>
        <v xml:space="preserve"> </v>
      </c>
      <c r="AL73" t="str" cm="1">
        <f t="array" ref="AL73">_xlfn.TEXTJOIN(",",TRUE,(_xlfn._xlws.FILTER($A$2:$A$501,($D$2:$D$501&gt;=AM$7)*($D$2:$D$501&lt;AL$7)*($E$2:$E$501&gt;=$H74)*($E$2:$E$501&lt;$H73)," ")))</f>
        <v xml:space="preserve"> </v>
      </c>
      <c r="AM73" t="str" cm="1">
        <f t="array" ref="AM73">_xlfn.TEXTJOIN(",",TRUE,(_xlfn._xlws.FILTER($A$2:$A$501,($D$2:$D$501&gt;=AN$7)*($D$2:$D$501&lt;AM$7)*($E$2:$E$501&gt;=$H74)*($E$2:$E$501&lt;$H73)," ")))</f>
        <v xml:space="preserve"> </v>
      </c>
      <c r="AN73" t="str" cm="1">
        <f t="array" ref="AN73">_xlfn.TEXTJOIN(",",TRUE,(_xlfn._xlws.FILTER($A$2:$A$501,($D$2:$D$501&gt;=AO$7)*($D$2:$D$501&lt;AN$7)*($E$2:$E$501&gt;=$H74)*($E$2:$E$501&lt;$H73)," ")))</f>
        <v xml:space="preserve"> </v>
      </c>
      <c r="AO73" t="str" cm="1">
        <f t="array" ref="AO73">_xlfn.TEXTJOIN(",",TRUE,(_xlfn._xlws.FILTER($A$2:$A$501,($D$2:$D$501&gt;=AP$7)*($D$2:$D$501&lt;AO$7)*($E$2:$E$501&gt;=$H74)*($E$2:$E$501&lt;$H73)," ")))</f>
        <v xml:space="preserve"> </v>
      </c>
      <c r="AP73" t="str" cm="1">
        <f t="array" ref="AP73">_xlfn.TEXTJOIN(",",TRUE,(_xlfn._xlws.FILTER($A$2:$A$501,($D$2:$D$501&gt;=AQ$7)*($D$2:$D$501&lt;AP$7)*($E$2:$E$501&gt;=$H74)*($E$2:$E$501&lt;$H73)," ")))</f>
        <v xml:space="preserve"> </v>
      </c>
      <c r="AQ73" t="str" cm="1">
        <f t="array" ref="AQ73">_xlfn.TEXTJOIN(",",TRUE,(_xlfn._xlws.FILTER($A$2:$A$501,($D$2:$D$501&gt;=AR$7)*($D$2:$D$501&lt;AQ$7)*($E$2:$E$501&gt;=$H74)*($E$2:$E$501&lt;$H73)," ")))</f>
        <v xml:space="preserve"> </v>
      </c>
      <c r="AR73" t="str" cm="1">
        <f t="array" ref="AR73">_xlfn.TEXTJOIN(",",TRUE,(_xlfn._xlws.FILTER($A$2:$A$501,($D$2:$D$501&gt;=AS$7)*($D$2:$D$501&lt;AR$7)*($E$2:$E$501&gt;=$H74)*($E$2:$E$501&lt;$H73)," ")))</f>
        <v xml:space="preserve"> </v>
      </c>
      <c r="AS73" t="str" cm="1">
        <f t="array" ref="AS73">_xlfn.TEXTJOIN(",",TRUE,(_xlfn._xlws.FILTER($A$2:$A$501,($D$2:$D$501&gt;=AT$7)*($D$2:$D$501&lt;AS$7)*($E$2:$E$501&gt;=$H74)*($E$2:$E$501&lt;$H73)," ")))</f>
        <v xml:space="preserve"> </v>
      </c>
      <c r="AT73" t="str" cm="1">
        <f t="array" ref="AT73">_xlfn.TEXTJOIN(",",TRUE,(_xlfn._xlws.FILTER($A$2:$A$501,($D$2:$D$501&gt;=AU$7)*($D$2:$D$501&lt;AT$7)*($E$2:$E$501&gt;=$H74)*($E$2:$E$501&lt;$H73)," ")))</f>
        <v xml:space="preserve"> </v>
      </c>
      <c r="AU73" t="str" cm="1">
        <f t="array" ref="AU73">_xlfn.TEXTJOIN(",",TRUE,(_xlfn._xlws.FILTER($A$2:$A$501,($D$2:$D$501&gt;=AV$7)*($D$2:$D$501&lt;AU$7)*($E$2:$E$501&gt;=$H74)*($E$2:$E$501&lt;$H73)," ")))</f>
        <v xml:space="preserve"> </v>
      </c>
      <c r="AV73" t="str" cm="1">
        <f t="array" ref="AV73">_xlfn.TEXTJOIN(",",TRUE,(_xlfn._xlws.FILTER($A$2:$A$501,($D$2:$D$501&gt;=AW$7)*($D$2:$D$501&lt;AV$7)*($E$2:$E$501&gt;=$H74)*($E$2:$E$501&lt;$H73)," ")))</f>
        <v xml:space="preserve"> </v>
      </c>
      <c r="AW73" t="str" cm="1">
        <f t="array" ref="AW73">_xlfn.TEXTJOIN(",",TRUE,(_xlfn._xlws.FILTER($A$2:$A$501,($D$2:$D$501&gt;=AX$7)*($D$2:$D$501&lt;AW$7)*($E$2:$E$501&gt;=$H74)*($E$2:$E$501&lt;$H73)," ")))</f>
        <v xml:space="preserve"> </v>
      </c>
      <c r="AX73" t="str" cm="1">
        <f t="array" ref="AX73">_xlfn.TEXTJOIN(",",TRUE,(_xlfn._xlws.FILTER($A$2:$A$501,($D$2:$D$501&gt;=AY$7)*($D$2:$D$501&lt;AX$7)*($E$2:$E$501&gt;=$H74)*($E$2:$E$501&lt;$H73)," ")))</f>
        <v xml:space="preserve"> </v>
      </c>
      <c r="AY73" t="str" cm="1">
        <f t="array" ref="AY73">_xlfn.TEXTJOIN(",",TRUE,(_xlfn._xlws.FILTER($A$2:$A$501,($D$2:$D$501&gt;=AZ$7)*($D$2:$D$501&lt;AY$7)*($E$2:$E$501&gt;=$H74)*($E$2:$E$501&lt;$H73)," ")))</f>
        <v xml:space="preserve"> </v>
      </c>
      <c r="AZ73" t="str" cm="1">
        <f t="array" ref="AZ73">_xlfn.TEXTJOIN(",",TRUE,(_xlfn._xlws.FILTER($A$2:$A$501,($D$2:$D$501&gt;=BA$7)*($D$2:$D$501&lt;AZ$7)*($E$2:$E$501&gt;=$H74)*($E$2:$E$501&lt;$H73)," ")))</f>
        <v xml:space="preserve"> </v>
      </c>
      <c r="BA73" t="str" cm="1">
        <f t="array" ref="BA73">_xlfn.TEXTJOIN(",",TRUE,(_xlfn._xlws.FILTER($A$2:$A$501,($D$2:$D$501&gt;=BB$7)*($D$2:$D$501&lt;BA$7)*($E$2:$E$501&gt;=$H74)*($E$2:$E$501&lt;$H73)," ")))</f>
        <v xml:space="preserve"> </v>
      </c>
      <c r="BB73" t="str" cm="1">
        <f t="array" ref="BB73">_xlfn.TEXTJOIN(",",TRUE,(_xlfn._xlws.FILTER($A$2:$A$501,($D$2:$D$501&gt;=BC$7)*($D$2:$D$501&lt;BB$7)*($E$2:$E$501&gt;=$H74)*($E$2:$E$501&lt;$H73)," ")))</f>
        <v xml:space="preserve"> </v>
      </c>
    </row>
    <row r="74" spans="1:54" x14ac:dyDescent="0.2">
      <c r="A74" s="3" t="s">
        <v>277</v>
      </c>
      <c r="B74" s="3" t="s">
        <v>276</v>
      </c>
      <c r="C74" s="13">
        <v>445843.13</v>
      </c>
      <c r="D74" s="15">
        <v>9233429.3499999996</v>
      </c>
      <c r="E74" s="22">
        <f>TuitionRates3[[#This Row],[Tuition]]/D74</f>
        <v>4.8285757447204598E-2</v>
      </c>
      <c r="F74"/>
      <c r="H74" s="18">
        <v>8.3999999999999894E-2</v>
      </c>
      <c r="I74" t="str" cm="1">
        <f t="array" ref="I74">_xlfn.TEXTJOIN(",",TRUE,(_xlfn._xlws.FILTER($A$2:$A$501,($D$2:$D$501&gt;=J$7)*($D$2:$D$501&lt;I$7)*($E$2:$E$501&gt;=$H75)*($E$2:$E$501&lt;$H74)," ")))</f>
        <v xml:space="preserve"> </v>
      </c>
      <c r="J74" t="str" cm="1">
        <f t="array" ref="J74">_xlfn.TEXTJOIN(",",TRUE,(_xlfn._xlws.FILTER($A$2:$A$501,($D$2:$D$501&gt;=K$7)*($D$2:$D$501&lt;J$7)*($E$2:$E$501&gt;=$H75)*($E$2:$E$501&lt;$H74)," ")))</f>
        <v xml:space="preserve"> </v>
      </c>
      <c r="K74" t="str" cm="1">
        <f t="array" ref="K74">_xlfn.TEXTJOIN(",",TRUE,(_xlfn._xlws.FILTER($A$2:$A$501,($D$2:$D$501&gt;=L$7)*($D$2:$D$501&lt;K$7)*($E$2:$E$501&gt;=$H75)*($E$2:$E$501&lt;$H74)," ")))</f>
        <v xml:space="preserve"> </v>
      </c>
      <c r="L74" t="str" cm="1">
        <f t="array" ref="L74">_xlfn.TEXTJOIN(",",TRUE,(_xlfn._xlws.FILTER($A$2:$A$501,($D$2:$D$501&gt;=M$7)*($D$2:$D$501&lt;L$7)*($E$2:$E$501&gt;=$H75)*($E$2:$E$501&lt;$H74)," ")))</f>
        <v xml:space="preserve"> </v>
      </c>
      <c r="M74" t="str" cm="1">
        <f t="array" ref="M74">_xlfn.TEXTJOIN(",",TRUE,(_xlfn._xlws.FILTER($A$2:$A$501,($D$2:$D$501&gt;=N$7)*($D$2:$D$501&lt;M$7)*($E$2:$E$501&gt;=$H75)*($E$2:$E$501&lt;$H74)," ")))</f>
        <v xml:space="preserve"> </v>
      </c>
      <c r="N74" t="str" cm="1">
        <f t="array" ref="N74">_xlfn.TEXTJOIN(",",TRUE,(_xlfn._xlws.FILTER($A$2:$A$501,($D$2:$D$501&gt;=O$7)*($D$2:$D$501&lt;N$7)*($E$2:$E$501&gt;=$H75)*($E$2:$E$501&lt;$H74)," ")))</f>
        <v xml:space="preserve"> </v>
      </c>
      <c r="O74" t="str" cm="1">
        <f t="array" ref="O74">_xlfn.TEXTJOIN(",",TRUE,(_xlfn._xlws.FILTER($A$2:$A$501,($D$2:$D$501&gt;=P$7)*($D$2:$D$501&lt;O$7)*($E$2:$E$501&gt;=$H75)*($E$2:$E$501&lt;$H74)," ")))</f>
        <v xml:space="preserve"> </v>
      </c>
      <c r="P74" t="str" cm="1">
        <f t="array" ref="P74">_xlfn.TEXTJOIN(",",TRUE,(_xlfn._xlws.FILTER($A$2:$A$501,($D$2:$D$501&gt;=Q$7)*($D$2:$D$501&lt;P$7)*($E$2:$E$501&gt;=$H75)*($E$2:$E$501&lt;$H74)," ")))</f>
        <v xml:space="preserve"> </v>
      </c>
      <c r="Q74" t="str" cm="1">
        <f t="array" ref="Q74">_xlfn.TEXTJOIN(",",TRUE,(_xlfn._xlws.FILTER($A$2:$A$501,($D$2:$D$501&gt;=R$7)*($D$2:$D$501&lt;Q$7)*($E$2:$E$501&gt;=$H75)*($E$2:$E$501&lt;$H74)," ")))</f>
        <v xml:space="preserve"> </v>
      </c>
      <c r="R74" t="str" cm="1">
        <f t="array" ref="R74">_xlfn.TEXTJOIN(",",TRUE,(_xlfn._xlws.FILTER($A$2:$A$501,($D$2:$D$501&gt;=S$7)*($D$2:$D$501&lt;R$7)*($E$2:$E$501&gt;=$H75)*($E$2:$E$501&lt;$H74)," ")))</f>
        <v xml:space="preserve"> </v>
      </c>
      <c r="S74" t="str" cm="1">
        <f t="array" ref="S74">_xlfn.TEXTJOIN(",",TRUE,(_xlfn._xlws.FILTER($A$2:$A$501,($D$2:$D$501&gt;=T$7)*($D$2:$D$501&lt;S$7)*($E$2:$E$501&gt;=$H75)*($E$2:$E$501&lt;$H74)," ")))</f>
        <v xml:space="preserve"> </v>
      </c>
      <c r="T74" t="str" cm="1">
        <f t="array" ref="T74">_xlfn.TEXTJOIN(",",TRUE,(_xlfn._xlws.FILTER($A$2:$A$501,($D$2:$D$501&gt;=U$7)*($D$2:$D$501&lt;T$7)*($E$2:$E$501&gt;=$H75)*($E$2:$E$501&lt;$H74)," ")))</f>
        <v xml:space="preserve"> </v>
      </c>
      <c r="U74" t="str" cm="1">
        <f t="array" ref="U74">_xlfn.TEXTJOIN(",",TRUE,(_xlfn._xlws.FILTER($A$2:$A$501,($D$2:$D$501&gt;=V$7)*($D$2:$D$501&lt;U$7)*($E$2:$E$501&gt;=$H75)*($E$2:$E$501&lt;$H74)," ")))</f>
        <v xml:space="preserve"> </v>
      </c>
      <c r="V74" t="str" cm="1">
        <f t="array" ref="V74">_xlfn.TEXTJOIN(",",TRUE,(_xlfn._xlws.FILTER($A$2:$A$501,($D$2:$D$501&gt;=W$7)*($D$2:$D$501&lt;V$7)*($E$2:$E$501&gt;=$H75)*($E$2:$E$501&lt;$H74)," ")))</f>
        <v xml:space="preserve"> </v>
      </c>
      <c r="W74" t="str" cm="1">
        <f t="array" ref="W74">_xlfn.TEXTJOIN(",",TRUE,(_xlfn._xlws.FILTER($A$2:$A$501,($D$2:$D$501&gt;=X$7)*($D$2:$D$501&lt;W$7)*($E$2:$E$501&gt;=$H75)*($E$2:$E$501&lt;$H74)," ")))</f>
        <v xml:space="preserve"> </v>
      </c>
      <c r="X74" t="str" cm="1">
        <f t="array" ref="X74">_xlfn.TEXTJOIN(",",TRUE,(_xlfn._xlws.FILTER($A$2:$A$501,($D$2:$D$501&gt;=Y$7)*($D$2:$D$501&lt;X$7)*($E$2:$E$501&gt;=$H75)*($E$2:$E$501&lt;$H74)," ")))</f>
        <v xml:space="preserve"> </v>
      </c>
      <c r="Y74" t="str" cm="1">
        <f t="array" ref="Y74">_xlfn.TEXTJOIN(",",TRUE,(_xlfn._xlws.FILTER($A$2:$A$501,($D$2:$D$501&gt;=Z$7)*($D$2:$D$501&lt;Y$7)*($E$2:$E$501&gt;=$H75)*($E$2:$E$501&lt;$H74)," ")))</f>
        <v xml:space="preserve"> </v>
      </c>
      <c r="Z74" t="str" cm="1">
        <f t="array" ref="Z74">_xlfn.TEXTJOIN(",",TRUE,(_xlfn._xlws.FILTER($A$2:$A$501,($D$2:$D$501&gt;=AA$7)*($D$2:$D$501&lt;Z$7)*($E$2:$E$501&gt;=$H75)*($E$2:$E$501&lt;$H74)," ")))</f>
        <v xml:space="preserve"> </v>
      </c>
      <c r="AA74" t="str" cm="1">
        <f t="array" ref="AA74">_xlfn.TEXTJOIN(",",TRUE,(_xlfn._xlws.FILTER($A$2:$A$501,($D$2:$D$501&gt;=AB$7)*($D$2:$D$501&lt;AA$7)*($E$2:$E$501&gt;=$H75)*($E$2:$E$501&lt;$H74)," ")))</f>
        <v xml:space="preserve"> </v>
      </c>
      <c r="AB74" t="str" cm="1">
        <f t="array" ref="AB74">_xlfn.TEXTJOIN(",",TRUE,(_xlfn._xlws.FILTER($A$2:$A$501,($D$2:$D$501&gt;=AC$7)*($D$2:$D$501&lt;AB$7)*($E$2:$E$501&gt;=$H75)*($E$2:$E$501&lt;$H74)," ")))</f>
        <v xml:space="preserve"> </v>
      </c>
      <c r="AC74" t="str" cm="1">
        <f t="array" ref="AC74">_xlfn.TEXTJOIN(",",TRUE,(_xlfn._xlws.FILTER($A$2:$A$501,($D$2:$D$501&gt;=AD$7)*($D$2:$D$501&lt;AC$7)*($E$2:$E$501&gt;=$H75)*($E$2:$E$501&lt;$H74)," ")))</f>
        <v xml:space="preserve"> </v>
      </c>
      <c r="AD74" t="str" cm="1">
        <f t="array" ref="AD74">_xlfn.TEXTJOIN(",",TRUE,(_xlfn._xlws.FILTER($A$2:$A$501,($D$2:$D$501&gt;=AE$7)*($D$2:$D$501&lt;AD$7)*($E$2:$E$501&gt;=$H75)*($E$2:$E$501&lt;$H74)," ")))</f>
        <v xml:space="preserve"> </v>
      </c>
      <c r="AE74" t="str" cm="1">
        <f t="array" ref="AE74">_xlfn.TEXTJOIN(",",TRUE,(_xlfn._xlws.FILTER($A$2:$A$501,($D$2:$D$501&gt;=AF$7)*($D$2:$D$501&lt;AE$7)*($E$2:$E$501&gt;=$H75)*($E$2:$E$501&lt;$H74)," ")))</f>
        <v xml:space="preserve"> </v>
      </c>
      <c r="AF74" t="str" cm="1">
        <f t="array" ref="AF74">_xlfn.TEXTJOIN(",",TRUE,(_xlfn._xlws.FILTER($A$2:$A$501,($D$2:$D$501&gt;=AG$7)*($D$2:$D$501&lt;AF$7)*($E$2:$E$501&gt;=$H75)*($E$2:$E$501&lt;$H74)," ")))</f>
        <v xml:space="preserve"> </v>
      </c>
      <c r="AG74" t="str" cm="1">
        <f t="array" ref="AG74">_xlfn.TEXTJOIN(",",TRUE,(_xlfn._xlws.FILTER($A$2:$A$501,($D$2:$D$501&gt;=AH$7)*($D$2:$D$501&lt;AG$7)*($E$2:$E$501&gt;=$H75)*($E$2:$E$501&lt;$H74)," ")))</f>
        <v xml:space="preserve"> </v>
      </c>
      <c r="AH74" t="str" cm="1">
        <f t="array" ref="AH74">_xlfn.TEXTJOIN(",",TRUE,(_xlfn._xlws.FILTER($A$2:$A$501,($D$2:$D$501&gt;=AI$7)*($D$2:$D$501&lt;AH$7)*($E$2:$E$501&gt;=$H75)*($E$2:$E$501&lt;$H74)," ")))</f>
        <v xml:space="preserve"> </v>
      </c>
      <c r="AI74" t="str" cm="1">
        <f t="array" ref="AI74">_xlfn.TEXTJOIN(",",TRUE,(_xlfn._xlws.FILTER($A$2:$A$501,($D$2:$D$501&gt;=AJ$7)*($D$2:$D$501&lt;AI$7)*($E$2:$E$501&gt;=$H75)*($E$2:$E$501&lt;$H74)," ")))</f>
        <v xml:space="preserve"> </v>
      </c>
      <c r="AJ74" t="str" cm="1">
        <f t="array" ref="AJ74">_xlfn.TEXTJOIN(",",TRUE,(_xlfn._xlws.FILTER($A$2:$A$501,($D$2:$D$501&gt;=AK$7)*($D$2:$D$501&lt;AJ$7)*($E$2:$E$501&gt;=$H75)*($E$2:$E$501&lt;$H74)," ")))</f>
        <v xml:space="preserve"> </v>
      </c>
      <c r="AK74" t="str" cm="1">
        <f t="array" ref="AK74">_xlfn.TEXTJOIN(",",TRUE,(_xlfn._xlws.FILTER($A$2:$A$501,($D$2:$D$501&gt;=AL$7)*($D$2:$D$501&lt;AK$7)*($E$2:$E$501&gt;=$H75)*($E$2:$E$501&lt;$H74)," ")))</f>
        <v xml:space="preserve"> </v>
      </c>
      <c r="AL74" t="str" cm="1">
        <f t="array" ref="AL74">_xlfn.TEXTJOIN(",",TRUE,(_xlfn._xlws.FILTER($A$2:$A$501,($D$2:$D$501&gt;=AM$7)*($D$2:$D$501&lt;AL$7)*($E$2:$E$501&gt;=$H75)*($E$2:$E$501&lt;$H74)," ")))</f>
        <v xml:space="preserve"> </v>
      </c>
      <c r="AM74" t="str" cm="1">
        <f t="array" ref="AM74">_xlfn.TEXTJOIN(",",TRUE,(_xlfn._xlws.FILTER($A$2:$A$501,($D$2:$D$501&gt;=AN$7)*($D$2:$D$501&lt;AM$7)*($E$2:$E$501&gt;=$H75)*($E$2:$E$501&lt;$H74)," ")))</f>
        <v xml:space="preserve"> </v>
      </c>
      <c r="AN74" t="str" cm="1">
        <f t="array" ref="AN74">_xlfn.TEXTJOIN(",",TRUE,(_xlfn._xlws.FILTER($A$2:$A$501,($D$2:$D$501&gt;=AO$7)*($D$2:$D$501&lt;AN$7)*($E$2:$E$501&gt;=$H75)*($E$2:$E$501&lt;$H74)," ")))</f>
        <v xml:space="preserve"> </v>
      </c>
      <c r="AO74" t="str" cm="1">
        <f t="array" ref="AO74">_xlfn.TEXTJOIN(",",TRUE,(_xlfn._xlws.FILTER($A$2:$A$501,($D$2:$D$501&gt;=AP$7)*($D$2:$D$501&lt;AO$7)*($E$2:$E$501&gt;=$H75)*($E$2:$E$501&lt;$H74)," ")))</f>
        <v xml:space="preserve"> </v>
      </c>
      <c r="AP74" t="str" cm="1">
        <f t="array" ref="AP74">_xlfn.TEXTJOIN(",",TRUE,(_xlfn._xlws.FILTER($A$2:$A$501,($D$2:$D$501&gt;=AQ$7)*($D$2:$D$501&lt;AP$7)*($E$2:$E$501&gt;=$H75)*($E$2:$E$501&lt;$H74)," ")))</f>
        <v xml:space="preserve"> </v>
      </c>
      <c r="AQ74" t="str" cm="1">
        <f t="array" ref="AQ74">_xlfn.TEXTJOIN(",",TRUE,(_xlfn._xlws.FILTER($A$2:$A$501,($D$2:$D$501&gt;=AR$7)*($D$2:$D$501&lt;AQ$7)*($E$2:$E$501&gt;=$H75)*($E$2:$E$501&lt;$H74)," ")))</f>
        <v xml:space="preserve"> </v>
      </c>
      <c r="AR74" t="str" cm="1">
        <f t="array" ref="AR74">_xlfn.TEXTJOIN(",",TRUE,(_xlfn._xlws.FILTER($A$2:$A$501,($D$2:$D$501&gt;=AS$7)*($D$2:$D$501&lt;AR$7)*($E$2:$E$501&gt;=$H75)*($E$2:$E$501&lt;$H74)," ")))</f>
        <v xml:space="preserve"> </v>
      </c>
      <c r="AS74" t="str" cm="1">
        <f t="array" ref="AS74">_xlfn.TEXTJOIN(",",TRUE,(_xlfn._xlws.FILTER($A$2:$A$501,($D$2:$D$501&gt;=AT$7)*($D$2:$D$501&lt;AS$7)*($E$2:$E$501&gt;=$H75)*($E$2:$E$501&lt;$H74)," ")))</f>
        <v xml:space="preserve"> </v>
      </c>
      <c r="AT74" t="str" cm="1">
        <f t="array" ref="AT74">_xlfn.TEXTJOIN(",",TRUE,(_xlfn._xlws.FILTER($A$2:$A$501,($D$2:$D$501&gt;=AU$7)*($D$2:$D$501&lt;AT$7)*($E$2:$E$501&gt;=$H75)*($E$2:$E$501&lt;$H74)," ")))</f>
        <v xml:space="preserve"> </v>
      </c>
      <c r="AU74" t="str" cm="1">
        <f t="array" ref="AU74">_xlfn.TEXTJOIN(",",TRUE,(_xlfn._xlws.FILTER($A$2:$A$501,($D$2:$D$501&gt;=AV$7)*($D$2:$D$501&lt;AU$7)*($E$2:$E$501&gt;=$H75)*($E$2:$E$501&lt;$H74)," ")))</f>
        <v xml:space="preserve"> </v>
      </c>
      <c r="AV74" t="str" cm="1">
        <f t="array" ref="AV74">_xlfn.TEXTJOIN(",",TRUE,(_xlfn._xlws.FILTER($A$2:$A$501,($D$2:$D$501&gt;=AW$7)*($D$2:$D$501&lt;AV$7)*($E$2:$E$501&gt;=$H75)*($E$2:$E$501&lt;$H74)," ")))</f>
        <v xml:space="preserve"> </v>
      </c>
      <c r="AW74" t="str" cm="1">
        <f t="array" ref="AW74">_xlfn.TEXTJOIN(",",TRUE,(_xlfn._xlws.FILTER($A$2:$A$501,($D$2:$D$501&gt;=AX$7)*($D$2:$D$501&lt;AW$7)*($E$2:$E$501&gt;=$H75)*($E$2:$E$501&lt;$H74)," ")))</f>
        <v xml:space="preserve"> </v>
      </c>
      <c r="AX74" t="str" cm="1">
        <f t="array" ref="AX74">_xlfn.TEXTJOIN(",",TRUE,(_xlfn._xlws.FILTER($A$2:$A$501,($D$2:$D$501&gt;=AY$7)*($D$2:$D$501&lt;AX$7)*($E$2:$E$501&gt;=$H75)*($E$2:$E$501&lt;$H74)," ")))</f>
        <v xml:space="preserve"> </v>
      </c>
      <c r="AY74" t="str" cm="1">
        <f t="array" ref="AY74">_xlfn.TEXTJOIN(",",TRUE,(_xlfn._xlws.FILTER($A$2:$A$501,($D$2:$D$501&gt;=AZ$7)*($D$2:$D$501&lt;AY$7)*($E$2:$E$501&gt;=$H75)*($E$2:$E$501&lt;$H74)," ")))</f>
        <v xml:space="preserve"> </v>
      </c>
      <c r="AZ74" t="str" cm="1">
        <f t="array" ref="AZ74">_xlfn.TEXTJOIN(",",TRUE,(_xlfn._xlws.FILTER($A$2:$A$501,($D$2:$D$501&gt;=BA$7)*($D$2:$D$501&lt;AZ$7)*($E$2:$E$501&gt;=$H75)*($E$2:$E$501&lt;$H74)," ")))</f>
        <v xml:space="preserve"> </v>
      </c>
      <c r="BA74" t="str" cm="1">
        <f t="array" ref="BA74">_xlfn.TEXTJOIN(",",TRUE,(_xlfn._xlws.FILTER($A$2:$A$501,($D$2:$D$501&gt;=BB$7)*($D$2:$D$501&lt;BA$7)*($E$2:$E$501&gt;=$H75)*($E$2:$E$501&lt;$H74)," ")))</f>
        <v xml:space="preserve"> </v>
      </c>
      <c r="BB74" t="str" cm="1">
        <f t="array" ref="BB74">_xlfn.TEXTJOIN(",",TRUE,(_xlfn._xlws.FILTER($A$2:$A$501,($D$2:$D$501&gt;=BC$7)*($D$2:$D$501&lt;BB$7)*($E$2:$E$501&gt;=$H75)*($E$2:$E$501&lt;$H74)," ")))</f>
        <v xml:space="preserve"> </v>
      </c>
    </row>
    <row r="75" spans="1:54" x14ac:dyDescent="0.2">
      <c r="A75" s="3" t="s">
        <v>145</v>
      </c>
      <c r="B75" s="3" t="s">
        <v>138</v>
      </c>
      <c r="C75" s="13">
        <v>1096166.5</v>
      </c>
      <c r="D75" s="15">
        <v>22794211.27</v>
      </c>
      <c r="E75" s="22">
        <f>TuitionRates3[[#This Row],[Tuition]]/D75</f>
        <v>4.8089687641120121E-2</v>
      </c>
      <c r="F75"/>
      <c r="H75" s="18">
        <v>8.2999999999999893E-2</v>
      </c>
      <c r="I75" t="str" cm="1">
        <f t="array" ref="I75">_xlfn.TEXTJOIN(",",TRUE,(_xlfn._xlws.FILTER($A$2:$A$501,($D$2:$D$501&gt;=J$7)*($D$2:$D$501&lt;I$7)*($E$2:$E$501&gt;=$H76)*($E$2:$E$501&lt;$H75)," ")))</f>
        <v xml:space="preserve"> </v>
      </c>
      <c r="J75" t="str" cm="1">
        <f t="array" ref="J75">_xlfn.TEXTJOIN(",",TRUE,(_xlfn._xlws.FILTER($A$2:$A$501,($D$2:$D$501&gt;=K$7)*($D$2:$D$501&lt;J$7)*($E$2:$E$501&gt;=$H76)*($E$2:$E$501&lt;$H75)," ")))</f>
        <v xml:space="preserve"> </v>
      </c>
      <c r="K75" t="str" cm="1">
        <f t="array" ref="K75">_xlfn.TEXTJOIN(",",TRUE,(_xlfn._xlws.FILTER($A$2:$A$501,($D$2:$D$501&gt;=L$7)*($D$2:$D$501&lt;K$7)*($E$2:$E$501&gt;=$H76)*($E$2:$E$501&lt;$H75)," ")))</f>
        <v xml:space="preserve"> </v>
      </c>
      <c r="L75" t="str" cm="1">
        <f t="array" ref="L75">_xlfn.TEXTJOIN(",",TRUE,(_xlfn._xlws.FILTER($A$2:$A$501,($D$2:$D$501&gt;=M$7)*($D$2:$D$501&lt;L$7)*($E$2:$E$501&gt;=$H76)*($E$2:$E$501&lt;$H75)," ")))</f>
        <v xml:space="preserve"> </v>
      </c>
      <c r="M75" t="str" cm="1">
        <f t="array" ref="M75">_xlfn.TEXTJOIN(",",TRUE,(_xlfn._xlws.FILTER($A$2:$A$501,($D$2:$D$501&gt;=N$7)*($D$2:$D$501&lt;M$7)*($E$2:$E$501&gt;=$H76)*($E$2:$E$501&lt;$H75)," ")))</f>
        <v xml:space="preserve"> </v>
      </c>
      <c r="N75" t="str" cm="1">
        <f t="array" ref="N75">_xlfn.TEXTJOIN(",",TRUE,(_xlfn._xlws.FILTER($A$2:$A$501,($D$2:$D$501&gt;=O$7)*($D$2:$D$501&lt;N$7)*($E$2:$E$501&gt;=$H76)*($E$2:$E$501&lt;$H75)," ")))</f>
        <v xml:space="preserve"> </v>
      </c>
      <c r="O75" t="str" cm="1">
        <f t="array" ref="O75">_xlfn.TEXTJOIN(",",TRUE,(_xlfn._xlws.FILTER($A$2:$A$501,($D$2:$D$501&gt;=P$7)*($D$2:$D$501&lt;O$7)*($E$2:$E$501&gt;=$H76)*($E$2:$E$501&lt;$H75)," ")))</f>
        <v xml:space="preserve"> </v>
      </c>
      <c r="P75" t="str" cm="1">
        <f t="array" ref="P75">_xlfn.TEXTJOIN(",",TRUE,(_xlfn._xlws.FILTER($A$2:$A$501,($D$2:$D$501&gt;=Q$7)*($D$2:$D$501&lt;P$7)*($E$2:$E$501&gt;=$H76)*($E$2:$E$501&lt;$H75)," ")))</f>
        <v xml:space="preserve"> </v>
      </c>
      <c r="Q75" t="str" cm="1">
        <f t="array" ref="Q75">_xlfn.TEXTJOIN(",",TRUE,(_xlfn._xlws.FILTER($A$2:$A$501,($D$2:$D$501&gt;=R$7)*($D$2:$D$501&lt;Q$7)*($E$2:$E$501&gt;=$H76)*($E$2:$E$501&lt;$H75)," ")))</f>
        <v xml:space="preserve"> </v>
      </c>
      <c r="R75" t="str" cm="1">
        <f t="array" ref="R75">_xlfn.TEXTJOIN(",",TRUE,(_xlfn._xlws.FILTER($A$2:$A$501,($D$2:$D$501&gt;=S$7)*($D$2:$D$501&lt;R$7)*($E$2:$E$501&gt;=$H76)*($E$2:$E$501&lt;$H75)," ")))</f>
        <v xml:space="preserve"> </v>
      </c>
      <c r="S75" t="str" cm="1">
        <f t="array" ref="S75">_xlfn.TEXTJOIN(",",TRUE,(_xlfn._xlws.FILTER($A$2:$A$501,($D$2:$D$501&gt;=T$7)*($D$2:$D$501&lt;S$7)*($E$2:$E$501&gt;=$H76)*($E$2:$E$501&lt;$H75)," ")))</f>
        <v xml:space="preserve"> </v>
      </c>
      <c r="T75" t="str" cm="1">
        <f t="array" ref="T75">_xlfn.TEXTJOIN(",",TRUE,(_xlfn._xlws.FILTER($A$2:$A$501,($D$2:$D$501&gt;=U$7)*($D$2:$D$501&lt;T$7)*($E$2:$E$501&gt;=$H76)*($E$2:$E$501&lt;$H75)," ")))</f>
        <v xml:space="preserve"> </v>
      </c>
      <c r="U75" t="str" cm="1">
        <f t="array" ref="U75">_xlfn.TEXTJOIN(",",TRUE,(_xlfn._xlws.FILTER($A$2:$A$501,($D$2:$D$501&gt;=V$7)*($D$2:$D$501&lt;U$7)*($E$2:$E$501&gt;=$H76)*($E$2:$E$501&lt;$H75)," ")))</f>
        <v xml:space="preserve"> </v>
      </c>
      <c r="V75" t="str" cm="1">
        <f t="array" ref="V75">_xlfn.TEXTJOIN(",",TRUE,(_xlfn._xlws.FILTER($A$2:$A$501,($D$2:$D$501&gt;=W$7)*($D$2:$D$501&lt;V$7)*($E$2:$E$501&gt;=$H76)*($E$2:$E$501&lt;$H75)," ")))</f>
        <v xml:space="preserve"> </v>
      </c>
      <c r="W75" t="str" cm="1">
        <f t="array" ref="W75">_xlfn.TEXTJOIN(",",TRUE,(_xlfn._xlws.FILTER($A$2:$A$501,($D$2:$D$501&gt;=X$7)*($D$2:$D$501&lt;W$7)*($E$2:$E$501&gt;=$H76)*($E$2:$E$501&lt;$H75)," ")))</f>
        <v xml:space="preserve"> </v>
      </c>
      <c r="X75" t="str" cm="1">
        <f t="array" ref="X75">_xlfn.TEXTJOIN(",",TRUE,(_xlfn._xlws.FILTER($A$2:$A$501,($D$2:$D$501&gt;=Y$7)*($D$2:$D$501&lt;X$7)*($E$2:$E$501&gt;=$H76)*($E$2:$E$501&lt;$H75)," ")))</f>
        <v xml:space="preserve"> </v>
      </c>
      <c r="Y75" t="str" cm="1">
        <f t="array" ref="Y75">_xlfn.TEXTJOIN(",",TRUE,(_xlfn._xlws.FILTER($A$2:$A$501,($D$2:$D$501&gt;=Z$7)*($D$2:$D$501&lt;Y$7)*($E$2:$E$501&gt;=$H76)*($E$2:$E$501&lt;$H75)," ")))</f>
        <v xml:space="preserve"> </v>
      </c>
      <c r="Z75" t="str" cm="1">
        <f t="array" ref="Z75">_xlfn.TEXTJOIN(",",TRUE,(_xlfn._xlws.FILTER($A$2:$A$501,($D$2:$D$501&gt;=AA$7)*($D$2:$D$501&lt;Z$7)*($E$2:$E$501&gt;=$H76)*($E$2:$E$501&lt;$H75)," ")))</f>
        <v xml:space="preserve"> </v>
      </c>
      <c r="AA75" t="str" cm="1">
        <f t="array" ref="AA75">_xlfn.TEXTJOIN(",",TRUE,(_xlfn._xlws.FILTER($A$2:$A$501,($D$2:$D$501&gt;=AB$7)*($D$2:$D$501&lt;AA$7)*($E$2:$E$501&gt;=$H76)*($E$2:$E$501&lt;$H75)," ")))</f>
        <v xml:space="preserve"> </v>
      </c>
      <c r="AB75" t="str" cm="1">
        <f t="array" ref="AB75">_xlfn.TEXTJOIN(",",TRUE,(_xlfn._xlws.FILTER($A$2:$A$501,($D$2:$D$501&gt;=AC$7)*($D$2:$D$501&lt;AB$7)*($E$2:$E$501&gt;=$H76)*($E$2:$E$501&lt;$H75)," ")))</f>
        <v xml:space="preserve"> </v>
      </c>
      <c r="AC75" t="str" cm="1">
        <f t="array" ref="AC75">_xlfn.TEXTJOIN(",",TRUE,(_xlfn._xlws.FILTER($A$2:$A$501,($D$2:$D$501&gt;=AD$7)*($D$2:$D$501&lt;AC$7)*($E$2:$E$501&gt;=$H76)*($E$2:$E$501&lt;$H75)," ")))</f>
        <v xml:space="preserve"> </v>
      </c>
      <c r="AD75" t="str" cm="1">
        <f t="array" ref="AD75">_xlfn.TEXTJOIN(",",TRUE,(_xlfn._xlws.FILTER($A$2:$A$501,($D$2:$D$501&gt;=AE$7)*($D$2:$D$501&lt;AD$7)*($E$2:$E$501&gt;=$H76)*($E$2:$E$501&lt;$H75)," ")))</f>
        <v xml:space="preserve"> </v>
      </c>
      <c r="AE75" t="str" cm="1">
        <f t="array" ref="AE75">_xlfn.TEXTJOIN(",",TRUE,(_xlfn._xlws.FILTER($A$2:$A$501,($D$2:$D$501&gt;=AF$7)*($D$2:$D$501&lt;AE$7)*($E$2:$E$501&gt;=$H76)*($E$2:$E$501&lt;$H75)," ")))</f>
        <v xml:space="preserve"> </v>
      </c>
      <c r="AF75" t="str" cm="1">
        <f t="array" ref="AF75">_xlfn.TEXTJOIN(",",TRUE,(_xlfn._xlws.FILTER($A$2:$A$501,($D$2:$D$501&gt;=AG$7)*($D$2:$D$501&lt;AF$7)*($E$2:$E$501&gt;=$H76)*($E$2:$E$501&lt;$H75)," ")))</f>
        <v xml:space="preserve"> </v>
      </c>
      <c r="AG75" t="str" cm="1">
        <f t="array" ref="AG75">_xlfn.TEXTJOIN(",",TRUE,(_xlfn._xlws.FILTER($A$2:$A$501,($D$2:$D$501&gt;=AH$7)*($D$2:$D$501&lt;AG$7)*($E$2:$E$501&gt;=$H76)*($E$2:$E$501&lt;$H75)," ")))</f>
        <v xml:space="preserve"> </v>
      </c>
      <c r="AH75" t="str" cm="1">
        <f t="array" ref="AH75">_xlfn.TEXTJOIN(",",TRUE,(_xlfn._xlws.FILTER($A$2:$A$501,($D$2:$D$501&gt;=AI$7)*($D$2:$D$501&lt;AH$7)*($E$2:$E$501&gt;=$H76)*($E$2:$E$501&lt;$H75)," ")))</f>
        <v xml:space="preserve"> </v>
      </c>
      <c r="AI75" t="str" cm="1">
        <f t="array" ref="AI75">_xlfn.TEXTJOIN(",",TRUE,(_xlfn._xlws.FILTER($A$2:$A$501,($D$2:$D$501&gt;=AJ$7)*($D$2:$D$501&lt;AI$7)*($E$2:$E$501&gt;=$H76)*($E$2:$E$501&lt;$H75)," ")))</f>
        <v xml:space="preserve"> </v>
      </c>
      <c r="AJ75" t="str" cm="1">
        <f t="array" ref="AJ75">_xlfn.TEXTJOIN(",",TRUE,(_xlfn._xlws.FILTER($A$2:$A$501,($D$2:$D$501&gt;=AK$7)*($D$2:$D$501&lt;AJ$7)*($E$2:$E$501&gt;=$H76)*($E$2:$E$501&lt;$H75)," ")))</f>
        <v xml:space="preserve"> </v>
      </c>
      <c r="AK75" t="str" cm="1">
        <f t="array" ref="AK75">_xlfn.TEXTJOIN(",",TRUE,(_xlfn._xlws.FILTER($A$2:$A$501,($D$2:$D$501&gt;=AL$7)*($D$2:$D$501&lt;AK$7)*($E$2:$E$501&gt;=$H76)*($E$2:$E$501&lt;$H75)," ")))</f>
        <v xml:space="preserve"> </v>
      </c>
      <c r="AL75" t="str" cm="1">
        <f t="array" ref="AL75">_xlfn.TEXTJOIN(",",TRUE,(_xlfn._xlws.FILTER($A$2:$A$501,($D$2:$D$501&gt;=AM$7)*($D$2:$D$501&lt;AL$7)*($E$2:$E$501&gt;=$H76)*($E$2:$E$501&lt;$H75)," ")))</f>
        <v xml:space="preserve"> </v>
      </c>
      <c r="AM75" t="str" cm="1">
        <f t="array" ref="AM75">_xlfn.TEXTJOIN(",",TRUE,(_xlfn._xlws.FILTER($A$2:$A$501,($D$2:$D$501&gt;=AN$7)*($D$2:$D$501&lt;AM$7)*($E$2:$E$501&gt;=$H76)*($E$2:$E$501&lt;$H75)," ")))</f>
        <v xml:space="preserve"> </v>
      </c>
      <c r="AN75" t="str" cm="1">
        <f t="array" ref="AN75">_xlfn.TEXTJOIN(",",TRUE,(_xlfn._xlws.FILTER($A$2:$A$501,($D$2:$D$501&gt;=AO$7)*($D$2:$D$501&lt;AN$7)*($E$2:$E$501&gt;=$H76)*($E$2:$E$501&lt;$H75)," ")))</f>
        <v xml:space="preserve"> </v>
      </c>
      <c r="AO75" t="str" cm="1">
        <f t="array" ref="AO75">_xlfn.TEXTJOIN(",",TRUE,(_xlfn._xlws.FILTER($A$2:$A$501,($D$2:$D$501&gt;=AP$7)*($D$2:$D$501&lt;AO$7)*($E$2:$E$501&gt;=$H76)*($E$2:$E$501&lt;$H75)," ")))</f>
        <v xml:space="preserve"> </v>
      </c>
      <c r="AP75" t="str" cm="1">
        <f t="array" ref="AP75">_xlfn.TEXTJOIN(",",TRUE,(_xlfn._xlws.FILTER($A$2:$A$501,($D$2:$D$501&gt;=AQ$7)*($D$2:$D$501&lt;AP$7)*($E$2:$E$501&gt;=$H76)*($E$2:$E$501&lt;$H75)," ")))</f>
        <v xml:space="preserve"> </v>
      </c>
      <c r="AQ75" t="str" cm="1">
        <f t="array" ref="AQ75">_xlfn.TEXTJOIN(",",TRUE,(_xlfn._xlws.FILTER($A$2:$A$501,($D$2:$D$501&gt;=AR$7)*($D$2:$D$501&lt;AQ$7)*($E$2:$E$501&gt;=$H76)*($E$2:$E$501&lt;$H75)," ")))</f>
        <v xml:space="preserve"> </v>
      </c>
      <c r="AR75" t="str" cm="1">
        <f t="array" ref="AR75">_xlfn.TEXTJOIN(",",TRUE,(_xlfn._xlws.FILTER($A$2:$A$501,($D$2:$D$501&gt;=AS$7)*($D$2:$D$501&lt;AR$7)*($E$2:$E$501&gt;=$H76)*($E$2:$E$501&lt;$H75)," ")))</f>
        <v xml:space="preserve"> </v>
      </c>
      <c r="AS75" t="str" cm="1">
        <f t="array" ref="AS75">_xlfn.TEXTJOIN(",",TRUE,(_xlfn._xlws.FILTER($A$2:$A$501,($D$2:$D$501&gt;=AT$7)*($D$2:$D$501&lt;AS$7)*($E$2:$E$501&gt;=$H76)*($E$2:$E$501&lt;$H75)," ")))</f>
        <v xml:space="preserve"> </v>
      </c>
      <c r="AT75" t="str" cm="1">
        <f t="array" ref="AT75">_xlfn.TEXTJOIN(",",TRUE,(_xlfn._xlws.FILTER($A$2:$A$501,($D$2:$D$501&gt;=AU$7)*($D$2:$D$501&lt;AT$7)*($E$2:$E$501&gt;=$H76)*($E$2:$E$501&lt;$H75)," ")))</f>
        <v xml:space="preserve"> </v>
      </c>
      <c r="AU75" t="str" cm="1">
        <f t="array" ref="AU75">_xlfn.TEXTJOIN(",",TRUE,(_xlfn._xlws.FILTER($A$2:$A$501,($D$2:$D$501&gt;=AV$7)*($D$2:$D$501&lt;AU$7)*($E$2:$E$501&gt;=$H76)*($E$2:$E$501&lt;$H75)," ")))</f>
        <v xml:space="preserve"> </v>
      </c>
      <c r="AV75" t="str" cm="1">
        <f t="array" ref="AV75">_xlfn.TEXTJOIN(",",TRUE,(_xlfn._xlws.FILTER($A$2:$A$501,($D$2:$D$501&gt;=AW$7)*($D$2:$D$501&lt;AV$7)*($E$2:$E$501&gt;=$H76)*($E$2:$E$501&lt;$H75)," ")))</f>
        <v xml:space="preserve"> </v>
      </c>
      <c r="AW75" t="str" cm="1">
        <f t="array" ref="AW75">_xlfn.TEXTJOIN(",",TRUE,(_xlfn._xlws.FILTER($A$2:$A$501,($D$2:$D$501&gt;=AX$7)*($D$2:$D$501&lt;AW$7)*($E$2:$E$501&gt;=$H76)*($E$2:$E$501&lt;$H75)," ")))</f>
        <v xml:space="preserve"> </v>
      </c>
      <c r="AX75" t="str" cm="1">
        <f t="array" ref="AX75">_xlfn.TEXTJOIN(",",TRUE,(_xlfn._xlws.FILTER($A$2:$A$501,($D$2:$D$501&gt;=AY$7)*($D$2:$D$501&lt;AX$7)*($E$2:$E$501&gt;=$H76)*($E$2:$E$501&lt;$H75)," ")))</f>
        <v xml:space="preserve"> </v>
      </c>
      <c r="AY75" t="str" cm="1">
        <f t="array" ref="AY75">_xlfn.TEXTJOIN(",",TRUE,(_xlfn._xlws.FILTER($A$2:$A$501,($D$2:$D$501&gt;=AZ$7)*($D$2:$D$501&lt;AY$7)*($E$2:$E$501&gt;=$H76)*($E$2:$E$501&lt;$H75)," ")))</f>
        <v xml:space="preserve"> </v>
      </c>
      <c r="AZ75" t="str" cm="1">
        <f t="array" ref="AZ75">_xlfn.TEXTJOIN(",",TRUE,(_xlfn._xlws.FILTER($A$2:$A$501,($D$2:$D$501&gt;=BA$7)*($D$2:$D$501&lt;AZ$7)*($E$2:$E$501&gt;=$H76)*($E$2:$E$501&lt;$H75)," ")))</f>
        <v xml:space="preserve"> </v>
      </c>
      <c r="BA75" t="str" cm="1">
        <f t="array" ref="BA75">_xlfn.TEXTJOIN(",",TRUE,(_xlfn._xlws.FILTER($A$2:$A$501,($D$2:$D$501&gt;=BB$7)*($D$2:$D$501&lt;BA$7)*($E$2:$E$501&gt;=$H76)*($E$2:$E$501&lt;$H75)," ")))</f>
        <v xml:space="preserve"> </v>
      </c>
      <c r="BB75" t="str" cm="1">
        <f t="array" ref="BB75">_xlfn.TEXTJOIN(",",TRUE,(_xlfn._xlws.FILTER($A$2:$A$501,($D$2:$D$501&gt;=BC$7)*($D$2:$D$501&lt;BB$7)*($E$2:$E$501&gt;=$H76)*($E$2:$E$501&lt;$H75)," ")))</f>
        <v xml:space="preserve"> </v>
      </c>
    </row>
    <row r="76" spans="1:54" x14ac:dyDescent="0.2">
      <c r="A76" s="3" t="s">
        <v>313</v>
      </c>
      <c r="B76" s="3" t="s">
        <v>305</v>
      </c>
      <c r="C76" s="13">
        <v>9627246.0899999999</v>
      </c>
      <c r="D76" s="15">
        <v>200218133.43000001</v>
      </c>
      <c r="E76" s="22">
        <f>TuitionRates3[[#This Row],[Tuition]]/D76</f>
        <v>4.8083787043024573E-2</v>
      </c>
      <c r="F76"/>
      <c r="H76" s="18">
        <v>8.1999999999999906E-2</v>
      </c>
      <c r="I76" t="str" cm="1">
        <f t="array" ref="I76">_xlfn.TEXTJOIN(",",TRUE,(_xlfn._xlws.FILTER($A$2:$A$501,($D$2:$D$501&gt;=J$7)*($D$2:$D$501&lt;I$7)*($E$2:$E$501&gt;=$H77)*($E$2:$E$501&lt;$H76)," ")))</f>
        <v xml:space="preserve"> </v>
      </c>
      <c r="J76" t="str" cm="1">
        <f t="array" ref="J76">_xlfn.TEXTJOIN(",",TRUE,(_xlfn._xlws.FILTER($A$2:$A$501,($D$2:$D$501&gt;=K$7)*($D$2:$D$501&lt;J$7)*($E$2:$E$501&gt;=$H77)*($E$2:$E$501&lt;$H76)," ")))</f>
        <v xml:space="preserve"> </v>
      </c>
      <c r="K76" t="str" cm="1">
        <f t="array" ref="K76">_xlfn.TEXTJOIN(",",TRUE,(_xlfn._xlws.FILTER($A$2:$A$501,($D$2:$D$501&gt;=L$7)*($D$2:$D$501&lt;K$7)*($E$2:$E$501&gt;=$H77)*($E$2:$E$501&lt;$H76)," ")))</f>
        <v xml:space="preserve"> </v>
      </c>
      <c r="L76" t="str" cm="1">
        <f t="array" ref="L76">_xlfn.TEXTJOIN(",",TRUE,(_xlfn._xlws.FILTER($A$2:$A$501,($D$2:$D$501&gt;=M$7)*($D$2:$D$501&lt;L$7)*($E$2:$E$501&gt;=$H77)*($E$2:$E$501&lt;$H76)," ")))</f>
        <v xml:space="preserve"> </v>
      </c>
      <c r="M76" t="str" cm="1">
        <f t="array" ref="M76">_xlfn.TEXTJOIN(",",TRUE,(_xlfn._xlws.FILTER($A$2:$A$501,($D$2:$D$501&gt;=N$7)*($D$2:$D$501&lt;M$7)*($E$2:$E$501&gt;=$H77)*($E$2:$E$501&lt;$H76)," ")))</f>
        <v xml:space="preserve"> </v>
      </c>
      <c r="N76" t="str" cm="1">
        <f t="array" ref="N76">_xlfn.TEXTJOIN(",",TRUE,(_xlfn._xlws.FILTER($A$2:$A$501,($D$2:$D$501&gt;=O$7)*($D$2:$D$501&lt;N$7)*($E$2:$E$501&gt;=$H77)*($E$2:$E$501&lt;$H76)," ")))</f>
        <v xml:space="preserve"> </v>
      </c>
      <c r="O76" t="str" cm="1">
        <f t="array" ref="O76">_xlfn.TEXTJOIN(",",TRUE,(_xlfn._xlws.FILTER($A$2:$A$501,($D$2:$D$501&gt;=P$7)*($D$2:$D$501&lt;O$7)*($E$2:$E$501&gt;=$H77)*($E$2:$E$501&lt;$H76)," ")))</f>
        <v xml:space="preserve"> </v>
      </c>
      <c r="P76" t="str" cm="1">
        <f t="array" ref="P76">_xlfn.TEXTJOIN(",",TRUE,(_xlfn._xlws.FILTER($A$2:$A$501,($D$2:$D$501&gt;=Q$7)*($D$2:$D$501&lt;P$7)*($E$2:$E$501&gt;=$H77)*($E$2:$E$501&lt;$H76)," ")))</f>
        <v xml:space="preserve"> </v>
      </c>
      <c r="Q76" t="str" cm="1">
        <f t="array" ref="Q76">_xlfn.TEXTJOIN(",",TRUE,(_xlfn._xlws.FILTER($A$2:$A$501,($D$2:$D$501&gt;=R$7)*($D$2:$D$501&lt;Q$7)*($E$2:$E$501&gt;=$H77)*($E$2:$E$501&lt;$H76)," ")))</f>
        <v xml:space="preserve"> </v>
      </c>
      <c r="R76" t="str" cm="1">
        <f t="array" ref="R76">_xlfn.TEXTJOIN(",",TRUE,(_xlfn._xlws.FILTER($A$2:$A$501,($D$2:$D$501&gt;=S$7)*($D$2:$D$501&lt;R$7)*($E$2:$E$501&gt;=$H77)*($E$2:$E$501&lt;$H76)," ")))</f>
        <v xml:space="preserve"> </v>
      </c>
      <c r="S76" t="str" cm="1">
        <f t="array" ref="S76">_xlfn.TEXTJOIN(",",TRUE,(_xlfn._xlws.FILTER($A$2:$A$501,($D$2:$D$501&gt;=T$7)*($D$2:$D$501&lt;S$7)*($E$2:$E$501&gt;=$H77)*($E$2:$E$501&lt;$H76)," ")))</f>
        <v xml:space="preserve"> </v>
      </c>
      <c r="T76" t="str" cm="1">
        <f t="array" ref="T76">_xlfn.TEXTJOIN(",",TRUE,(_xlfn._xlws.FILTER($A$2:$A$501,($D$2:$D$501&gt;=U$7)*($D$2:$D$501&lt;T$7)*($E$2:$E$501&gt;=$H77)*($E$2:$E$501&lt;$H76)," ")))</f>
        <v xml:space="preserve"> </v>
      </c>
      <c r="U76" t="str" cm="1">
        <f t="array" ref="U76">_xlfn.TEXTJOIN(",",TRUE,(_xlfn._xlws.FILTER($A$2:$A$501,($D$2:$D$501&gt;=V$7)*($D$2:$D$501&lt;U$7)*($E$2:$E$501&gt;=$H77)*($E$2:$E$501&lt;$H76)," ")))</f>
        <v xml:space="preserve"> </v>
      </c>
      <c r="V76" t="str" cm="1">
        <f t="array" ref="V76">_xlfn.TEXTJOIN(",",TRUE,(_xlfn._xlws.FILTER($A$2:$A$501,($D$2:$D$501&gt;=W$7)*($D$2:$D$501&lt;V$7)*($E$2:$E$501&gt;=$H77)*($E$2:$E$501&lt;$H76)," ")))</f>
        <v xml:space="preserve"> </v>
      </c>
      <c r="W76" t="str" cm="1">
        <f t="array" ref="W76">_xlfn.TEXTJOIN(",",TRUE,(_xlfn._xlws.FILTER($A$2:$A$501,($D$2:$D$501&gt;=X$7)*($D$2:$D$501&lt;W$7)*($E$2:$E$501&gt;=$H77)*($E$2:$E$501&lt;$H76)," ")))</f>
        <v xml:space="preserve"> </v>
      </c>
      <c r="X76" t="str" cm="1">
        <f t="array" ref="X76">_xlfn.TEXTJOIN(",",TRUE,(_xlfn._xlws.FILTER($A$2:$A$501,($D$2:$D$501&gt;=Y$7)*($D$2:$D$501&lt;X$7)*($E$2:$E$501&gt;=$H77)*($E$2:$E$501&lt;$H76)," ")))</f>
        <v xml:space="preserve"> </v>
      </c>
      <c r="Y76" t="str" cm="1">
        <f t="array" ref="Y76">_xlfn.TEXTJOIN(",",TRUE,(_xlfn._xlws.FILTER($A$2:$A$501,($D$2:$D$501&gt;=Z$7)*($D$2:$D$501&lt;Y$7)*($E$2:$E$501&gt;=$H77)*($E$2:$E$501&lt;$H76)," ")))</f>
        <v xml:space="preserve"> </v>
      </c>
      <c r="Z76" t="str" cm="1">
        <f t="array" ref="Z76">_xlfn.TEXTJOIN(",",TRUE,(_xlfn._xlws.FILTER($A$2:$A$501,($D$2:$D$501&gt;=AA$7)*($D$2:$D$501&lt;Z$7)*($E$2:$E$501&gt;=$H77)*($E$2:$E$501&lt;$H76)," ")))</f>
        <v xml:space="preserve"> </v>
      </c>
      <c r="AA76" t="str" cm="1">
        <f t="array" ref="AA76">_xlfn.TEXTJOIN(",",TRUE,(_xlfn._xlws.FILTER($A$2:$A$501,($D$2:$D$501&gt;=AB$7)*($D$2:$D$501&lt;AA$7)*($E$2:$E$501&gt;=$H77)*($E$2:$E$501&lt;$H76)," ")))</f>
        <v xml:space="preserve"> </v>
      </c>
      <c r="AB76" t="str" cm="1">
        <f t="array" ref="AB76">_xlfn.TEXTJOIN(",",TRUE,(_xlfn._xlws.FILTER($A$2:$A$501,($D$2:$D$501&gt;=AC$7)*($D$2:$D$501&lt;AB$7)*($E$2:$E$501&gt;=$H77)*($E$2:$E$501&lt;$H76)," ")))</f>
        <v xml:space="preserve"> </v>
      </c>
      <c r="AC76" t="str" cm="1">
        <f t="array" ref="AC76">_xlfn.TEXTJOIN(",",TRUE,(_xlfn._xlws.FILTER($A$2:$A$501,($D$2:$D$501&gt;=AD$7)*($D$2:$D$501&lt;AC$7)*($E$2:$E$501&gt;=$H77)*($E$2:$E$501&lt;$H76)," ")))</f>
        <v xml:space="preserve"> </v>
      </c>
      <c r="AD76" t="str" cm="1">
        <f t="array" ref="AD76">_xlfn.TEXTJOIN(",",TRUE,(_xlfn._xlws.FILTER($A$2:$A$501,($D$2:$D$501&gt;=AE$7)*($D$2:$D$501&lt;AD$7)*($E$2:$E$501&gt;=$H77)*($E$2:$E$501&lt;$H76)," ")))</f>
        <v xml:space="preserve"> </v>
      </c>
      <c r="AE76" t="str" cm="1">
        <f t="array" ref="AE76">_xlfn.TEXTJOIN(",",TRUE,(_xlfn._xlws.FILTER($A$2:$A$501,($D$2:$D$501&gt;=AF$7)*($D$2:$D$501&lt;AE$7)*($E$2:$E$501&gt;=$H77)*($E$2:$E$501&lt;$H76)," ")))</f>
        <v xml:space="preserve"> </v>
      </c>
      <c r="AF76" t="str" cm="1">
        <f t="array" ref="AF76">_xlfn.TEXTJOIN(",",TRUE,(_xlfn._xlws.FILTER($A$2:$A$501,($D$2:$D$501&gt;=AG$7)*($D$2:$D$501&lt;AF$7)*($E$2:$E$501&gt;=$H77)*($E$2:$E$501&lt;$H76)," ")))</f>
        <v xml:space="preserve"> </v>
      </c>
      <c r="AG76" t="str" cm="1">
        <f t="array" ref="AG76">_xlfn.TEXTJOIN(",",TRUE,(_xlfn._xlws.FILTER($A$2:$A$501,($D$2:$D$501&gt;=AH$7)*($D$2:$D$501&lt;AG$7)*($E$2:$E$501&gt;=$H77)*($E$2:$E$501&lt;$H76)," ")))</f>
        <v xml:space="preserve"> </v>
      </c>
      <c r="AH76" t="str" cm="1">
        <f t="array" ref="AH76">_xlfn.TEXTJOIN(",",TRUE,(_xlfn._xlws.FILTER($A$2:$A$501,($D$2:$D$501&gt;=AI$7)*($D$2:$D$501&lt;AH$7)*($E$2:$E$501&gt;=$H77)*($E$2:$E$501&lt;$H76)," ")))</f>
        <v xml:space="preserve"> </v>
      </c>
      <c r="AI76" t="str" cm="1">
        <f t="array" ref="AI76">_xlfn.TEXTJOIN(",",TRUE,(_xlfn._xlws.FILTER($A$2:$A$501,($D$2:$D$501&gt;=AJ$7)*($D$2:$D$501&lt;AI$7)*($E$2:$E$501&gt;=$H77)*($E$2:$E$501&lt;$H76)," ")))</f>
        <v xml:space="preserve"> </v>
      </c>
      <c r="AJ76" t="str" cm="1">
        <f t="array" ref="AJ76">_xlfn.TEXTJOIN(",",TRUE,(_xlfn._xlws.FILTER($A$2:$A$501,($D$2:$D$501&gt;=AK$7)*($D$2:$D$501&lt;AJ$7)*($E$2:$E$501&gt;=$H77)*($E$2:$E$501&lt;$H76)," ")))</f>
        <v xml:space="preserve"> </v>
      </c>
      <c r="AK76" t="str" cm="1">
        <f t="array" ref="AK76">_xlfn.TEXTJOIN(",",TRUE,(_xlfn._xlws.FILTER($A$2:$A$501,($D$2:$D$501&gt;=AL$7)*($D$2:$D$501&lt;AK$7)*($E$2:$E$501&gt;=$H77)*($E$2:$E$501&lt;$H76)," ")))</f>
        <v xml:space="preserve"> </v>
      </c>
      <c r="AL76" t="str" cm="1">
        <f t="array" ref="AL76">_xlfn.TEXTJOIN(",",TRUE,(_xlfn._xlws.FILTER($A$2:$A$501,($D$2:$D$501&gt;=AM$7)*($D$2:$D$501&lt;AL$7)*($E$2:$E$501&gt;=$H77)*($E$2:$E$501&lt;$H76)," ")))</f>
        <v xml:space="preserve"> </v>
      </c>
      <c r="AM76" t="str" cm="1">
        <f t="array" ref="AM76">_xlfn.TEXTJOIN(",",TRUE,(_xlfn._xlws.FILTER($A$2:$A$501,($D$2:$D$501&gt;=AN$7)*($D$2:$D$501&lt;AM$7)*($E$2:$E$501&gt;=$H77)*($E$2:$E$501&lt;$H76)," ")))</f>
        <v xml:space="preserve"> </v>
      </c>
      <c r="AN76" t="str" cm="1">
        <f t="array" ref="AN76">_xlfn.TEXTJOIN(",",TRUE,(_xlfn._xlws.FILTER($A$2:$A$501,($D$2:$D$501&gt;=AO$7)*($D$2:$D$501&lt;AN$7)*($E$2:$E$501&gt;=$H77)*($E$2:$E$501&lt;$H76)," ")))</f>
        <v xml:space="preserve"> </v>
      </c>
      <c r="AO76" t="str" cm="1">
        <f t="array" ref="AO76">_xlfn.TEXTJOIN(",",TRUE,(_xlfn._xlws.FILTER($A$2:$A$501,($D$2:$D$501&gt;=AP$7)*($D$2:$D$501&lt;AO$7)*($E$2:$E$501&gt;=$H77)*($E$2:$E$501&lt;$H76)," ")))</f>
        <v xml:space="preserve"> </v>
      </c>
      <c r="AP76" t="str" cm="1">
        <f t="array" ref="AP76">_xlfn.TEXTJOIN(",",TRUE,(_xlfn._xlws.FILTER($A$2:$A$501,($D$2:$D$501&gt;=AQ$7)*($D$2:$D$501&lt;AP$7)*($E$2:$E$501&gt;=$H77)*($E$2:$E$501&lt;$H76)," ")))</f>
        <v xml:space="preserve"> </v>
      </c>
      <c r="AQ76" t="str" cm="1">
        <f t="array" ref="AQ76">_xlfn.TEXTJOIN(",",TRUE,(_xlfn._xlws.FILTER($A$2:$A$501,($D$2:$D$501&gt;=AR$7)*($D$2:$D$501&lt;AQ$7)*($E$2:$E$501&gt;=$H77)*($E$2:$E$501&lt;$H76)," ")))</f>
        <v xml:space="preserve"> </v>
      </c>
      <c r="AR76" t="str" cm="1">
        <f t="array" ref="AR76">_xlfn.TEXTJOIN(",",TRUE,(_xlfn._xlws.FILTER($A$2:$A$501,($D$2:$D$501&gt;=AS$7)*($D$2:$D$501&lt;AR$7)*($E$2:$E$501&gt;=$H77)*($E$2:$E$501&lt;$H76)," ")))</f>
        <v xml:space="preserve"> </v>
      </c>
      <c r="AS76" t="str" cm="1">
        <f t="array" ref="AS76">_xlfn.TEXTJOIN(",",TRUE,(_xlfn._xlws.FILTER($A$2:$A$501,($D$2:$D$501&gt;=AT$7)*($D$2:$D$501&lt;AS$7)*($E$2:$E$501&gt;=$H77)*($E$2:$E$501&lt;$H76)," ")))</f>
        <v xml:space="preserve"> </v>
      </c>
      <c r="AT76" t="str" cm="1">
        <f t="array" ref="AT76">_xlfn.TEXTJOIN(",",TRUE,(_xlfn._xlws.FILTER($A$2:$A$501,($D$2:$D$501&gt;=AU$7)*($D$2:$D$501&lt;AT$7)*($E$2:$E$501&gt;=$H77)*($E$2:$E$501&lt;$H76)," ")))</f>
        <v xml:space="preserve"> </v>
      </c>
      <c r="AU76" t="str" cm="1">
        <f t="array" ref="AU76">_xlfn.TEXTJOIN(",",TRUE,(_xlfn._xlws.FILTER($A$2:$A$501,($D$2:$D$501&gt;=AV$7)*($D$2:$D$501&lt;AU$7)*($E$2:$E$501&gt;=$H77)*($E$2:$E$501&lt;$H76)," ")))</f>
        <v xml:space="preserve"> </v>
      </c>
      <c r="AV76" t="str" cm="1">
        <f t="array" ref="AV76">_xlfn.TEXTJOIN(",",TRUE,(_xlfn._xlws.FILTER($A$2:$A$501,($D$2:$D$501&gt;=AW$7)*($D$2:$D$501&lt;AV$7)*($E$2:$E$501&gt;=$H77)*($E$2:$E$501&lt;$H76)," ")))</f>
        <v xml:space="preserve"> </v>
      </c>
      <c r="AW76" t="str" cm="1">
        <f t="array" ref="AW76">_xlfn.TEXTJOIN(",",TRUE,(_xlfn._xlws.FILTER($A$2:$A$501,($D$2:$D$501&gt;=AX$7)*($D$2:$D$501&lt;AW$7)*($E$2:$E$501&gt;=$H77)*($E$2:$E$501&lt;$H76)," ")))</f>
        <v xml:space="preserve"> </v>
      </c>
      <c r="AX76" t="str" cm="1">
        <f t="array" ref="AX76">_xlfn.TEXTJOIN(",",TRUE,(_xlfn._xlws.FILTER($A$2:$A$501,($D$2:$D$501&gt;=AY$7)*($D$2:$D$501&lt;AX$7)*($E$2:$E$501&gt;=$H77)*($E$2:$E$501&lt;$H76)," ")))</f>
        <v xml:space="preserve"> </v>
      </c>
      <c r="AY76" t="str" cm="1">
        <f t="array" ref="AY76">_xlfn.TEXTJOIN(",",TRUE,(_xlfn._xlws.FILTER($A$2:$A$501,($D$2:$D$501&gt;=AZ$7)*($D$2:$D$501&lt;AY$7)*($E$2:$E$501&gt;=$H77)*($E$2:$E$501&lt;$H76)," ")))</f>
        <v xml:space="preserve"> </v>
      </c>
      <c r="AZ76" t="str" cm="1">
        <f t="array" ref="AZ76">_xlfn.TEXTJOIN(",",TRUE,(_xlfn._xlws.FILTER($A$2:$A$501,($D$2:$D$501&gt;=BA$7)*($D$2:$D$501&lt;AZ$7)*($E$2:$E$501&gt;=$H77)*($E$2:$E$501&lt;$H76)," ")))</f>
        <v xml:space="preserve"> </v>
      </c>
      <c r="BA76" t="str" cm="1">
        <f t="array" ref="BA76">_xlfn.TEXTJOIN(",",TRUE,(_xlfn._xlws.FILTER($A$2:$A$501,($D$2:$D$501&gt;=BB$7)*($D$2:$D$501&lt;BA$7)*($E$2:$E$501&gt;=$H77)*($E$2:$E$501&lt;$H76)," ")))</f>
        <v xml:space="preserve"> </v>
      </c>
      <c r="BB76" t="str" cm="1">
        <f t="array" ref="BB76">_xlfn.TEXTJOIN(",",TRUE,(_xlfn._xlws.FILTER($A$2:$A$501,($D$2:$D$501&gt;=BC$7)*($D$2:$D$501&lt;BB$7)*($E$2:$E$501&gt;=$H77)*($E$2:$E$501&lt;$H76)," ")))</f>
        <v xml:space="preserve"> </v>
      </c>
    </row>
    <row r="77" spans="1:54" x14ac:dyDescent="0.2">
      <c r="A77" s="3" t="s">
        <v>317</v>
      </c>
      <c r="B77" s="3" t="s">
        <v>316</v>
      </c>
      <c r="C77" s="13">
        <v>1529212.24</v>
      </c>
      <c r="D77" s="15">
        <v>32101021.98</v>
      </c>
      <c r="E77" s="22">
        <f>TuitionRates3[[#This Row],[Tuition]]/D77</f>
        <v>4.7637493938752162E-2</v>
      </c>
      <c r="F77"/>
      <c r="H77" s="18">
        <v>8.0999999999999905E-2</v>
      </c>
      <c r="I77" t="str" cm="1">
        <f t="array" ref="I77">_xlfn.TEXTJOIN(",",TRUE,(_xlfn._xlws.FILTER($A$2:$A$501,($D$2:$D$501&gt;=J$7)*($D$2:$D$501&lt;I$7)*($E$2:$E$501&gt;=$H78)*($E$2:$E$501&lt;$H77)," ")))</f>
        <v xml:space="preserve"> </v>
      </c>
      <c r="J77" t="str" cm="1">
        <f t="array" ref="J77">_xlfn.TEXTJOIN(",",TRUE,(_xlfn._xlws.FILTER($A$2:$A$501,($D$2:$D$501&gt;=K$7)*($D$2:$D$501&lt;J$7)*($E$2:$E$501&gt;=$H78)*($E$2:$E$501&lt;$H77)," ")))</f>
        <v xml:space="preserve"> </v>
      </c>
      <c r="K77" t="str" cm="1">
        <f t="array" ref="K77">_xlfn.TEXTJOIN(",",TRUE,(_xlfn._xlws.FILTER($A$2:$A$501,($D$2:$D$501&gt;=L$7)*($D$2:$D$501&lt;K$7)*($E$2:$E$501&gt;=$H78)*($E$2:$E$501&lt;$H77)," ")))</f>
        <v xml:space="preserve"> </v>
      </c>
      <c r="L77" t="str" cm="1">
        <f t="array" ref="L77">_xlfn.TEXTJOIN(",",TRUE,(_xlfn._xlws.FILTER($A$2:$A$501,($D$2:$D$501&gt;=M$7)*($D$2:$D$501&lt;L$7)*($E$2:$E$501&gt;=$H78)*($E$2:$E$501&lt;$H77)," ")))</f>
        <v xml:space="preserve"> </v>
      </c>
      <c r="M77" t="str" cm="1">
        <f t="array" ref="M77">_xlfn.TEXTJOIN(",",TRUE,(_xlfn._xlws.FILTER($A$2:$A$501,($D$2:$D$501&gt;=N$7)*($D$2:$D$501&lt;M$7)*($E$2:$E$501&gt;=$H78)*($E$2:$E$501&lt;$H77)," ")))</f>
        <v xml:space="preserve"> </v>
      </c>
      <c r="N77" t="str" cm="1">
        <f t="array" ref="N77">_xlfn.TEXTJOIN(",",TRUE,(_xlfn._xlws.FILTER($A$2:$A$501,($D$2:$D$501&gt;=O$7)*($D$2:$D$501&lt;N$7)*($E$2:$E$501&gt;=$H78)*($E$2:$E$501&lt;$H77)," ")))</f>
        <v xml:space="preserve"> </v>
      </c>
      <c r="O77" t="str" cm="1">
        <f t="array" ref="O77">_xlfn.TEXTJOIN(",",TRUE,(_xlfn._xlws.FILTER($A$2:$A$501,($D$2:$D$501&gt;=P$7)*($D$2:$D$501&lt;O$7)*($E$2:$E$501&gt;=$H78)*($E$2:$E$501&lt;$H77)," ")))</f>
        <v xml:space="preserve"> </v>
      </c>
      <c r="P77" t="str" cm="1">
        <f t="array" ref="P77">_xlfn.TEXTJOIN(",",TRUE,(_xlfn._xlws.FILTER($A$2:$A$501,($D$2:$D$501&gt;=Q$7)*($D$2:$D$501&lt;P$7)*($E$2:$E$501&gt;=$H78)*($E$2:$E$501&lt;$H77)," ")))</f>
        <v xml:space="preserve"> </v>
      </c>
      <c r="Q77" t="str" cm="1">
        <f t="array" ref="Q77">_xlfn.TEXTJOIN(",",TRUE,(_xlfn._xlws.FILTER($A$2:$A$501,($D$2:$D$501&gt;=R$7)*($D$2:$D$501&lt;Q$7)*($E$2:$E$501&gt;=$H78)*($E$2:$E$501&lt;$H77)," ")))</f>
        <v xml:space="preserve"> </v>
      </c>
      <c r="R77" t="str" cm="1">
        <f t="array" ref="R77">_xlfn.TEXTJOIN(",",TRUE,(_xlfn._xlws.FILTER($A$2:$A$501,($D$2:$D$501&gt;=S$7)*($D$2:$D$501&lt;R$7)*($E$2:$E$501&gt;=$H78)*($E$2:$E$501&lt;$H77)," ")))</f>
        <v xml:space="preserve"> </v>
      </c>
      <c r="S77" t="str" cm="1">
        <f t="array" ref="S77">_xlfn.TEXTJOIN(",",TRUE,(_xlfn._xlws.FILTER($A$2:$A$501,($D$2:$D$501&gt;=T$7)*($D$2:$D$501&lt;S$7)*($E$2:$E$501&gt;=$H78)*($E$2:$E$501&lt;$H77)," ")))</f>
        <v xml:space="preserve"> </v>
      </c>
      <c r="T77" t="str" cm="1">
        <f t="array" ref="T77">_xlfn.TEXTJOIN(",",TRUE,(_xlfn._xlws.FILTER($A$2:$A$501,($D$2:$D$501&gt;=U$7)*($D$2:$D$501&lt;T$7)*($E$2:$E$501&gt;=$H78)*($E$2:$E$501&lt;$H77)," ")))</f>
        <v xml:space="preserve"> </v>
      </c>
      <c r="U77" t="str" cm="1">
        <f t="array" ref="U77">_xlfn.TEXTJOIN(",",TRUE,(_xlfn._xlws.FILTER($A$2:$A$501,($D$2:$D$501&gt;=V$7)*($D$2:$D$501&lt;U$7)*($E$2:$E$501&gt;=$H78)*($E$2:$E$501&lt;$H77)," ")))</f>
        <v xml:space="preserve"> </v>
      </c>
      <c r="V77" t="str" cm="1">
        <f t="array" ref="V77">_xlfn.TEXTJOIN(",",TRUE,(_xlfn._xlws.FILTER($A$2:$A$501,($D$2:$D$501&gt;=W$7)*($D$2:$D$501&lt;V$7)*($E$2:$E$501&gt;=$H78)*($E$2:$E$501&lt;$H77)," ")))</f>
        <v xml:space="preserve"> </v>
      </c>
      <c r="W77" t="str" cm="1">
        <f t="array" ref="W77">_xlfn.TEXTJOIN(",",TRUE,(_xlfn._xlws.FILTER($A$2:$A$501,($D$2:$D$501&gt;=X$7)*($D$2:$D$501&lt;W$7)*($E$2:$E$501&gt;=$H78)*($E$2:$E$501&lt;$H77)," ")))</f>
        <v xml:space="preserve"> </v>
      </c>
      <c r="X77" t="str" cm="1">
        <f t="array" ref="X77">_xlfn.TEXTJOIN(",",TRUE,(_xlfn._xlws.FILTER($A$2:$A$501,($D$2:$D$501&gt;=Y$7)*($D$2:$D$501&lt;X$7)*($E$2:$E$501&gt;=$H78)*($E$2:$E$501&lt;$H77)," ")))</f>
        <v xml:space="preserve"> </v>
      </c>
      <c r="Y77" t="str" cm="1">
        <f t="array" ref="Y77">_xlfn.TEXTJOIN(",",TRUE,(_xlfn._xlws.FILTER($A$2:$A$501,($D$2:$D$501&gt;=Z$7)*($D$2:$D$501&lt;Y$7)*($E$2:$E$501&gt;=$H78)*($E$2:$E$501&lt;$H77)," ")))</f>
        <v xml:space="preserve"> </v>
      </c>
      <c r="Z77" t="str" cm="1">
        <f t="array" ref="Z77">_xlfn.TEXTJOIN(",",TRUE,(_xlfn._xlws.FILTER($A$2:$A$501,($D$2:$D$501&gt;=AA$7)*($D$2:$D$501&lt;Z$7)*($E$2:$E$501&gt;=$H78)*($E$2:$E$501&lt;$H77)," ")))</f>
        <v xml:space="preserve"> </v>
      </c>
      <c r="AA77" t="str" cm="1">
        <f t="array" ref="AA77">_xlfn.TEXTJOIN(",",TRUE,(_xlfn._xlws.FILTER($A$2:$A$501,($D$2:$D$501&gt;=AB$7)*($D$2:$D$501&lt;AA$7)*($E$2:$E$501&gt;=$H78)*($E$2:$E$501&lt;$H77)," ")))</f>
        <v>Jim Thorpe Area SD</v>
      </c>
      <c r="AB77" t="str" cm="1">
        <f t="array" ref="AB77">_xlfn.TEXTJOIN(",",TRUE,(_xlfn._xlws.FILTER($A$2:$A$501,($D$2:$D$501&gt;=AC$7)*($D$2:$D$501&lt;AB$7)*($E$2:$E$501&gt;=$H78)*($E$2:$E$501&lt;$H77)," ")))</f>
        <v xml:space="preserve"> </v>
      </c>
      <c r="AC77" t="str" cm="1">
        <f t="array" ref="AC77">_xlfn.TEXTJOIN(",",TRUE,(_xlfn._xlws.FILTER($A$2:$A$501,($D$2:$D$501&gt;=AD$7)*($D$2:$D$501&lt;AC$7)*($E$2:$E$501&gt;=$H78)*($E$2:$E$501&lt;$H77)," ")))</f>
        <v xml:space="preserve"> </v>
      </c>
      <c r="AD77" t="str" cm="1">
        <f t="array" ref="AD77">_xlfn.TEXTJOIN(",",TRUE,(_xlfn._xlws.FILTER($A$2:$A$501,($D$2:$D$501&gt;=AE$7)*($D$2:$D$501&lt;AD$7)*($E$2:$E$501&gt;=$H78)*($E$2:$E$501&lt;$H77)," ")))</f>
        <v xml:space="preserve"> </v>
      </c>
      <c r="AE77" t="str" cm="1">
        <f t="array" ref="AE77">_xlfn.TEXTJOIN(",",TRUE,(_xlfn._xlws.FILTER($A$2:$A$501,($D$2:$D$501&gt;=AF$7)*($D$2:$D$501&lt;AE$7)*($E$2:$E$501&gt;=$H78)*($E$2:$E$501&lt;$H77)," ")))</f>
        <v xml:space="preserve"> </v>
      </c>
      <c r="AF77" t="str" cm="1">
        <f t="array" ref="AF77">_xlfn.TEXTJOIN(",",TRUE,(_xlfn._xlws.FILTER($A$2:$A$501,($D$2:$D$501&gt;=AG$7)*($D$2:$D$501&lt;AF$7)*($E$2:$E$501&gt;=$H78)*($E$2:$E$501&lt;$H77)," ")))</f>
        <v xml:space="preserve"> </v>
      </c>
      <c r="AG77" t="str" cm="1">
        <f t="array" ref="AG77">_xlfn.TEXTJOIN(",",TRUE,(_xlfn._xlws.FILTER($A$2:$A$501,($D$2:$D$501&gt;=AH$7)*($D$2:$D$501&lt;AG$7)*($E$2:$E$501&gt;=$H78)*($E$2:$E$501&lt;$H77)," ")))</f>
        <v xml:space="preserve"> </v>
      </c>
      <c r="AH77" t="str" cm="1">
        <f t="array" ref="AH77">_xlfn.TEXTJOIN(",",TRUE,(_xlfn._xlws.FILTER($A$2:$A$501,($D$2:$D$501&gt;=AI$7)*($D$2:$D$501&lt;AH$7)*($E$2:$E$501&gt;=$H78)*($E$2:$E$501&lt;$H77)," ")))</f>
        <v xml:space="preserve"> </v>
      </c>
      <c r="AI77" t="str" cm="1">
        <f t="array" ref="AI77">_xlfn.TEXTJOIN(",",TRUE,(_xlfn._xlws.FILTER($A$2:$A$501,($D$2:$D$501&gt;=AJ$7)*($D$2:$D$501&lt;AI$7)*($E$2:$E$501&gt;=$H78)*($E$2:$E$501&lt;$H77)," ")))</f>
        <v xml:space="preserve"> </v>
      </c>
      <c r="AJ77" t="str" cm="1">
        <f t="array" ref="AJ77">_xlfn.TEXTJOIN(",",TRUE,(_xlfn._xlws.FILTER($A$2:$A$501,($D$2:$D$501&gt;=AK$7)*($D$2:$D$501&lt;AJ$7)*($E$2:$E$501&gt;=$H78)*($E$2:$E$501&lt;$H77)," ")))</f>
        <v xml:space="preserve"> </v>
      </c>
      <c r="AK77" t="str" cm="1">
        <f t="array" ref="AK77">_xlfn.TEXTJOIN(",",TRUE,(_xlfn._xlws.FILTER($A$2:$A$501,($D$2:$D$501&gt;=AL$7)*($D$2:$D$501&lt;AK$7)*($E$2:$E$501&gt;=$H78)*($E$2:$E$501&lt;$H77)," ")))</f>
        <v xml:space="preserve"> </v>
      </c>
      <c r="AL77" t="str" cm="1">
        <f t="array" ref="AL77">_xlfn.TEXTJOIN(",",TRUE,(_xlfn._xlws.FILTER($A$2:$A$501,($D$2:$D$501&gt;=AM$7)*($D$2:$D$501&lt;AL$7)*($E$2:$E$501&gt;=$H78)*($E$2:$E$501&lt;$H77)," ")))</f>
        <v xml:space="preserve"> </v>
      </c>
      <c r="AM77" t="str" cm="1">
        <f t="array" ref="AM77">_xlfn.TEXTJOIN(",",TRUE,(_xlfn._xlws.FILTER($A$2:$A$501,($D$2:$D$501&gt;=AN$7)*($D$2:$D$501&lt;AM$7)*($E$2:$E$501&gt;=$H78)*($E$2:$E$501&lt;$H77)," ")))</f>
        <v xml:space="preserve"> </v>
      </c>
      <c r="AN77" t="str" cm="1">
        <f t="array" ref="AN77">_xlfn.TEXTJOIN(",",TRUE,(_xlfn._xlws.FILTER($A$2:$A$501,($D$2:$D$501&gt;=AO$7)*($D$2:$D$501&lt;AN$7)*($E$2:$E$501&gt;=$H78)*($E$2:$E$501&lt;$H77)," ")))</f>
        <v xml:space="preserve"> </v>
      </c>
      <c r="AO77" t="str" cm="1">
        <f t="array" ref="AO77">_xlfn.TEXTJOIN(",",TRUE,(_xlfn._xlws.FILTER($A$2:$A$501,($D$2:$D$501&gt;=AP$7)*($D$2:$D$501&lt;AO$7)*($E$2:$E$501&gt;=$H78)*($E$2:$E$501&lt;$H77)," ")))</f>
        <v xml:space="preserve"> </v>
      </c>
      <c r="AP77" t="str" cm="1">
        <f t="array" ref="AP77">_xlfn.TEXTJOIN(",",TRUE,(_xlfn._xlws.FILTER($A$2:$A$501,($D$2:$D$501&gt;=AQ$7)*($D$2:$D$501&lt;AP$7)*($E$2:$E$501&gt;=$H78)*($E$2:$E$501&lt;$H77)," ")))</f>
        <v xml:space="preserve"> </v>
      </c>
      <c r="AQ77" t="str" cm="1">
        <f t="array" ref="AQ77">_xlfn.TEXTJOIN(",",TRUE,(_xlfn._xlws.FILTER($A$2:$A$501,($D$2:$D$501&gt;=AR$7)*($D$2:$D$501&lt;AQ$7)*($E$2:$E$501&gt;=$H78)*($E$2:$E$501&lt;$H77)," ")))</f>
        <v xml:space="preserve"> </v>
      </c>
      <c r="AR77" t="str" cm="1">
        <f t="array" ref="AR77">_xlfn.TEXTJOIN(",",TRUE,(_xlfn._xlws.FILTER($A$2:$A$501,($D$2:$D$501&gt;=AS$7)*($D$2:$D$501&lt;AR$7)*($E$2:$E$501&gt;=$H78)*($E$2:$E$501&lt;$H77)," ")))</f>
        <v xml:space="preserve"> </v>
      </c>
      <c r="AS77" t="str" cm="1">
        <f t="array" ref="AS77">_xlfn.TEXTJOIN(",",TRUE,(_xlfn._xlws.FILTER($A$2:$A$501,($D$2:$D$501&gt;=AT$7)*($D$2:$D$501&lt;AS$7)*($E$2:$E$501&gt;=$H78)*($E$2:$E$501&lt;$H77)," ")))</f>
        <v xml:space="preserve"> </v>
      </c>
      <c r="AT77" t="str" cm="1">
        <f t="array" ref="AT77">_xlfn.TEXTJOIN(",",TRUE,(_xlfn._xlws.FILTER($A$2:$A$501,($D$2:$D$501&gt;=AU$7)*($D$2:$D$501&lt;AT$7)*($E$2:$E$501&gt;=$H78)*($E$2:$E$501&lt;$H77)," ")))</f>
        <v xml:space="preserve"> </v>
      </c>
      <c r="AU77" t="str" cm="1">
        <f t="array" ref="AU77">_xlfn.TEXTJOIN(",",TRUE,(_xlfn._xlws.FILTER($A$2:$A$501,($D$2:$D$501&gt;=AV$7)*($D$2:$D$501&lt;AU$7)*($E$2:$E$501&gt;=$H78)*($E$2:$E$501&lt;$H77)," ")))</f>
        <v xml:space="preserve"> </v>
      </c>
      <c r="AV77" t="str" cm="1">
        <f t="array" ref="AV77">_xlfn.TEXTJOIN(",",TRUE,(_xlfn._xlws.FILTER($A$2:$A$501,($D$2:$D$501&gt;=AW$7)*($D$2:$D$501&lt;AV$7)*($E$2:$E$501&gt;=$H78)*($E$2:$E$501&lt;$H77)," ")))</f>
        <v xml:space="preserve"> </v>
      </c>
      <c r="AW77" t="str" cm="1">
        <f t="array" ref="AW77">_xlfn.TEXTJOIN(",",TRUE,(_xlfn._xlws.FILTER($A$2:$A$501,($D$2:$D$501&gt;=AX$7)*($D$2:$D$501&lt;AW$7)*($E$2:$E$501&gt;=$H78)*($E$2:$E$501&lt;$H77)," ")))</f>
        <v xml:space="preserve"> </v>
      </c>
      <c r="AX77" t="str" cm="1">
        <f t="array" ref="AX77">_xlfn.TEXTJOIN(",",TRUE,(_xlfn._xlws.FILTER($A$2:$A$501,($D$2:$D$501&gt;=AY$7)*($D$2:$D$501&lt;AX$7)*($E$2:$E$501&gt;=$H78)*($E$2:$E$501&lt;$H77)," ")))</f>
        <v xml:space="preserve"> </v>
      </c>
      <c r="AY77" t="str" cm="1">
        <f t="array" ref="AY77">_xlfn.TEXTJOIN(",",TRUE,(_xlfn._xlws.FILTER($A$2:$A$501,($D$2:$D$501&gt;=AZ$7)*($D$2:$D$501&lt;AY$7)*($E$2:$E$501&gt;=$H78)*($E$2:$E$501&lt;$H77)," ")))</f>
        <v xml:space="preserve"> </v>
      </c>
      <c r="AZ77" t="str" cm="1">
        <f t="array" ref="AZ77">_xlfn.TEXTJOIN(",",TRUE,(_xlfn._xlws.FILTER($A$2:$A$501,($D$2:$D$501&gt;=BA$7)*($D$2:$D$501&lt;AZ$7)*($E$2:$E$501&gt;=$H78)*($E$2:$E$501&lt;$H77)," ")))</f>
        <v xml:space="preserve"> </v>
      </c>
      <c r="BA77" t="str" cm="1">
        <f t="array" ref="BA77">_xlfn.TEXTJOIN(",",TRUE,(_xlfn._xlws.FILTER($A$2:$A$501,($D$2:$D$501&gt;=BB$7)*($D$2:$D$501&lt;BA$7)*($E$2:$E$501&gt;=$H78)*($E$2:$E$501&lt;$H77)," ")))</f>
        <v xml:space="preserve"> </v>
      </c>
      <c r="BB77" t="str" cm="1">
        <f t="array" ref="BB77">_xlfn.TEXTJOIN(",",TRUE,(_xlfn._xlws.FILTER($A$2:$A$501,($D$2:$D$501&gt;=BC$7)*($D$2:$D$501&lt;BB$7)*($E$2:$E$501&gt;=$H78)*($E$2:$E$501&lt;$H77)," ")))</f>
        <v xml:space="preserve"> </v>
      </c>
    </row>
    <row r="78" spans="1:54" x14ac:dyDescent="0.2">
      <c r="A78" s="3" t="s">
        <v>461</v>
      </c>
      <c r="B78" s="3" t="s">
        <v>457</v>
      </c>
      <c r="C78" s="13">
        <v>457889.05</v>
      </c>
      <c r="D78" s="15">
        <v>9681651.9299999997</v>
      </c>
      <c r="E78" s="22">
        <f>TuitionRates3[[#This Row],[Tuition]]/D78</f>
        <v>4.7294516814962592E-2</v>
      </c>
      <c r="F78"/>
      <c r="H78" s="18">
        <v>7.9999999999999905E-2</v>
      </c>
      <c r="I78" t="str" cm="1">
        <f t="array" ref="I78">_xlfn.TEXTJOIN(",",TRUE,(_xlfn._xlws.FILTER($A$2:$A$501,($D$2:$D$501&gt;=J$7)*($D$2:$D$501&lt;I$7)*($E$2:$E$501&gt;=$H79)*($E$2:$E$501&lt;$H78)," ")))</f>
        <v xml:space="preserve"> </v>
      </c>
      <c r="J78" t="str" cm="1">
        <f t="array" ref="J78">_xlfn.TEXTJOIN(",",TRUE,(_xlfn._xlws.FILTER($A$2:$A$501,($D$2:$D$501&gt;=K$7)*($D$2:$D$501&lt;J$7)*($E$2:$E$501&gt;=$H79)*($E$2:$E$501&lt;$H78)," ")))</f>
        <v xml:space="preserve"> </v>
      </c>
      <c r="K78" t="str" cm="1">
        <f t="array" ref="K78">_xlfn.TEXTJOIN(",",TRUE,(_xlfn._xlws.FILTER($A$2:$A$501,($D$2:$D$501&gt;=L$7)*($D$2:$D$501&lt;K$7)*($E$2:$E$501&gt;=$H79)*($E$2:$E$501&lt;$H78)," ")))</f>
        <v xml:space="preserve"> </v>
      </c>
      <c r="L78" t="str" cm="1">
        <f t="array" ref="L78">_xlfn.TEXTJOIN(",",TRUE,(_xlfn._xlws.FILTER($A$2:$A$501,($D$2:$D$501&gt;=M$7)*($D$2:$D$501&lt;L$7)*($E$2:$E$501&gt;=$H79)*($E$2:$E$501&lt;$H78)," ")))</f>
        <v xml:space="preserve"> </v>
      </c>
      <c r="M78" t="str" cm="1">
        <f t="array" ref="M78">_xlfn.TEXTJOIN(",",TRUE,(_xlfn._xlws.FILTER($A$2:$A$501,($D$2:$D$501&gt;=N$7)*($D$2:$D$501&lt;M$7)*($E$2:$E$501&gt;=$H79)*($E$2:$E$501&lt;$H78)," ")))</f>
        <v xml:space="preserve"> </v>
      </c>
      <c r="N78" t="str" cm="1">
        <f t="array" ref="N78">_xlfn.TEXTJOIN(",",TRUE,(_xlfn._xlws.FILTER($A$2:$A$501,($D$2:$D$501&gt;=O$7)*($D$2:$D$501&lt;N$7)*($E$2:$E$501&gt;=$H79)*($E$2:$E$501&lt;$H78)," ")))</f>
        <v xml:space="preserve"> </v>
      </c>
      <c r="O78" t="str" cm="1">
        <f t="array" ref="O78">_xlfn.TEXTJOIN(",",TRUE,(_xlfn._xlws.FILTER($A$2:$A$501,($D$2:$D$501&gt;=P$7)*($D$2:$D$501&lt;O$7)*($E$2:$E$501&gt;=$H79)*($E$2:$E$501&lt;$H78)," ")))</f>
        <v xml:space="preserve"> </v>
      </c>
      <c r="P78" t="str" cm="1">
        <f t="array" ref="P78">_xlfn.TEXTJOIN(",",TRUE,(_xlfn._xlws.FILTER($A$2:$A$501,($D$2:$D$501&gt;=Q$7)*($D$2:$D$501&lt;P$7)*($E$2:$E$501&gt;=$H79)*($E$2:$E$501&lt;$H78)," ")))</f>
        <v xml:space="preserve"> </v>
      </c>
      <c r="Q78" t="str" cm="1">
        <f t="array" ref="Q78">_xlfn.TEXTJOIN(",",TRUE,(_xlfn._xlws.FILTER($A$2:$A$501,($D$2:$D$501&gt;=R$7)*($D$2:$D$501&lt;Q$7)*($E$2:$E$501&gt;=$H79)*($E$2:$E$501&lt;$H78)," ")))</f>
        <v xml:space="preserve"> </v>
      </c>
      <c r="R78" t="str" cm="1">
        <f t="array" ref="R78">_xlfn.TEXTJOIN(",",TRUE,(_xlfn._xlws.FILTER($A$2:$A$501,($D$2:$D$501&gt;=S$7)*($D$2:$D$501&lt;R$7)*($E$2:$E$501&gt;=$H79)*($E$2:$E$501&lt;$H78)," ")))</f>
        <v xml:space="preserve"> </v>
      </c>
      <c r="S78" t="str" cm="1">
        <f t="array" ref="S78">_xlfn.TEXTJOIN(",",TRUE,(_xlfn._xlws.FILTER($A$2:$A$501,($D$2:$D$501&gt;=T$7)*($D$2:$D$501&lt;S$7)*($E$2:$E$501&gt;=$H79)*($E$2:$E$501&lt;$H78)," ")))</f>
        <v xml:space="preserve"> </v>
      </c>
      <c r="T78" t="str" cm="1">
        <f t="array" ref="T78">_xlfn.TEXTJOIN(",",TRUE,(_xlfn._xlws.FILTER($A$2:$A$501,($D$2:$D$501&gt;=U$7)*($D$2:$D$501&lt;T$7)*($E$2:$E$501&gt;=$H79)*($E$2:$E$501&lt;$H78)," ")))</f>
        <v xml:space="preserve"> </v>
      </c>
      <c r="U78" t="str" cm="1">
        <f t="array" ref="U78">_xlfn.TEXTJOIN(",",TRUE,(_xlfn._xlws.FILTER($A$2:$A$501,($D$2:$D$501&gt;=V$7)*($D$2:$D$501&lt;U$7)*($E$2:$E$501&gt;=$H79)*($E$2:$E$501&lt;$H78)," ")))</f>
        <v xml:space="preserve"> </v>
      </c>
      <c r="V78" t="str" cm="1">
        <f t="array" ref="V78">_xlfn.TEXTJOIN(",",TRUE,(_xlfn._xlws.FILTER($A$2:$A$501,($D$2:$D$501&gt;=W$7)*($D$2:$D$501&lt;V$7)*($E$2:$E$501&gt;=$H79)*($E$2:$E$501&lt;$H78)," ")))</f>
        <v xml:space="preserve"> </v>
      </c>
      <c r="W78" t="str" cm="1">
        <f t="array" ref="W78">_xlfn.TEXTJOIN(",",TRUE,(_xlfn._xlws.FILTER($A$2:$A$501,($D$2:$D$501&gt;=X$7)*($D$2:$D$501&lt;W$7)*($E$2:$E$501&gt;=$H79)*($E$2:$E$501&lt;$H78)," ")))</f>
        <v xml:space="preserve"> </v>
      </c>
      <c r="X78" t="str" cm="1">
        <f t="array" ref="X78">_xlfn.TEXTJOIN(",",TRUE,(_xlfn._xlws.FILTER($A$2:$A$501,($D$2:$D$501&gt;=Y$7)*($D$2:$D$501&lt;X$7)*($E$2:$E$501&gt;=$H79)*($E$2:$E$501&lt;$H78)," ")))</f>
        <v xml:space="preserve"> </v>
      </c>
      <c r="Y78" t="str" cm="1">
        <f t="array" ref="Y78">_xlfn.TEXTJOIN(",",TRUE,(_xlfn._xlws.FILTER($A$2:$A$501,($D$2:$D$501&gt;=Z$7)*($D$2:$D$501&lt;Y$7)*($E$2:$E$501&gt;=$H79)*($E$2:$E$501&lt;$H78)," ")))</f>
        <v xml:space="preserve"> </v>
      </c>
      <c r="Z78" t="str" cm="1">
        <f t="array" ref="Z78">_xlfn.TEXTJOIN(",",TRUE,(_xlfn._xlws.FILTER($A$2:$A$501,($D$2:$D$501&gt;=AA$7)*($D$2:$D$501&lt;Z$7)*($E$2:$E$501&gt;=$H79)*($E$2:$E$501&lt;$H78)," ")))</f>
        <v xml:space="preserve"> </v>
      </c>
      <c r="AA78" t="str" cm="1">
        <f t="array" ref="AA78">_xlfn.TEXTJOIN(",",TRUE,(_xlfn._xlws.FILTER($A$2:$A$501,($D$2:$D$501&gt;=AB$7)*($D$2:$D$501&lt;AA$7)*($E$2:$E$501&gt;=$H79)*($E$2:$E$501&lt;$H78)," ")))</f>
        <v xml:space="preserve"> </v>
      </c>
      <c r="AB78" t="str" cm="1">
        <f t="array" ref="AB78">_xlfn.TEXTJOIN(",",TRUE,(_xlfn._xlws.FILTER($A$2:$A$501,($D$2:$D$501&gt;=AC$7)*($D$2:$D$501&lt;AB$7)*($E$2:$E$501&gt;=$H79)*($E$2:$E$501&lt;$H78)," ")))</f>
        <v xml:space="preserve"> </v>
      </c>
      <c r="AC78" t="str" cm="1">
        <f t="array" ref="AC78">_xlfn.TEXTJOIN(",",TRUE,(_xlfn._xlws.FILTER($A$2:$A$501,($D$2:$D$501&gt;=AD$7)*($D$2:$D$501&lt;AC$7)*($E$2:$E$501&gt;=$H79)*($E$2:$E$501&lt;$H78)," ")))</f>
        <v xml:space="preserve"> </v>
      </c>
      <c r="AD78" t="str" cm="1">
        <f t="array" ref="AD78">_xlfn.TEXTJOIN(",",TRUE,(_xlfn._xlws.FILTER($A$2:$A$501,($D$2:$D$501&gt;=AE$7)*($D$2:$D$501&lt;AD$7)*($E$2:$E$501&gt;=$H79)*($E$2:$E$501&lt;$H78)," ")))</f>
        <v xml:space="preserve"> </v>
      </c>
      <c r="AE78" t="str" cm="1">
        <f t="array" ref="AE78">_xlfn.TEXTJOIN(",",TRUE,(_xlfn._xlws.FILTER($A$2:$A$501,($D$2:$D$501&gt;=AF$7)*($D$2:$D$501&lt;AE$7)*($E$2:$E$501&gt;=$H79)*($E$2:$E$501&lt;$H78)," ")))</f>
        <v xml:space="preserve"> </v>
      </c>
      <c r="AF78" t="str" cm="1">
        <f t="array" ref="AF78">_xlfn.TEXTJOIN(",",TRUE,(_xlfn._xlws.FILTER($A$2:$A$501,($D$2:$D$501&gt;=AG$7)*($D$2:$D$501&lt;AF$7)*($E$2:$E$501&gt;=$H79)*($E$2:$E$501&lt;$H78)," ")))</f>
        <v xml:space="preserve"> </v>
      </c>
      <c r="AG78" t="str" cm="1">
        <f t="array" ref="AG78">_xlfn.TEXTJOIN(",",TRUE,(_xlfn._xlws.FILTER($A$2:$A$501,($D$2:$D$501&gt;=AH$7)*($D$2:$D$501&lt;AG$7)*($E$2:$E$501&gt;=$H79)*($E$2:$E$501&lt;$H78)," ")))</f>
        <v xml:space="preserve"> </v>
      </c>
      <c r="AH78" t="str" cm="1">
        <f t="array" ref="AH78">_xlfn.TEXTJOIN(",",TRUE,(_xlfn._xlws.FILTER($A$2:$A$501,($D$2:$D$501&gt;=AI$7)*($D$2:$D$501&lt;AH$7)*($E$2:$E$501&gt;=$H79)*($E$2:$E$501&lt;$H78)," ")))</f>
        <v xml:space="preserve"> </v>
      </c>
      <c r="AI78" t="str" cm="1">
        <f t="array" ref="AI78">_xlfn.TEXTJOIN(",",TRUE,(_xlfn._xlws.FILTER($A$2:$A$501,($D$2:$D$501&gt;=AJ$7)*($D$2:$D$501&lt;AI$7)*($E$2:$E$501&gt;=$H79)*($E$2:$E$501&lt;$H78)," ")))</f>
        <v xml:space="preserve"> </v>
      </c>
      <c r="AJ78" t="str" cm="1">
        <f t="array" ref="AJ78">_xlfn.TEXTJOIN(",",TRUE,(_xlfn._xlws.FILTER($A$2:$A$501,($D$2:$D$501&gt;=AK$7)*($D$2:$D$501&lt;AJ$7)*($E$2:$E$501&gt;=$H79)*($E$2:$E$501&lt;$H78)," ")))</f>
        <v xml:space="preserve"> </v>
      </c>
      <c r="AK78" t="str" cm="1">
        <f t="array" ref="AK78">_xlfn.TEXTJOIN(",",TRUE,(_xlfn._xlws.FILTER($A$2:$A$501,($D$2:$D$501&gt;=AL$7)*($D$2:$D$501&lt;AK$7)*($E$2:$E$501&gt;=$H79)*($E$2:$E$501&lt;$H78)," ")))</f>
        <v xml:space="preserve"> </v>
      </c>
      <c r="AL78" t="str" cm="1">
        <f t="array" ref="AL78">_xlfn.TEXTJOIN(",",TRUE,(_xlfn._xlws.FILTER($A$2:$A$501,($D$2:$D$501&gt;=AM$7)*($D$2:$D$501&lt;AL$7)*($E$2:$E$501&gt;=$H79)*($E$2:$E$501&lt;$H78)," ")))</f>
        <v xml:space="preserve"> </v>
      </c>
      <c r="AM78" t="str" cm="1">
        <f t="array" ref="AM78">_xlfn.TEXTJOIN(",",TRUE,(_xlfn._xlws.FILTER($A$2:$A$501,($D$2:$D$501&gt;=AN$7)*($D$2:$D$501&lt;AM$7)*($E$2:$E$501&gt;=$H79)*($E$2:$E$501&lt;$H78)," ")))</f>
        <v xml:space="preserve"> </v>
      </c>
      <c r="AN78" t="str" cm="1">
        <f t="array" ref="AN78">_xlfn.TEXTJOIN(",",TRUE,(_xlfn._xlws.FILTER($A$2:$A$501,($D$2:$D$501&gt;=AO$7)*($D$2:$D$501&lt;AN$7)*($E$2:$E$501&gt;=$H79)*($E$2:$E$501&lt;$H78)," ")))</f>
        <v xml:space="preserve"> </v>
      </c>
      <c r="AO78" t="str" cm="1">
        <f t="array" ref="AO78">_xlfn.TEXTJOIN(",",TRUE,(_xlfn._xlws.FILTER($A$2:$A$501,($D$2:$D$501&gt;=AP$7)*($D$2:$D$501&lt;AO$7)*($E$2:$E$501&gt;=$H79)*($E$2:$E$501&lt;$H78)," ")))</f>
        <v xml:space="preserve"> </v>
      </c>
      <c r="AP78" t="str" cm="1">
        <f t="array" ref="AP78">_xlfn.TEXTJOIN(",",TRUE,(_xlfn._xlws.FILTER($A$2:$A$501,($D$2:$D$501&gt;=AQ$7)*($D$2:$D$501&lt;AP$7)*($E$2:$E$501&gt;=$H79)*($E$2:$E$501&lt;$H78)," ")))</f>
        <v xml:space="preserve"> </v>
      </c>
      <c r="AQ78" t="str" cm="1">
        <f t="array" ref="AQ78">_xlfn.TEXTJOIN(",",TRUE,(_xlfn._xlws.FILTER($A$2:$A$501,($D$2:$D$501&gt;=AR$7)*($D$2:$D$501&lt;AQ$7)*($E$2:$E$501&gt;=$H79)*($E$2:$E$501&lt;$H78)," ")))</f>
        <v xml:space="preserve"> </v>
      </c>
      <c r="AR78" t="str" cm="1">
        <f t="array" ref="AR78">_xlfn.TEXTJOIN(",",TRUE,(_xlfn._xlws.FILTER($A$2:$A$501,($D$2:$D$501&gt;=AS$7)*($D$2:$D$501&lt;AR$7)*($E$2:$E$501&gt;=$H79)*($E$2:$E$501&lt;$H78)," ")))</f>
        <v xml:space="preserve"> </v>
      </c>
      <c r="AS78" t="str" cm="1">
        <f t="array" ref="AS78">_xlfn.TEXTJOIN(",",TRUE,(_xlfn._xlws.FILTER($A$2:$A$501,($D$2:$D$501&gt;=AT$7)*($D$2:$D$501&lt;AS$7)*($E$2:$E$501&gt;=$H79)*($E$2:$E$501&lt;$H78)," ")))</f>
        <v xml:space="preserve"> </v>
      </c>
      <c r="AT78" t="str" cm="1">
        <f t="array" ref="AT78">_xlfn.TEXTJOIN(",",TRUE,(_xlfn._xlws.FILTER($A$2:$A$501,($D$2:$D$501&gt;=AU$7)*($D$2:$D$501&lt;AT$7)*($E$2:$E$501&gt;=$H79)*($E$2:$E$501&lt;$H78)," ")))</f>
        <v xml:space="preserve"> </v>
      </c>
      <c r="AU78" t="str" cm="1">
        <f t="array" ref="AU78">_xlfn.TEXTJOIN(",",TRUE,(_xlfn._xlws.FILTER($A$2:$A$501,($D$2:$D$501&gt;=AV$7)*($D$2:$D$501&lt;AU$7)*($E$2:$E$501&gt;=$H79)*($E$2:$E$501&lt;$H78)," ")))</f>
        <v xml:space="preserve"> </v>
      </c>
      <c r="AV78" t="str" cm="1">
        <f t="array" ref="AV78">_xlfn.TEXTJOIN(",",TRUE,(_xlfn._xlws.FILTER($A$2:$A$501,($D$2:$D$501&gt;=AW$7)*($D$2:$D$501&lt;AV$7)*($E$2:$E$501&gt;=$H79)*($E$2:$E$501&lt;$H78)," ")))</f>
        <v xml:space="preserve"> </v>
      </c>
      <c r="AW78" t="str" cm="1">
        <f t="array" ref="AW78">_xlfn.TEXTJOIN(",",TRUE,(_xlfn._xlws.FILTER($A$2:$A$501,($D$2:$D$501&gt;=AX$7)*($D$2:$D$501&lt;AW$7)*($E$2:$E$501&gt;=$H79)*($E$2:$E$501&lt;$H78)," ")))</f>
        <v xml:space="preserve"> </v>
      </c>
      <c r="AX78" t="str" cm="1">
        <f t="array" ref="AX78">_xlfn.TEXTJOIN(",",TRUE,(_xlfn._xlws.FILTER($A$2:$A$501,($D$2:$D$501&gt;=AY$7)*($D$2:$D$501&lt;AX$7)*($E$2:$E$501&gt;=$H79)*($E$2:$E$501&lt;$H78)," ")))</f>
        <v xml:space="preserve"> </v>
      </c>
      <c r="AY78" t="str" cm="1">
        <f t="array" ref="AY78">_xlfn.TEXTJOIN(",",TRUE,(_xlfn._xlws.FILTER($A$2:$A$501,($D$2:$D$501&gt;=AZ$7)*($D$2:$D$501&lt;AY$7)*($E$2:$E$501&gt;=$H79)*($E$2:$E$501&lt;$H78)," ")))</f>
        <v xml:space="preserve"> </v>
      </c>
      <c r="AZ78" t="str" cm="1">
        <f t="array" ref="AZ78">_xlfn.TEXTJOIN(",",TRUE,(_xlfn._xlws.FILTER($A$2:$A$501,($D$2:$D$501&gt;=BA$7)*($D$2:$D$501&lt;AZ$7)*($E$2:$E$501&gt;=$H79)*($E$2:$E$501&lt;$H78)," ")))</f>
        <v xml:space="preserve"> </v>
      </c>
      <c r="BA78" t="str" cm="1">
        <f t="array" ref="BA78">_xlfn.TEXTJOIN(",",TRUE,(_xlfn._xlws.FILTER($A$2:$A$501,($D$2:$D$501&gt;=BB$7)*($D$2:$D$501&lt;BA$7)*($E$2:$E$501&gt;=$H79)*($E$2:$E$501&lt;$H78)," ")))</f>
        <v xml:space="preserve"> </v>
      </c>
      <c r="BB78" t="str" cm="1">
        <f t="array" ref="BB78">_xlfn.TEXTJOIN(",",TRUE,(_xlfn._xlws.FILTER($A$2:$A$501,($D$2:$D$501&gt;=BC$7)*($D$2:$D$501&lt;BB$7)*($E$2:$E$501&gt;=$H79)*($E$2:$E$501&lt;$H78)," ")))</f>
        <v xml:space="preserve"> </v>
      </c>
    </row>
    <row r="79" spans="1:54" x14ac:dyDescent="0.2">
      <c r="A79" s="3" t="s">
        <v>557</v>
      </c>
      <c r="B79" s="3" t="s">
        <v>554</v>
      </c>
      <c r="C79" s="13">
        <v>2528401.79</v>
      </c>
      <c r="D79" s="15">
        <v>54243516.770000003</v>
      </c>
      <c r="E79" s="22">
        <f>TuitionRates3[[#This Row],[Tuition]]/D79</f>
        <v>4.6612055053892848E-2</v>
      </c>
      <c r="F79"/>
      <c r="H79" s="18">
        <v>7.8999999999999904E-2</v>
      </c>
      <c r="I79" t="str" cm="1">
        <f t="array" ref="I79">_xlfn.TEXTJOIN(",",TRUE,(_xlfn._xlws.FILTER($A$2:$A$501,($D$2:$D$501&gt;=J$7)*($D$2:$D$501&lt;I$7)*($E$2:$E$501&gt;=$H80)*($E$2:$E$501&lt;$H79)," ")))</f>
        <v xml:space="preserve"> </v>
      </c>
      <c r="J79" t="str" cm="1">
        <f t="array" ref="J79">_xlfn.TEXTJOIN(",",TRUE,(_xlfn._xlws.FILTER($A$2:$A$501,($D$2:$D$501&gt;=K$7)*($D$2:$D$501&lt;J$7)*($E$2:$E$501&gt;=$H80)*($E$2:$E$501&lt;$H79)," ")))</f>
        <v xml:space="preserve"> </v>
      </c>
      <c r="K79" t="str" cm="1">
        <f t="array" ref="K79">_xlfn.TEXTJOIN(",",TRUE,(_xlfn._xlws.FILTER($A$2:$A$501,($D$2:$D$501&gt;=L$7)*($D$2:$D$501&lt;K$7)*($E$2:$E$501&gt;=$H80)*($E$2:$E$501&lt;$H79)," ")))</f>
        <v xml:space="preserve"> </v>
      </c>
      <c r="L79" t="str" cm="1">
        <f t="array" ref="L79">_xlfn.TEXTJOIN(",",TRUE,(_xlfn._xlws.FILTER($A$2:$A$501,($D$2:$D$501&gt;=M$7)*($D$2:$D$501&lt;L$7)*($E$2:$E$501&gt;=$H80)*($E$2:$E$501&lt;$H79)," ")))</f>
        <v xml:space="preserve"> </v>
      </c>
      <c r="M79" t="str" cm="1">
        <f t="array" ref="M79">_xlfn.TEXTJOIN(",",TRUE,(_xlfn._xlws.FILTER($A$2:$A$501,($D$2:$D$501&gt;=N$7)*($D$2:$D$501&lt;M$7)*($E$2:$E$501&gt;=$H80)*($E$2:$E$501&lt;$H79)," ")))</f>
        <v xml:space="preserve"> </v>
      </c>
      <c r="N79" t="str" cm="1">
        <f t="array" ref="N79">_xlfn.TEXTJOIN(",",TRUE,(_xlfn._xlws.FILTER($A$2:$A$501,($D$2:$D$501&gt;=O$7)*($D$2:$D$501&lt;N$7)*($E$2:$E$501&gt;=$H80)*($E$2:$E$501&lt;$H79)," ")))</f>
        <v xml:space="preserve"> </v>
      </c>
      <c r="O79" t="str" cm="1">
        <f t="array" ref="O79">_xlfn.TEXTJOIN(",",TRUE,(_xlfn._xlws.FILTER($A$2:$A$501,($D$2:$D$501&gt;=P$7)*($D$2:$D$501&lt;O$7)*($E$2:$E$501&gt;=$H80)*($E$2:$E$501&lt;$H79)," ")))</f>
        <v xml:space="preserve"> </v>
      </c>
      <c r="P79" t="str" cm="1">
        <f t="array" ref="P79">_xlfn.TEXTJOIN(",",TRUE,(_xlfn._xlws.FILTER($A$2:$A$501,($D$2:$D$501&gt;=Q$7)*($D$2:$D$501&lt;P$7)*($E$2:$E$501&gt;=$H80)*($E$2:$E$501&lt;$H79)," ")))</f>
        <v xml:space="preserve"> </v>
      </c>
      <c r="Q79" t="str" cm="1">
        <f t="array" ref="Q79">_xlfn.TEXTJOIN(",",TRUE,(_xlfn._xlws.FILTER($A$2:$A$501,($D$2:$D$501&gt;=R$7)*($D$2:$D$501&lt;Q$7)*($E$2:$E$501&gt;=$H80)*($E$2:$E$501&lt;$H79)," ")))</f>
        <v xml:space="preserve"> </v>
      </c>
      <c r="R79" t="str" cm="1">
        <f t="array" ref="R79">_xlfn.TEXTJOIN(",",TRUE,(_xlfn._xlws.FILTER($A$2:$A$501,($D$2:$D$501&gt;=S$7)*($D$2:$D$501&lt;R$7)*($E$2:$E$501&gt;=$H80)*($E$2:$E$501&lt;$H79)," ")))</f>
        <v xml:space="preserve"> </v>
      </c>
      <c r="S79" t="str" cm="1">
        <f t="array" ref="S79">_xlfn.TEXTJOIN(",",TRUE,(_xlfn._xlws.FILTER($A$2:$A$501,($D$2:$D$501&gt;=T$7)*($D$2:$D$501&lt;S$7)*($E$2:$E$501&gt;=$H80)*($E$2:$E$501&lt;$H79)," ")))</f>
        <v xml:space="preserve"> </v>
      </c>
      <c r="T79" t="str" cm="1">
        <f t="array" ref="T79">_xlfn.TEXTJOIN(",",TRUE,(_xlfn._xlws.FILTER($A$2:$A$501,($D$2:$D$501&gt;=U$7)*($D$2:$D$501&lt;T$7)*($E$2:$E$501&gt;=$H80)*($E$2:$E$501&lt;$H79)," ")))</f>
        <v xml:space="preserve"> </v>
      </c>
      <c r="U79" t="str" cm="1">
        <f t="array" ref="U79">_xlfn.TEXTJOIN(",",TRUE,(_xlfn._xlws.FILTER($A$2:$A$501,($D$2:$D$501&gt;=V$7)*($D$2:$D$501&lt;U$7)*($E$2:$E$501&gt;=$H80)*($E$2:$E$501&lt;$H79)," ")))</f>
        <v xml:space="preserve"> </v>
      </c>
      <c r="V79" t="str" cm="1">
        <f t="array" ref="V79">_xlfn.TEXTJOIN(",",TRUE,(_xlfn._xlws.FILTER($A$2:$A$501,($D$2:$D$501&gt;=W$7)*($D$2:$D$501&lt;V$7)*($E$2:$E$501&gt;=$H80)*($E$2:$E$501&lt;$H79)," ")))</f>
        <v xml:space="preserve"> </v>
      </c>
      <c r="W79" t="str" cm="1">
        <f t="array" ref="W79">_xlfn.TEXTJOIN(",",TRUE,(_xlfn._xlws.FILTER($A$2:$A$501,($D$2:$D$501&gt;=X$7)*($D$2:$D$501&lt;W$7)*($E$2:$E$501&gt;=$H80)*($E$2:$E$501&lt;$H79)," ")))</f>
        <v xml:space="preserve"> </v>
      </c>
      <c r="X79" t="str" cm="1">
        <f t="array" ref="X79">_xlfn.TEXTJOIN(",",TRUE,(_xlfn._xlws.FILTER($A$2:$A$501,($D$2:$D$501&gt;=Y$7)*($D$2:$D$501&lt;X$7)*($E$2:$E$501&gt;=$H80)*($E$2:$E$501&lt;$H79)," ")))</f>
        <v xml:space="preserve"> </v>
      </c>
      <c r="Y79" t="str" cm="1">
        <f t="array" ref="Y79">_xlfn.TEXTJOIN(",",TRUE,(_xlfn._xlws.FILTER($A$2:$A$501,($D$2:$D$501&gt;=Z$7)*($D$2:$D$501&lt;Y$7)*($E$2:$E$501&gt;=$H80)*($E$2:$E$501&lt;$H79)," ")))</f>
        <v xml:space="preserve"> </v>
      </c>
      <c r="Z79" t="str" cm="1">
        <f t="array" ref="Z79">_xlfn.TEXTJOIN(",",TRUE,(_xlfn._xlws.FILTER($A$2:$A$501,($D$2:$D$501&gt;=AA$7)*($D$2:$D$501&lt;Z$7)*($E$2:$E$501&gt;=$H80)*($E$2:$E$501&lt;$H79)," ")))</f>
        <v xml:space="preserve"> </v>
      </c>
      <c r="AA79" t="str" cm="1">
        <f t="array" ref="AA79">_xlfn.TEXTJOIN(",",TRUE,(_xlfn._xlws.FILTER($A$2:$A$501,($D$2:$D$501&gt;=AB$7)*($D$2:$D$501&lt;AA$7)*($E$2:$E$501&gt;=$H80)*($E$2:$E$501&lt;$H79)," ")))</f>
        <v xml:space="preserve"> </v>
      </c>
      <c r="AB79" t="str" cm="1">
        <f t="array" ref="AB79">_xlfn.TEXTJOIN(",",TRUE,(_xlfn._xlws.FILTER($A$2:$A$501,($D$2:$D$501&gt;=AC$7)*($D$2:$D$501&lt;AB$7)*($E$2:$E$501&gt;=$H80)*($E$2:$E$501&lt;$H79)," ")))</f>
        <v xml:space="preserve"> </v>
      </c>
      <c r="AC79" t="str" cm="1">
        <f t="array" ref="AC79">_xlfn.TEXTJOIN(",",TRUE,(_xlfn._xlws.FILTER($A$2:$A$501,($D$2:$D$501&gt;=AD$7)*($D$2:$D$501&lt;AC$7)*($E$2:$E$501&gt;=$H80)*($E$2:$E$501&lt;$H79)," ")))</f>
        <v xml:space="preserve"> </v>
      </c>
      <c r="AD79" t="str" cm="1">
        <f t="array" ref="AD79">_xlfn.TEXTJOIN(",",TRUE,(_xlfn._xlws.FILTER($A$2:$A$501,($D$2:$D$501&gt;=AE$7)*($D$2:$D$501&lt;AD$7)*($E$2:$E$501&gt;=$H80)*($E$2:$E$501&lt;$H79)," ")))</f>
        <v xml:space="preserve"> </v>
      </c>
      <c r="AE79" t="str" cm="1">
        <f t="array" ref="AE79">_xlfn.TEXTJOIN(",",TRUE,(_xlfn._xlws.FILTER($A$2:$A$501,($D$2:$D$501&gt;=AF$7)*($D$2:$D$501&lt;AE$7)*($E$2:$E$501&gt;=$H80)*($E$2:$E$501&lt;$H79)," ")))</f>
        <v xml:space="preserve"> </v>
      </c>
      <c r="AF79" t="str" cm="1">
        <f t="array" ref="AF79">_xlfn.TEXTJOIN(",",TRUE,(_xlfn._xlws.FILTER($A$2:$A$501,($D$2:$D$501&gt;=AG$7)*($D$2:$D$501&lt;AF$7)*($E$2:$E$501&gt;=$H80)*($E$2:$E$501&lt;$H79)," ")))</f>
        <v xml:space="preserve"> </v>
      </c>
      <c r="AG79" t="str" cm="1">
        <f t="array" ref="AG79">_xlfn.TEXTJOIN(",",TRUE,(_xlfn._xlws.FILTER($A$2:$A$501,($D$2:$D$501&gt;=AH$7)*($D$2:$D$501&lt;AG$7)*($E$2:$E$501&gt;=$H80)*($E$2:$E$501&lt;$H79)," ")))</f>
        <v xml:space="preserve"> </v>
      </c>
      <c r="AH79" t="str" cm="1">
        <f t="array" ref="AH79">_xlfn.TEXTJOIN(",",TRUE,(_xlfn._xlws.FILTER($A$2:$A$501,($D$2:$D$501&gt;=AI$7)*($D$2:$D$501&lt;AH$7)*($E$2:$E$501&gt;=$H80)*($E$2:$E$501&lt;$H79)," ")))</f>
        <v xml:space="preserve"> </v>
      </c>
      <c r="AI79" t="str" cm="1">
        <f t="array" ref="AI79">_xlfn.TEXTJOIN(",",TRUE,(_xlfn._xlws.FILTER($A$2:$A$501,($D$2:$D$501&gt;=AJ$7)*($D$2:$D$501&lt;AI$7)*($E$2:$E$501&gt;=$H80)*($E$2:$E$501&lt;$H79)," ")))</f>
        <v xml:space="preserve"> </v>
      </c>
      <c r="AJ79" t="str" cm="1">
        <f t="array" ref="AJ79">_xlfn.TEXTJOIN(",",TRUE,(_xlfn._xlws.FILTER($A$2:$A$501,($D$2:$D$501&gt;=AK$7)*($D$2:$D$501&lt;AJ$7)*($E$2:$E$501&gt;=$H80)*($E$2:$E$501&lt;$H79)," ")))</f>
        <v xml:space="preserve"> </v>
      </c>
      <c r="AK79" t="str" cm="1">
        <f t="array" ref="AK79">_xlfn.TEXTJOIN(",",TRUE,(_xlfn._xlws.FILTER($A$2:$A$501,($D$2:$D$501&gt;=AL$7)*($D$2:$D$501&lt;AK$7)*($E$2:$E$501&gt;=$H80)*($E$2:$E$501&lt;$H79)," ")))</f>
        <v xml:space="preserve"> </v>
      </c>
      <c r="AL79" t="str" cm="1">
        <f t="array" ref="AL79">_xlfn.TEXTJOIN(",",TRUE,(_xlfn._xlws.FILTER($A$2:$A$501,($D$2:$D$501&gt;=AM$7)*($D$2:$D$501&lt;AL$7)*($E$2:$E$501&gt;=$H80)*($E$2:$E$501&lt;$H79)," ")))</f>
        <v xml:space="preserve"> </v>
      </c>
      <c r="AM79" t="str" cm="1">
        <f t="array" ref="AM79">_xlfn.TEXTJOIN(",",TRUE,(_xlfn._xlws.FILTER($A$2:$A$501,($D$2:$D$501&gt;=AN$7)*($D$2:$D$501&lt;AM$7)*($E$2:$E$501&gt;=$H80)*($E$2:$E$501&lt;$H79)," ")))</f>
        <v xml:space="preserve"> </v>
      </c>
      <c r="AN79" t="str" cm="1">
        <f t="array" ref="AN79">_xlfn.TEXTJOIN(",",TRUE,(_xlfn._xlws.FILTER($A$2:$A$501,($D$2:$D$501&gt;=AO$7)*($D$2:$D$501&lt;AN$7)*($E$2:$E$501&gt;=$H80)*($E$2:$E$501&lt;$H79)," ")))</f>
        <v xml:space="preserve"> </v>
      </c>
      <c r="AO79" t="str" cm="1">
        <f t="array" ref="AO79">_xlfn.TEXTJOIN(",",TRUE,(_xlfn._xlws.FILTER($A$2:$A$501,($D$2:$D$501&gt;=AP$7)*($D$2:$D$501&lt;AO$7)*($E$2:$E$501&gt;=$H80)*($E$2:$E$501&lt;$H79)," ")))</f>
        <v xml:space="preserve"> </v>
      </c>
      <c r="AP79" t="str" cm="1">
        <f t="array" ref="AP79">_xlfn.TEXTJOIN(",",TRUE,(_xlfn._xlws.FILTER($A$2:$A$501,($D$2:$D$501&gt;=AQ$7)*($D$2:$D$501&lt;AP$7)*($E$2:$E$501&gt;=$H80)*($E$2:$E$501&lt;$H79)," ")))</f>
        <v xml:space="preserve"> </v>
      </c>
      <c r="AQ79" t="str" cm="1">
        <f t="array" ref="AQ79">_xlfn.TEXTJOIN(",",TRUE,(_xlfn._xlws.FILTER($A$2:$A$501,($D$2:$D$501&gt;=AR$7)*($D$2:$D$501&lt;AQ$7)*($E$2:$E$501&gt;=$H80)*($E$2:$E$501&lt;$H79)," ")))</f>
        <v xml:space="preserve"> </v>
      </c>
      <c r="AR79" t="str" cm="1">
        <f t="array" ref="AR79">_xlfn.TEXTJOIN(",",TRUE,(_xlfn._xlws.FILTER($A$2:$A$501,($D$2:$D$501&gt;=AS$7)*($D$2:$D$501&lt;AR$7)*($E$2:$E$501&gt;=$H80)*($E$2:$E$501&lt;$H79)," ")))</f>
        <v xml:space="preserve"> </v>
      </c>
      <c r="AS79" t="str" cm="1">
        <f t="array" ref="AS79">_xlfn.TEXTJOIN(",",TRUE,(_xlfn._xlws.FILTER($A$2:$A$501,($D$2:$D$501&gt;=AT$7)*($D$2:$D$501&lt;AS$7)*($E$2:$E$501&gt;=$H80)*($E$2:$E$501&lt;$H79)," ")))</f>
        <v xml:space="preserve"> </v>
      </c>
      <c r="AT79" t="str" cm="1">
        <f t="array" ref="AT79">_xlfn.TEXTJOIN(",",TRUE,(_xlfn._xlws.FILTER($A$2:$A$501,($D$2:$D$501&gt;=AU$7)*($D$2:$D$501&lt;AT$7)*($E$2:$E$501&gt;=$H80)*($E$2:$E$501&lt;$H79)," ")))</f>
        <v xml:space="preserve"> </v>
      </c>
      <c r="AU79" t="str" cm="1">
        <f t="array" ref="AU79">_xlfn.TEXTJOIN(",",TRUE,(_xlfn._xlws.FILTER($A$2:$A$501,($D$2:$D$501&gt;=AV$7)*($D$2:$D$501&lt;AU$7)*($E$2:$E$501&gt;=$H80)*($E$2:$E$501&lt;$H79)," ")))</f>
        <v xml:space="preserve"> </v>
      </c>
      <c r="AV79" t="str" cm="1">
        <f t="array" ref="AV79">_xlfn.TEXTJOIN(",",TRUE,(_xlfn._xlws.FILTER($A$2:$A$501,($D$2:$D$501&gt;=AW$7)*($D$2:$D$501&lt;AV$7)*($E$2:$E$501&gt;=$H80)*($E$2:$E$501&lt;$H79)," ")))</f>
        <v xml:space="preserve"> </v>
      </c>
      <c r="AW79" t="str" cm="1">
        <f t="array" ref="AW79">_xlfn.TEXTJOIN(",",TRUE,(_xlfn._xlws.FILTER($A$2:$A$501,($D$2:$D$501&gt;=AX$7)*($D$2:$D$501&lt;AW$7)*($E$2:$E$501&gt;=$H80)*($E$2:$E$501&lt;$H79)," ")))</f>
        <v xml:space="preserve"> </v>
      </c>
      <c r="AX79" t="str" cm="1">
        <f t="array" ref="AX79">_xlfn.TEXTJOIN(",",TRUE,(_xlfn._xlws.FILTER($A$2:$A$501,($D$2:$D$501&gt;=AY$7)*($D$2:$D$501&lt;AX$7)*($E$2:$E$501&gt;=$H80)*($E$2:$E$501&lt;$H79)," ")))</f>
        <v xml:space="preserve"> </v>
      </c>
      <c r="AY79" t="str" cm="1">
        <f t="array" ref="AY79">_xlfn.TEXTJOIN(",",TRUE,(_xlfn._xlws.FILTER($A$2:$A$501,($D$2:$D$501&gt;=AZ$7)*($D$2:$D$501&lt;AY$7)*($E$2:$E$501&gt;=$H80)*($E$2:$E$501&lt;$H79)," ")))</f>
        <v xml:space="preserve"> </v>
      </c>
      <c r="AZ79" t="str" cm="1">
        <f t="array" ref="AZ79">_xlfn.TEXTJOIN(",",TRUE,(_xlfn._xlws.FILTER($A$2:$A$501,($D$2:$D$501&gt;=BA$7)*($D$2:$D$501&lt;AZ$7)*($E$2:$E$501&gt;=$H80)*($E$2:$E$501&lt;$H79)," ")))</f>
        <v xml:space="preserve"> </v>
      </c>
      <c r="BA79" t="str" cm="1">
        <f t="array" ref="BA79">_xlfn.TEXTJOIN(",",TRUE,(_xlfn._xlws.FILTER($A$2:$A$501,($D$2:$D$501&gt;=BB$7)*($D$2:$D$501&lt;BA$7)*($E$2:$E$501&gt;=$H80)*($E$2:$E$501&lt;$H79)," ")))</f>
        <v xml:space="preserve"> </v>
      </c>
      <c r="BB79" t="str" cm="1">
        <f t="array" ref="BB79">_xlfn.TEXTJOIN(",",TRUE,(_xlfn._xlws.FILTER($A$2:$A$501,($D$2:$D$501&gt;=BC$7)*($D$2:$D$501&lt;BB$7)*($E$2:$E$501&gt;=$H80)*($E$2:$E$501&lt;$H79)," ")))</f>
        <v xml:space="preserve"> </v>
      </c>
    </row>
    <row r="80" spans="1:54" x14ac:dyDescent="0.2">
      <c r="A80" s="3" t="s">
        <v>346</v>
      </c>
      <c r="B80" s="3" t="s">
        <v>342</v>
      </c>
      <c r="C80" s="13">
        <v>2126816.12</v>
      </c>
      <c r="D80" s="15">
        <v>45744416.609999999</v>
      </c>
      <c r="E80" s="22">
        <f>TuitionRates3[[#This Row],[Tuition]]/D80</f>
        <v>4.6493458166325496E-2</v>
      </c>
      <c r="F80"/>
      <c r="H80" s="18">
        <v>7.7999999999999903E-2</v>
      </c>
      <c r="I80" t="str" cm="1">
        <f t="array" ref="I80">_xlfn.TEXTJOIN(",",TRUE,(_xlfn._xlws.FILTER($A$2:$A$501,($D$2:$D$501&gt;=J$7)*($D$2:$D$501&lt;I$7)*($E$2:$E$501&gt;=$H81)*($E$2:$E$501&lt;$H80)," ")))</f>
        <v xml:space="preserve"> </v>
      </c>
      <c r="J80" t="str" cm="1">
        <f t="array" ref="J80">_xlfn.TEXTJOIN(",",TRUE,(_xlfn._xlws.FILTER($A$2:$A$501,($D$2:$D$501&gt;=K$7)*($D$2:$D$501&lt;J$7)*($E$2:$E$501&gt;=$H81)*($E$2:$E$501&lt;$H80)," ")))</f>
        <v xml:space="preserve"> </v>
      </c>
      <c r="K80" t="str" cm="1">
        <f t="array" ref="K80">_xlfn.TEXTJOIN(",",TRUE,(_xlfn._xlws.FILTER($A$2:$A$501,($D$2:$D$501&gt;=L$7)*($D$2:$D$501&lt;K$7)*($E$2:$E$501&gt;=$H81)*($E$2:$E$501&lt;$H80)," ")))</f>
        <v xml:space="preserve"> </v>
      </c>
      <c r="L80" t="str" cm="1">
        <f t="array" ref="L80">_xlfn.TEXTJOIN(",",TRUE,(_xlfn._xlws.FILTER($A$2:$A$501,($D$2:$D$501&gt;=M$7)*($D$2:$D$501&lt;L$7)*($E$2:$E$501&gt;=$H81)*($E$2:$E$501&lt;$H80)," ")))</f>
        <v xml:space="preserve"> </v>
      </c>
      <c r="M80" t="str" cm="1">
        <f t="array" ref="M80">_xlfn.TEXTJOIN(",",TRUE,(_xlfn._xlws.FILTER($A$2:$A$501,($D$2:$D$501&gt;=N$7)*($D$2:$D$501&lt;M$7)*($E$2:$E$501&gt;=$H81)*($E$2:$E$501&lt;$H80)," ")))</f>
        <v xml:space="preserve"> </v>
      </c>
      <c r="N80" t="str" cm="1">
        <f t="array" ref="N80">_xlfn.TEXTJOIN(",",TRUE,(_xlfn._xlws.FILTER($A$2:$A$501,($D$2:$D$501&gt;=O$7)*($D$2:$D$501&lt;N$7)*($E$2:$E$501&gt;=$H81)*($E$2:$E$501&lt;$H80)," ")))</f>
        <v xml:space="preserve"> </v>
      </c>
      <c r="O80" t="str" cm="1">
        <f t="array" ref="O80">_xlfn.TEXTJOIN(",",TRUE,(_xlfn._xlws.FILTER($A$2:$A$501,($D$2:$D$501&gt;=P$7)*($D$2:$D$501&lt;O$7)*($E$2:$E$501&gt;=$H81)*($E$2:$E$501&lt;$H80)," ")))</f>
        <v xml:space="preserve"> </v>
      </c>
      <c r="P80" t="str" cm="1">
        <f t="array" ref="P80">_xlfn.TEXTJOIN(",",TRUE,(_xlfn._xlws.FILTER($A$2:$A$501,($D$2:$D$501&gt;=Q$7)*($D$2:$D$501&lt;P$7)*($E$2:$E$501&gt;=$H81)*($E$2:$E$501&lt;$H80)," ")))</f>
        <v xml:space="preserve"> </v>
      </c>
      <c r="Q80" t="str" cm="1">
        <f t="array" ref="Q80">_xlfn.TEXTJOIN(",",TRUE,(_xlfn._xlws.FILTER($A$2:$A$501,($D$2:$D$501&gt;=R$7)*($D$2:$D$501&lt;Q$7)*($E$2:$E$501&gt;=$H81)*($E$2:$E$501&lt;$H80)," ")))</f>
        <v xml:space="preserve"> </v>
      </c>
      <c r="R80" t="str" cm="1">
        <f t="array" ref="R80">_xlfn.TEXTJOIN(",",TRUE,(_xlfn._xlws.FILTER($A$2:$A$501,($D$2:$D$501&gt;=S$7)*($D$2:$D$501&lt;R$7)*($E$2:$E$501&gt;=$H81)*($E$2:$E$501&lt;$H80)," ")))</f>
        <v xml:space="preserve"> </v>
      </c>
      <c r="S80" t="str" cm="1">
        <f t="array" ref="S80">_xlfn.TEXTJOIN(",",TRUE,(_xlfn._xlws.FILTER($A$2:$A$501,($D$2:$D$501&gt;=T$7)*($D$2:$D$501&lt;S$7)*($E$2:$E$501&gt;=$H81)*($E$2:$E$501&lt;$H80)," ")))</f>
        <v xml:space="preserve"> </v>
      </c>
      <c r="T80" t="str" cm="1">
        <f t="array" ref="T80">_xlfn.TEXTJOIN(",",TRUE,(_xlfn._xlws.FILTER($A$2:$A$501,($D$2:$D$501&gt;=U$7)*($D$2:$D$501&lt;T$7)*($E$2:$E$501&gt;=$H81)*($E$2:$E$501&lt;$H80)," ")))</f>
        <v xml:space="preserve"> </v>
      </c>
      <c r="U80" t="str" cm="1">
        <f t="array" ref="U80">_xlfn.TEXTJOIN(",",TRUE,(_xlfn._xlws.FILTER($A$2:$A$501,($D$2:$D$501&gt;=V$7)*($D$2:$D$501&lt;U$7)*($E$2:$E$501&gt;=$H81)*($E$2:$E$501&lt;$H80)," ")))</f>
        <v xml:space="preserve"> </v>
      </c>
      <c r="V80" t="str" cm="1">
        <f t="array" ref="V80">_xlfn.TEXTJOIN(",",TRUE,(_xlfn._xlws.FILTER($A$2:$A$501,($D$2:$D$501&gt;=W$7)*($D$2:$D$501&lt;V$7)*($E$2:$E$501&gt;=$H81)*($E$2:$E$501&lt;$H80)," ")))</f>
        <v xml:space="preserve"> </v>
      </c>
      <c r="W80" t="str" cm="1">
        <f t="array" ref="W80">_xlfn.TEXTJOIN(",",TRUE,(_xlfn._xlws.FILTER($A$2:$A$501,($D$2:$D$501&gt;=X$7)*($D$2:$D$501&lt;W$7)*($E$2:$E$501&gt;=$H81)*($E$2:$E$501&lt;$H80)," ")))</f>
        <v xml:space="preserve"> </v>
      </c>
      <c r="X80" t="str" cm="1">
        <f t="array" ref="X80">_xlfn.TEXTJOIN(",",TRUE,(_xlfn._xlws.FILTER($A$2:$A$501,($D$2:$D$501&gt;=Y$7)*($D$2:$D$501&lt;X$7)*($E$2:$E$501&gt;=$H81)*($E$2:$E$501&lt;$H80)," ")))</f>
        <v xml:space="preserve"> </v>
      </c>
      <c r="Y80" t="str" cm="1">
        <f t="array" ref="Y80">_xlfn.TEXTJOIN(",",TRUE,(_xlfn._xlws.FILTER($A$2:$A$501,($D$2:$D$501&gt;=Z$7)*($D$2:$D$501&lt;Y$7)*($E$2:$E$501&gt;=$H81)*($E$2:$E$501&lt;$H80)," ")))</f>
        <v xml:space="preserve"> </v>
      </c>
      <c r="Z80" t="str" cm="1">
        <f t="array" ref="Z80">_xlfn.TEXTJOIN(",",TRUE,(_xlfn._xlws.FILTER($A$2:$A$501,($D$2:$D$501&gt;=AA$7)*($D$2:$D$501&lt;Z$7)*($E$2:$E$501&gt;=$H81)*($E$2:$E$501&lt;$H80)," ")))</f>
        <v xml:space="preserve"> </v>
      </c>
      <c r="AA80" t="str" cm="1">
        <f t="array" ref="AA80">_xlfn.TEXTJOIN(",",TRUE,(_xlfn._xlws.FILTER($A$2:$A$501,($D$2:$D$501&gt;=AB$7)*($D$2:$D$501&lt;AA$7)*($E$2:$E$501&gt;=$H81)*($E$2:$E$501&lt;$H80)," ")))</f>
        <v xml:space="preserve"> </v>
      </c>
      <c r="AB80" t="str" cm="1">
        <f t="array" ref="AB80">_xlfn.TEXTJOIN(",",TRUE,(_xlfn._xlws.FILTER($A$2:$A$501,($D$2:$D$501&gt;=AC$7)*($D$2:$D$501&lt;AB$7)*($E$2:$E$501&gt;=$H81)*($E$2:$E$501&lt;$H80)," ")))</f>
        <v xml:space="preserve"> </v>
      </c>
      <c r="AC80" t="str" cm="1">
        <f t="array" ref="AC80">_xlfn.TEXTJOIN(",",TRUE,(_xlfn._xlws.FILTER($A$2:$A$501,($D$2:$D$501&gt;=AD$7)*($D$2:$D$501&lt;AC$7)*($E$2:$E$501&gt;=$H81)*($E$2:$E$501&lt;$H80)," ")))</f>
        <v xml:space="preserve"> </v>
      </c>
      <c r="AD80" t="str" cm="1">
        <f t="array" ref="AD80">_xlfn.TEXTJOIN(",",TRUE,(_xlfn._xlws.FILTER($A$2:$A$501,($D$2:$D$501&gt;=AE$7)*($D$2:$D$501&lt;AD$7)*($E$2:$E$501&gt;=$H81)*($E$2:$E$501&lt;$H80)," ")))</f>
        <v xml:space="preserve"> </v>
      </c>
      <c r="AE80" t="str" cm="1">
        <f t="array" ref="AE80">_xlfn.TEXTJOIN(",",TRUE,(_xlfn._xlws.FILTER($A$2:$A$501,($D$2:$D$501&gt;=AF$7)*($D$2:$D$501&lt;AE$7)*($E$2:$E$501&gt;=$H81)*($E$2:$E$501&lt;$H80)," ")))</f>
        <v xml:space="preserve"> </v>
      </c>
      <c r="AF80" t="str" cm="1">
        <f t="array" ref="AF80">_xlfn.TEXTJOIN(",",TRUE,(_xlfn._xlws.FILTER($A$2:$A$501,($D$2:$D$501&gt;=AG$7)*($D$2:$D$501&lt;AF$7)*($E$2:$E$501&gt;=$H81)*($E$2:$E$501&lt;$H80)," ")))</f>
        <v xml:space="preserve"> </v>
      </c>
      <c r="AG80" t="str" cm="1">
        <f t="array" ref="AG80">_xlfn.TEXTJOIN(",",TRUE,(_xlfn._xlws.FILTER($A$2:$A$501,($D$2:$D$501&gt;=AH$7)*($D$2:$D$501&lt;AG$7)*($E$2:$E$501&gt;=$H81)*($E$2:$E$501&lt;$H80)," ")))</f>
        <v xml:space="preserve"> </v>
      </c>
      <c r="AH80" t="str" cm="1">
        <f t="array" ref="AH80">_xlfn.TEXTJOIN(",",TRUE,(_xlfn._xlws.FILTER($A$2:$A$501,($D$2:$D$501&gt;=AI$7)*($D$2:$D$501&lt;AH$7)*($E$2:$E$501&gt;=$H81)*($E$2:$E$501&lt;$H80)," ")))</f>
        <v xml:space="preserve"> </v>
      </c>
      <c r="AI80" t="str" cm="1">
        <f t="array" ref="AI80">_xlfn.TEXTJOIN(",",TRUE,(_xlfn._xlws.FILTER($A$2:$A$501,($D$2:$D$501&gt;=AJ$7)*($D$2:$D$501&lt;AI$7)*($E$2:$E$501&gt;=$H81)*($E$2:$E$501&lt;$H80)," ")))</f>
        <v xml:space="preserve"> </v>
      </c>
      <c r="AJ80" t="str" cm="1">
        <f t="array" ref="AJ80">_xlfn.TEXTJOIN(",",TRUE,(_xlfn._xlws.FILTER($A$2:$A$501,($D$2:$D$501&gt;=AK$7)*($D$2:$D$501&lt;AJ$7)*($E$2:$E$501&gt;=$H81)*($E$2:$E$501&lt;$H80)," ")))</f>
        <v xml:space="preserve"> </v>
      </c>
      <c r="AK80" t="str" cm="1">
        <f t="array" ref="AK80">_xlfn.TEXTJOIN(",",TRUE,(_xlfn._xlws.FILTER($A$2:$A$501,($D$2:$D$501&gt;=AL$7)*($D$2:$D$501&lt;AK$7)*($E$2:$E$501&gt;=$H81)*($E$2:$E$501&lt;$H80)," ")))</f>
        <v xml:space="preserve"> </v>
      </c>
      <c r="AL80" t="str" cm="1">
        <f t="array" ref="AL80">_xlfn.TEXTJOIN(",",TRUE,(_xlfn._xlws.FILTER($A$2:$A$501,($D$2:$D$501&gt;=AM$7)*($D$2:$D$501&lt;AL$7)*($E$2:$E$501&gt;=$H81)*($E$2:$E$501&lt;$H80)," ")))</f>
        <v xml:space="preserve"> </v>
      </c>
      <c r="AM80" t="str" cm="1">
        <f t="array" ref="AM80">_xlfn.TEXTJOIN(",",TRUE,(_xlfn._xlws.FILTER($A$2:$A$501,($D$2:$D$501&gt;=AN$7)*($D$2:$D$501&lt;AM$7)*($E$2:$E$501&gt;=$H81)*($E$2:$E$501&lt;$H80)," ")))</f>
        <v xml:space="preserve"> </v>
      </c>
      <c r="AN80" t="str" cm="1">
        <f t="array" ref="AN80">_xlfn.TEXTJOIN(",",TRUE,(_xlfn._xlws.FILTER($A$2:$A$501,($D$2:$D$501&gt;=AO$7)*($D$2:$D$501&lt;AN$7)*($E$2:$E$501&gt;=$H81)*($E$2:$E$501&lt;$H80)," ")))</f>
        <v xml:space="preserve"> </v>
      </c>
      <c r="AO80" t="str" cm="1">
        <f t="array" ref="AO80">_xlfn.TEXTJOIN(",",TRUE,(_xlfn._xlws.FILTER($A$2:$A$501,($D$2:$D$501&gt;=AP$7)*($D$2:$D$501&lt;AO$7)*($E$2:$E$501&gt;=$H81)*($E$2:$E$501&lt;$H80)," ")))</f>
        <v xml:space="preserve"> </v>
      </c>
      <c r="AP80" t="str" cm="1">
        <f t="array" ref="AP80">_xlfn.TEXTJOIN(",",TRUE,(_xlfn._xlws.FILTER($A$2:$A$501,($D$2:$D$501&gt;=AQ$7)*($D$2:$D$501&lt;AP$7)*($E$2:$E$501&gt;=$H81)*($E$2:$E$501&lt;$H80)," ")))</f>
        <v xml:space="preserve"> </v>
      </c>
      <c r="AQ80" t="str" cm="1">
        <f t="array" ref="AQ80">_xlfn.TEXTJOIN(",",TRUE,(_xlfn._xlws.FILTER($A$2:$A$501,($D$2:$D$501&gt;=AR$7)*($D$2:$D$501&lt;AQ$7)*($E$2:$E$501&gt;=$H81)*($E$2:$E$501&lt;$H80)," ")))</f>
        <v xml:space="preserve"> </v>
      </c>
      <c r="AR80" t="str" cm="1">
        <f t="array" ref="AR80">_xlfn.TEXTJOIN(",",TRUE,(_xlfn._xlws.FILTER($A$2:$A$501,($D$2:$D$501&gt;=AS$7)*($D$2:$D$501&lt;AR$7)*($E$2:$E$501&gt;=$H81)*($E$2:$E$501&lt;$H80)," ")))</f>
        <v xml:space="preserve"> </v>
      </c>
      <c r="AS80" t="str" cm="1">
        <f t="array" ref="AS80">_xlfn.TEXTJOIN(",",TRUE,(_xlfn._xlws.FILTER($A$2:$A$501,($D$2:$D$501&gt;=AT$7)*($D$2:$D$501&lt;AS$7)*($E$2:$E$501&gt;=$H81)*($E$2:$E$501&lt;$H80)," ")))</f>
        <v xml:space="preserve"> </v>
      </c>
      <c r="AT80" t="str" cm="1">
        <f t="array" ref="AT80">_xlfn.TEXTJOIN(",",TRUE,(_xlfn._xlws.FILTER($A$2:$A$501,($D$2:$D$501&gt;=AU$7)*($D$2:$D$501&lt;AT$7)*($E$2:$E$501&gt;=$H81)*($E$2:$E$501&lt;$H80)," ")))</f>
        <v xml:space="preserve"> </v>
      </c>
      <c r="AU80" t="str" cm="1">
        <f t="array" ref="AU80">_xlfn.TEXTJOIN(",",TRUE,(_xlfn._xlws.FILTER($A$2:$A$501,($D$2:$D$501&gt;=AV$7)*($D$2:$D$501&lt;AU$7)*($E$2:$E$501&gt;=$H81)*($E$2:$E$501&lt;$H80)," ")))</f>
        <v xml:space="preserve"> </v>
      </c>
      <c r="AV80" t="str" cm="1">
        <f t="array" ref="AV80">_xlfn.TEXTJOIN(",",TRUE,(_xlfn._xlws.FILTER($A$2:$A$501,($D$2:$D$501&gt;=AW$7)*($D$2:$D$501&lt;AV$7)*($E$2:$E$501&gt;=$H81)*($E$2:$E$501&lt;$H80)," ")))</f>
        <v xml:space="preserve"> </v>
      </c>
      <c r="AW80" t="str" cm="1">
        <f t="array" ref="AW80">_xlfn.TEXTJOIN(",",TRUE,(_xlfn._xlws.FILTER($A$2:$A$501,($D$2:$D$501&gt;=AX$7)*($D$2:$D$501&lt;AW$7)*($E$2:$E$501&gt;=$H81)*($E$2:$E$501&lt;$H80)," ")))</f>
        <v xml:space="preserve"> </v>
      </c>
      <c r="AX80" t="str" cm="1">
        <f t="array" ref="AX80">_xlfn.TEXTJOIN(",",TRUE,(_xlfn._xlws.FILTER($A$2:$A$501,($D$2:$D$501&gt;=AY$7)*($D$2:$D$501&lt;AX$7)*($E$2:$E$501&gt;=$H81)*($E$2:$E$501&lt;$H80)," ")))</f>
        <v xml:space="preserve"> </v>
      </c>
      <c r="AY80" t="str" cm="1">
        <f t="array" ref="AY80">_xlfn.TEXTJOIN(",",TRUE,(_xlfn._xlws.FILTER($A$2:$A$501,($D$2:$D$501&gt;=AZ$7)*($D$2:$D$501&lt;AY$7)*($E$2:$E$501&gt;=$H81)*($E$2:$E$501&lt;$H80)," ")))</f>
        <v xml:space="preserve"> </v>
      </c>
      <c r="AZ80" t="str" cm="1">
        <f t="array" ref="AZ80">_xlfn.TEXTJOIN(",",TRUE,(_xlfn._xlws.FILTER($A$2:$A$501,($D$2:$D$501&gt;=BA$7)*($D$2:$D$501&lt;AZ$7)*($E$2:$E$501&gt;=$H81)*($E$2:$E$501&lt;$H80)," ")))</f>
        <v xml:space="preserve"> </v>
      </c>
      <c r="BA80" t="str" cm="1">
        <f t="array" ref="BA80">_xlfn.TEXTJOIN(",",TRUE,(_xlfn._xlws.FILTER($A$2:$A$501,($D$2:$D$501&gt;=BB$7)*($D$2:$D$501&lt;BA$7)*($E$2:$E$501&gt;=$H81)*($E$2:$E$501&lt;$H80)," ")))</f>
        <v xml:space="preserve"> </v>
      </c>
      <c r="BB80" t="str" cm="1">
        <f t="array" ref="BB80">_xlfn.TEXTJOIN(",",TRUE,(_xlfn._xlws.FILTER($A$2:$A$501,($D$2:$D$501&gt;=BC$7)*($D$2:$D$501&lt;BB$7)*($E$2:$E$501&gt;=$H81)*($E$2:$E$501&lt;$H80)," ")))</f>
        <v xml:space="preserve"> </v>
      </c>
    </row>
    <row r="81" spans="1:54" x14ac:dyDescent="0.2">
      <c r="A81" s="3" t="s">
        <v>475</v>
      </c>
      <c r="B81" s="3" t="s">
        <v>476</v>
      </c>
      <c r="C81" s="13">
        <v>1972382.29</v>
      </c>
      <c r="D81" s="15">
        <v>42434821.289999999</v>
      </c>
      <c r="E81" s="22">
        <f>TuitionRates3[[#This Row],[Tuition]]/D81</f>
        <v>4.64802779896425E-2</v>
      </c>
      <c r="F81"/>
      <c r="H81" s="18">
        <v>7.6999999999999902E-2</v>
      </c>
      <c r="I81" t="str" cm="1">
        <f t="array" ref="I81">_xlfn.TEXTJOIN(",",TRUE,(_xlfn._xlws.FILTER($A$2:$A$501,($D$2:$D$501&gt;=J$7)*($D$2:$D$501&lt;I$7)*($E$2:$E$501&gt;=$H82)*($E$2:$E$501&lt;$H81)," ")))</f>
        <v xml:space="preserve"> </v>
      </c>
      <c r="J81" t="str" cm="1">
        <f t="array" ref="J81">_xlfn.TEXTJOIN(",",TRUE,(_xlfn._xlws.FILTER($A$2:$A$501,($D$2:$D$501&gt;=K$7)*($D$2:$D$501&lt;J$7)*($E$2:$E$501&gt;=$H82)*($E$2:$E$501&lt;$H81)," ")))</f>
        <v xml:space="preserve"> </v>
      </c>
      <c r="K81" t="str" cm="1">
        <f t="array" ref="K81">_xlfn.TEXTJOIN(",",TRUE,(_xlfn._xlws.FILTER($A$2:$A$501,($D$2:$D$501&gt;=L$7)*($D$2:$D$501&lt;K$7)*($E$2:$E$501&gt;=$H82)*($E$2:$E$501&lt;$H81)," ")))</f>
        <v xml:space="preserve"> </v>
      </c>
      <c r="L81" t="str" cm="1">
        <f t="array" ref="L81">_xlfn.TEXTJOIN(",",TRUE,(_xlfn._xlws.FILTER($A$2:$A$501,($D$2:$D$501&gt;=M$7)*($D$2:$D$501&lt;L$7)*($E$2:$E$501&gt;=$H82)*($E$2:$E$501&lt;$H81)," ")))</f>
        <v xml:space="preserve"> </v>
      </c>
      <c r="M81" t="str" cm="1">
        <f t="array" ref="M81">_xlfn.TEXTJOIN(",",TRUE,(_xlfn._xlws.FILTER($A$2:$A$501,($D$2:$D$501&gt;=N$7)*($D$2:$D$501&lt;M$7)*($E$2:$E$501&gt;=$H82)*($E$2:$E$501&lt;$H81)," ")))</f>
        <v xml:space="preserve"> </v>
      </c>
      <c r="N81" t="str" cm="1">
        <f t="array" ref="N81">_xlfn.TEXTJOIN(",",TRUE,(_xlfn._xlws.FILTER($A$2:$A$501,($D$2:$D$501&gt;=O$7)*($D$2:$D$501&lt;N$7)*($E$2:$E$501&gt;=$H82)*($E$2:$E$501&lt;$H81)," ")))</f>
        <v xml:space="preserve"> </v>
      </c>
      <c r="O81" t="str" cm="1">
        <f t="array" ref="O81">_xlfn.TEXTJOIN(",",TRUE,(_xlfn._xlws.FILTER($A$2:$A$501,($D$2:$D$501&gt;=P$7)*($D$2:$D$501&lt;O$7)*($E$2:$E$501&gt;=$H82)*($E$2:$E$501&lt;$H81)," ")))</f>
        <v xml:space="preserve"> </v>
      </c>
      <c r="P81" t="str" cm="1">
        <f t="array" ref="P81">_xlfn.TEXTJOIN(",",TRUE,(_xlfn._xlws.FILTER($A$2:$A$501,($D$2:$D$501&gt;=Q$7)*($D$2:$D$501&lt;P$7)*($E$2:$E$501&gt;=$H82)*($E$2:$E$501&lt;$H81)," ")))</f>
        <v xml:space="preserve"> </v>
      </c>
      <c r="Q81" t="str" cm="1">
        <f t="array" ref="Q81">_xlfn.TEXTJOIN(",",TRUE,(_xlfn._xlws.FILTER($A$2:$A$501,($D$2:$D$501&gt;=R$7)*($D$2:$D$501&lt;Q$7)*($E$2:$E$501&gt;=$H82)*($E$2:$E$501&lt;$H81)," ")))</f>
        <v xml:space="preserve"> </v>
      </c>
      <c r="R81" t="str" cm="1">
        <f t="array" ref="R81">_xlfn.TEXTJOIN(",",TRUE,(_xlfn._xlws.FILTER($A$2:$A$501,($D$2:$D$501&gt;=S$7)*($D$2:$D$501&lt;R$7)*($E$2:$E$501&gt;=$H82)*($E$2:$E$501&lt;$H81)," ")))</f>
        <v xml:space="preserve"> </v>
      </c>
      <c r="S81" t="str" cm="1">
        <f t="array" ref="S81">_xlfn.TEXTJOIN(",",TRUE,(_xlfn._xlws.FILTER($A$2:$A$501,($D$2:$D$501&gt;=T$7)*($D$2:$D$501&lt;S$7)*($E$2:$E$501&gt;=$H82)*($E$2:$E$501&lt;$H81)," ")))</f>
        <v xml:space="preserve"> </v>
      </c>
      <c r="T81" t="str" cm="1">
        <f t="array" ref="T81">_xlfn.TEXTJOIN(",",TRUE,(_xlfn._xlws.FILTER($A$2:$A$501,($D$2:$D$501&gt;=U$7)*($D$2:$D$501&lt;T$7)*($E$2:$E$501&gt;=$H82)*($E$2:$E$501&lt;$H81)," ")))</f>
        <v xml:space="preserve"> </v>
      </c>
      <c r="U81" t="str" cm="1">
        <f t="array" ref="U81">_xlfn.TEXTJOIN(",",TRUE,(_xlfn._xlws.FILTER($A$2:$A$501,($D$2:$D$501&gt;=V$7)*($D$2:$D$501&lt;U$7)*($E$2:$E$501&gt;=$H82)*($E$2:$E$501&lt;$H81)," ")))</f>
        <v xml:space="preserve"> </v>
      </c>
      <c r="V81" t="str" cm="1">
        <f t="array" ref="V81">_xlfn.TEXTJOIN(",",TRUE,(_xlfn._xlws.FILTER($A$2:$A$501,($D$2:$D$501&gt;=W$7)*($D$2:$D$501&lt;V$7)*($E$2:$E$501&gt;=$H82)*($E$2:$E$501&lt;$H81)," ")))</f>
        <v xml:space="preserve"> </v>
      </c>
      <c r="W81" t="str" cm="1">
        <f t="array" ref="W81">_xlfn.TEXTJOIN(",",TRUE,(_xlfn._xlws.FILTER($A$2:$A$501,($D$2:$D$501&gt;=X$7)*($D$2:$D$501&lt;W$7)*($E$2:$E$501&gt;=$H82)*($E$2:$E$501&lt;$H81)," ")))</f>
        <v xml:space="preserve"> </v>
      </c>
      <c r="X81" t="str" cm="1">
        <f t="array" ref="X81">_xlfn.TEXTJOIN(",",TRUE,(_xlfn._xlws.FILTER($A$2:$A$501,($D$2:$D$501&gt;=Y$7)*($D$2:$D$501&lt;X$7)*($E$2:$E$501&gt;=$H82)*($E$2:$E$501&lt;$H81)," ")))</f>
        <v xml:space="preserve"> </v>
      </c>
      <c r="Y81" t="str" cm="1">
        <f t="array" ref="Y81">_xlfn.TEXTJOIN(",",TRUE,(_xlfn._xlws.FILTER($A$2:$A$501,($D$2:$D$501&gt;=Z$7)*($D$2:$D$501&lt;Y$7)*($E$2:$E$501&gt;=$H82)*($E$2:$E$501&lt;$H81)," ")))</f>
        <v xml:space="preserve"> </v>
      </c>
      <c r="Z81" t="str" cm="1">
        <f t="array" ref="Z81">_xlfn.TEXTJOIN(",",TRUE,(_xlfn._xlws.FILTER($A$2:$A$501,($D$2:$D$501&gt;=AA$7)*($D$2:$D$501&lt;Z$7)*($E$2:$E$501&gt;=$H82)*($E$2:$E$501&lt;$H81)," ")))</f>
        <v xml:space="preserve"> </v>
      </c>
      <c r="AA81" t="str" cm="1">
        <f t="array" ref="AA81">_xlfn.TEXTJOIN(",",TRUE,(_xlfn._xlws.FILTER($A$2:$A$501,($D$2:$D$501&gt;=AB$7)*($D$2:$D$501&lt;AA$7)*($E$2:$E$501&gt;=$H82)*($E$2:$E$501&lt;$H81)," ")))</f>
        <v xml:space="preserve"> </v>
      </c>
      <c r="AB81" t="str" cm="1">
        <f t="array" ref="AB81">_xlfn.TEXTJOIN(",",TRUE,(_xlfn._xlws.FILTER($A$2:$A$501,($D$2:$D$501&gt;=AC$7)*($D$2:$D$501&lt;AB$7)*($E$2:$E$501&gt;=$H82)*($E$2:$E$501&lt;$H81)," ")))</f>
        <v>Panther Valley SD</v>
      </c>
      <c r="AC81" t="str" cm="1">
        <f t="array" ref="AC81">_xlfn.TEXTJOIN(",",TRUE,(_xlfn._xlws.FILTER($A$2:$A$501,($D$2:$D$501&gt;=AD$7)*($D$2:$D$501&lt;AC$7)*($E$2:$E$501&gt;=$H82)*($E$2:$E$501&lt;$H81)," ")))</f>
        <v xml:space="preserve"> </v>
      </c>
      <c r="AD81" t="str" cm="1">
        <f t="array" ref="AD81">_xlfn.TEXTJOIN(",",TRUE,(_xlfn._xlws.FILTER($A$2:$A$501,($D$2:$D$501&gt;=AE$7)*($D$2:$D$501&lt;AD$7)*($E$2:$E$501&gt;=$H82)*($E$2:$E$501&lt;$H81)," ")))</f>
        <v xml:space="preserve"> </v>
      </c>
      <c r="AE81" t="str" cm="1">
        <f t="array" ref="AE81">_xlfn.TEXTJOIN(",",TRUE,(_xlfn._xlws.FILTER($A$2:$A$501,($D$2:$D$501&gt;=AF$7)*($D$2:$D$501&lt;AE$7)*($E$2:$E$501&gt;=$H82)*($E$2:$E$501&lt;$H81)," ")))</f>
        <v xml:space="preserve"> </v>
      </c>
      <c r="AF81" t="str" cm="1">
        <f t="array" ref="AF81">_xlfn.TEXTJOIN(",",TRUE,(_xlfn._xlws.FILTER($A$2:$A$501,($D$2:$D$501&gt;=AG$7)*($D$2:$D$501&lt;AF$7)*($E$2:$E$501&gt;=$H82)*($E$2:$E$501&lt;$H81)," ")))</f>
        <v xml:space="preserve"> </v>
      </c>
      <c r="AG81" t="str" cm="1">
        <f t="array" ref="AG81">_xlfn.TEXTJOIN(",",TRUE,(_xlfn._xlws.FILTER($A$2:$A$501,($D$2:$D$501&gt;=AH$7)*($D$2:$D$501&lt;AG$7)*($E$2:$E$501&gt;=$H82)*($E$2:$E$501&lt;$H81)," ")))</f>
        <v xml:space="preserve"> </v>
      </c>
      <c r="AH81" t="str" cm="1">
        <f t="array" ref="AH81">_xlfn.TEXTJOIN(",",TRUE,(_xlfn._xlws.FILTER($A$2:$A$501,($D$2:$D$501&gt;=AI$7)*($D$2:$D$501&lt;AH$7)*($E$2:$E$501&gt;=$H82)*($E$2:$E$501&lt;$H81)," ")))</f>
        <v xml:space="preserve"> </v>
      </c>
      <c r="AI81" t="str" cm="1">
        <f t="array" ref="AI81">_xlfn.TEXTJOIN(",",TRUE,(_xlfn._xlws.FILTER($A$2:$A$501,($D$2:$D$501&gt;=AJ$7)*($D$2:$D$501&lt;AI$7)*($E$2:$E$501&gt;=$H82)*($E$2:$E$501&lt;$H81)," ")))</f>
        <v xml:space="preserve"> </v>
      </c>
      <c r="AJ81" t="str" cm="1">
        <f t="array" ref="AJ81">_xlfn.TEXTJOIN(",",TRUE,(_xlfn._xlws.FILTER($A$2:$A$501,($D$2:$D$501&gt;=AK$7)*($D$2:$D$501&lt;AJ$7)*($E$2:$E$501&gt;=$H82)*($E$2:$E$501&lt;$H81)," ")))</f>
        <v xml:space="preserve"> </v>
      </c>
      <c r="AK81" t="str" cm="1">
        <f t="array" ref="AK81">_xlfn.TEXTJOIN(",",TRUE,(_xlfn._xlws.FILTER($A$2:$A$501,($D$2:$D$501&gt;=AL$7)*($D$2:$D$501&lt;AK$7)*($E$2:$E$501&gt;=$H82)*($E$2:$E$501&lt;$H81)," ")))</f>
        <v xml:space="preserve"> </v>
      </c>
      <c r="AL81" t="str" cm="1">
        <f t="array" ref="AL81">_xlfn.TEXTJOIN(",",TRUE,(_xlfn._xlws.FILTER($A$2:$A$501,($D$2:$D$501&gt;=AM$7)*($D$2:$D$501&lt;AL$7)*($E$2:$E$501&gt;=$H82)*($E$2:$E$501&lt;$H81)," ")))</f>
        <v xml:space="preserve"> </v>
      </c>
      <c r="AM81" t="str" cm="1">
        <f t="array" ref="AM81">_xlfn.TEXTJOIN(",",TRUE,(_xlfn._xlws.FILTER($A$2:$A$501,($D$2:$D$501&gt;=AN$7)*($D$2:$D$501&lt;AM$7)*($E$2:$E$501&gt;=$H82)*($E$2:$E$501&lt;$H81)," ")))</f>
        <v xml:space="preserve"> </v>
      </c>
      <c r="AN81" t="str" cm="1">
        <f t="array" ref="AN81">_xlfn.TEXTJOIN(",",TRUE,(_xlfn._xlws.FILTER($A$2:$A$501,($D$2:$D$501&gt;=AO$7)*($D$2:$D$501&lt;AN$7)*($E$2:$E$501&gt;=$H82)*($E$2:$E$501&lt;$H81)," ")))</f>
        <v xml:space="preserve"> </v>
      </c>
      <c r="AO81" t="str" cm="1">
        <f t="array" ref="AO81">_xlfn.TEXTJOIN(",",TRUE,(_xlfn._xlws.FILTER($A$2:$A$501,($D$2:$D$501&gt;=AP$7)*($D$2:$D$501&lt;AO$7)*($E$2:$E$501&gt;=$H82)*($E$2:$E$501&lt;$H81)," ")))</f>
        <v xml:space="preserve"> </v>
      </c>
      <c r="AP81" t="str" cm="1">
        <f t="array" ref="AP81">_xlfn.TEXTJOIN(",",TRUE,(_xlfn._xlws.FILTER($A$2:$A$501,($D$2:$D$501&gt;=AQ$7)*($D$2:$D$501&lt;AP$7)*($E$2:$E$501&gt;=$H82)*($E$2:$E$501&lt;$H81)," ")))</f>
        <v xml:space="preserve"> </v>
      </c>
      <c r="AQ81" t="str" cm="1">
        <f t="array" ref="AQ81">_xlfn.TEXTJOIN(",",TRUE,(_xlfn._xlws.FILTER($A$2:$A$501,($D$2:$D$501&gt;=AR$7)*($D$2:$D$501&lt;AQ$7)*($E$2:$E$501&gt;=$H82)*($E$2:$E$501&lt;$H81)," ")))</f>
        <v xml:space="preserve"> </v>
      </c>
      <c r="AR81" t="str" cm="1">
        <f t="array" ref="AR81">_xlfn.TEXTJOIN(",",TRUE,(_xlfn._xlws.FILTER($A$2:$A$501,($D$2:$D$501&gt;=AS$7)*($D$2:$D$501&lt;AR$7)*($E$2:$E$501&gt;=$H82)*($E$2:$E$501&lt;$H81)," ")))</f>
        <v xml:space="preserve"> </v>
      </c>
      <c r="AS81" t="str" cm="1">
        <f t="array" ref="AS81">_xlfn.TEXTJOIN(",",TRUE,(_xlfn._xlws.FILTER($A$2:$A$501,($D$2:$D$501&gt;=AT$7)*($D$2:$D$501&lt;AS$7)*($E$2:$E$501&gt;=$H82)*($E$2:$E$501&lt;$H81)," ")))</f>
        <v xml:space="preserve"> </v>
      </c>
      <c r="AT81" t="str" cm="1">
        <f t="array" ref="AT81">_xlfn.TEXTJOIN(",",TRUE,(_xlfn._xlws.FILTER($A$2:$A$501,($D$2:$D$501&gt;=AU$7)*($D$2:$D$501&lt;AT$7)*($E$2:$E$501&gt;=$H82)*($E$2:$E$501&lt;$H81)," ")))</f>
        <v xml:space="preserve"> </v>
      </c>
      <c r="AU81" t="str" cm="1">
        <f t="array" ref="AU81">_xlfn.TEXTJOIN(",",TRUE,(_xlfn._xlws.FILTER($A$2:$A$501,($D$2:$D$501&gt;=AV$7)*($D$2:$D$501&lt;AU$7)*($E$2:$E$501&gt;=$H82)*($E$2:$E$501&lt;$H81)," ")))</f>
        <v xml:space="preserve"> </v>
      </c>
      <c r="AV81" t="str" cm="1">
        <f t="array" ref="AV81">_xlfn.TEXTJOIN(",",TRUE,(_xlfn._xlws.FILTER($A$2:$A$501,($D$2:$D$501&gt;=AW$7)*($D$2:$D$501&lt;AV$7)*($E$2:$E$501&gt;=$H82)*($E$2:$E$501&lt;$H81)," ")))</f>
        <v xml:space="preserve"> </v>
      </c>
      <c r="AW81" t="str" cm="1">
        <f t="array" ref="AW81">_xlfn.TEXTJOIN(",",TRUE,(_xlfn._xlws.FILTER($A$2:$A$501,($D$2:$D$501&gt;=AX$7)*($D$2:$D$501&lt;AW$7)*($E$2:$E$501&gt;=$H82)*($E$2:$E$501&lt;$H81)," ")))</f>
        <v xml:space="preserve"> </v>
      </c>
      <c r="AX81" t="str" cm="1">
        <f t="array" ref="AX81">_xlfn.TEXTJOIN(",",TRUE,(_xlfn._xlws.FILTER($A$2:$A$501,($D$2:$D$501&gt;=AY$7)*($D$2:$D$501&lt;AX$7)*($E$2:$E$501&gt;=$H82)*($E$2:$E$501&lt;$H81)," ")))</f>
        <v xml:space="preserve"> </v>
      </c>
      <c r="AY81" t="str" cm="1">
        <f t="array" ref="AY81">_xlfn.TEXTJOIN(",",TRUE,(_xlfn._xlws.FILTER($A$2:$A$501,($D$2:$D$501&gt;=AZ$7)*($D$2:$D$501&lt;AY$7)*($E$2:$E$501&gt;=$H82)*($E$2:$E$501&lt;$H81)," ")))</f>
        <v xml:space="preserve"> </v>
      </c>
      <c r="AZ81" t="str" cm="1">
        <f t="array" ref="AZ81">_xlfn.TEXTJOIN(",",TRUE,(_xlfn._xlws.FILTER($A$2:$A$501,($D$2:$D$501&gt;=BA$7)*($D$2:$D$501&lt;AZ$7)*($E$2:$E$501&gt;=$H82)*($E$2:$E$501&lt;$H81)," ")))</f>
        <v xml:space="preserve"> </v>
      </c>
      <c r="BA81" t="str" cm="1">
        <f t="array" ref="BA81">_xlfn.TEXTJOIN(",",TRUE,(_xlfn._xlws.FILTER($A$2:$A$501,($D$2:$D$501&gt;=BB$7)*($D$2:$D$501&lt;BA$7)*($E$2:$E$501&gt;=$H82)*($E$2:$E$501&lt;$H81)," ")))</f>
        <v xml:space="preserve"> </v>
      </c>
      <c r="BB81" t="str" cm="1">
        <f t="array" ref="BB81">_xlfn.TEXTJOIN(",",TRUE,(_xlfn._xlws.FILTER($A$2:$A$501,($D$2:$D$501&gt;=BC$7)*($D$2:$D$501&lt;BB$7)*($E$2:$E$501&gt;=$H82)*($E$2:$E$501&lt;$H81)," ")))</f>
        <v xml:space="preserve"> </v>
      </c>
    </row>
    <row r="82" spans="1:54" x14ac:dyDescent="0.2">
      <c r="A82" s="3" t="s">
        <v>264</v>
      </c>
      <c r="B82" s="3" t="s">
        <v>261</v>
      </c>
      <c r="C82" s="13">
        <v>980638.08</v>
      </c>
      <c r="D82" s="15">
        <v>21259489.289999999</v>
      </c>
      <c r="E82" s="22">
        <f>TuitionRates3[[#This Row],[Tuition]]/D82</f>
        <v>4.6127076084620279E-2</v>
      </c>
      <c r="F82"/>
      <c r="H82" s="18">
        <v>7.5999999999999901E-2</v>
      </c>
      <c r="I82" t="str" cm="1">
        <f t="array" ref="I82">_xlfn.TEXTJOIN(",",TRUE,(_xlfn._xlws.FILTER($A$2:$A$501,($D$2:$D$501&gt;=J$7)*($D$2:$D$501&lt;I$7)*($E$2:$E$501&gt;=$H83)*($E$2:$E$501&lt;$H82)," ")))</f>
        <v xml:space="preserve"> </v>
      </c>
      <c r="J82" t="str" cm="1">
        <f t="array" ref="J82">_xlfn.TEXTJOIN(",",TRUE,(_xlfn._xlws.FILTER($A$2:$A$501,($D$2:$D$501&gt;=K$7)*($D$2:$D$501&lt;J$7)*($E$2:$E$501&gt;=$H83)*($E$2:$E$501&lt;$H82)," ")))</f>
        <v xml:space="preserve"> </v>
      </c>
      <c r="K82" t="str" cm="1">
        <f t="array" ref="K82">_xlfn.TEXTJOIN(",",TRUE,(_xlfn._xlws.FILTER($A$2:$A$501,($D$2:$D$501&gt;=L$7)*($D$2:$D$501&lt;K$7)*($E$2:$E$501&gt;=$H83)*($E$2:$E$501&lt;$H82)," ")))</f>
        <v xml:space="preserve"> </v>
      </c>
      <c r="L82" t="str" cm="1">
        <f t="array" ref="L82">_xlfn.TEXTJOIN(",",TRUE,(_xlfn._xlws.FILTER($A$2:$A$501,($D$2:$D$501&gt;=M$7)*($D$2:$D$501&lt;L$7)*($E$2:$E$501&gt;=$H83)*($E$2:$E$501&lt;$H82)," ")))</f>
        <v xml:space="preserve"> </v>
      </c>
      <c r="M82" t="str" cm="1">
        <f t="array" ref="M82">_xlfn.TEXTJOIN(",",TRUE,(_xlfn._xlws.FILTER($A$2:$A$501,($D$2:$D$501&gt;=N$7)*($D$2:$D$501&lt;M$7)*($E$2:$E$501&gt;=$H83)*($E$2:$E$501&lt;$H82)," ")))</f>
        <v xml:space="preserve"> </v>
      </c>
      <c r="N82" t="str" cm="1">
        <f t="array" ref="N82">_xlfn.TEXTJOIN(",",TRUE,(_xlfn._xlws.FILTER($A$2:$A$501,($D$2:$D$501&gt;=O$7)*($D$2:$D$501&lt;N$7)*($E$2:$E$501&gt;=$H83)*($E$2:$E$501&lt;$H82)," ")))</f>
        <v xml:space="preserve"> </v>
      </c>
      <c r="O82" t="str" cm="1">
        <f t="array" ref="O82">_xlfn.TEXTJOIN(",",TRUE,(_xlfn._xlws.FILTER($A$2:$A$501,($D$2:$D$501&gt;=P$7)*($D$2:$D$501&lt;O$7)*($E$2:$E$501&gt;=$H83)*($E$2:$E$501&lt;$H82)," ")))</f>
        <v xml:space="preserve"> </v>
      </c>
      <c r="P82" t="str" cm="1">
        <f t="array" ref="P82">_xlfn.TEXTJOIN(",",TRUE,(_xlfn._xlws.FILTER($A$2:$A$501,($D$2:$D$501&gt;=Q$7)*($D$2:$D$501&lt;P$7)*($E$2:$E$501&gt;=$H83)*($E$2:$E$501&lt;$H82)," ")))</f>
        <v xml:space="preserve"> </v>
      </c>
      <c r="Q82" t="str" cm="1">
        <f t="array" ref="Q82">_xlfn.TEXTJOIN(",",TRUE,(_xlfn._xlws.FILTER($A$2:$A$501,($D$2:$D$501&gt;=R$7)*($D$2:$D$501&lt;Q$7)*($E$2:$E$501&gt;=$H83)*($E$2:$E$501&lt;$H82)," ")))</f>
        <v xml:space="preserve"> </v>
      </c>
      <c r="R82" t="str" cm="1">
        <f t="array" ref="R82">_xlfn.TEXTJOIN(",",TRUE,(_xlfn._xlws.FILTER($A$2:$A$501,($D$2:$D$501&gt;=S$7)*($D$2:$D$501&lt;R$7)*($E$2:$E$501&gt;=$H83)*($E$2:$E$501&lt;$H82)," ")))</f>
        <v xml:space="preserve"> </v>
      </c>
      <c r="S82" t="str" cm="1">
        <f t="array" ref="S82">_xlfn.TEXTJOIN(",",TRUE,(_xlfn._xlws.FILTER($A$2:$A$501,($D$2:$D$501&gt;=T$7)*($D$2:$D$501&lt;S$7)*($E$2:$E$501&gt;=$H83)*($E$2:$E$501&lt;$H82)," ")))</f>
        <v xml:space="preserve"> </v>
      </c>
      <c r="T82" t="str" cm="1">
        <f t="array" ref="T82">_xlfn.TEXTJOIN(",",TRUE,(_xlfn._xlws.FILTER($A$2:$A$501,($D$2:$D$501&gt;=U$7)*($D$2:$D$501&lt;T$7)*($E$2:$E$501&gt;=$H83)*($E$2:$E$501&lt;$H82)," ")))</f>
        <v xml:space="preserve"> </v>
      </c>
      <c r="U82" t="str" cm="1">
        <f t="array" ref="U82">_xlfn.TEXTJOIN(",",TRUE,(_xlfn._xlws.FILTER($A$2:$A$501,($D$2:$D$501&gt;=V$7)*($D$2:$D$501&lt;U$7)*($E$2:$E$501&gt;=$H83)*($E$2:$E$501&lt;$H82)," ")))</f>
        <v xml:space="preserve"> </v>
      </c>
      <c r="V82" t="str" cm="1">
        <f t="array" ref="V82">_xlfn.TEXTJOIN(",",TRUE,(_xlfn._xlws.FILTER($A$2:$A$501,($D$2:$D$501&gt;=W$7)*($D$2:$D$501&lt;V$7)*($E$2:$E$501&gt;=$H83)*($E$2:$E$501&lt;$H82)," ")))</f>
        <v xml:space="preserve"> </v>
      </c>
      <c r="W82" t="str" cm="1">
        <f t="array" ref="W82">_xlfn.TEXTJOIN(",",TRUE,(_xlfn._xlws.FILTER($A$2:$A$501,($D$2:$D$501&gt;=X$7)*($D$2:$D$501&lt;W$7)*($E$2:$E$501&gt;=$H83)*($E$2:$E$501&lt;$H82)," ")))</f>
        <v xml:space="preserve"> </v>
      </c>
      <c r="X82" t="str" cm="1">
        <f t="array" ref="X82">_xlfn.TEXTJOIN(",",TRUE,(_xlfn._xlws.FILTER($A$2:$A$501,($D$2:$D$501&gt;=Y$7)*($D$2:$D$501&lt;X$7)*($E$2:$E$501&gt;=$H83)*($E$2:$E$501&lt;$H82)," ")))</f>
        <v xml:space="preserve"> </v>
      </c>
      <c r="Y82" t="str" cm="1">
        <f t="array" ref="Y82">_xlfn.TEXTJOIN(",",TRUE,(_xlfn._xlws.FILTER($A$2:$A$501,($D$2:$D$501&gt;=Z$7)*($D$2:$D$501&lt;Y$7)*($E$2:$E$501&gt;=$H83)*($E$2:$E$501&lt;$H82)," ")))</f>
        <v xml:space="preserve"> </v>
      </c>
      <c r="Z82" t="str" cm="1">
        <f t="array" ref="Z82">_xlfn.TEXTJOIN(",",TRUE,(_xlfn._xlws.FILTER($A$2:$A$501,($D$2:$D$501&gt;=AA$7)*($D$2:$D$501&lt;Z$7)*($E$2:$E$501&gt;=$H83)*($E$2:$E$501&lt;$H82)," ")))</f>
        <v xml:space="preserve"> </v>
      </c>
      <c r="AA82" t="str" cm="1">
        <f t="array" ref="AA82">_xlfn.TEXTJOIN(",",TRUE,(_xlfn._xlws.FILTER($A$2:$A$501,($D$2:$D$501&gt;=AB$7)*($D$2:$D$501&lt;AA$7)*($E$2:$E$501&gt;=$H83)*($E$2:$E$501&lt;$H82)," ")))</f>
        <v xml:space="preserve"> </v>
      </c>
      <c r="AB82" t="str" cm="1">
        <f t="array" ref="AB82">_xlfn.TEXTJOIN(",",TRUE,(_xlfn._xlws.FILTER($A$2:$A$501,($D$2:$D$501&gt;=AC$7)*($D$2:$D$501&lt;AB$7)*($E$2:$E$501&gt;=$H83)*($E$2:$E$501&lt;$H82)," ")))</f>
        <v>Carbondale Area SD</v>
      </c>
      <c r="AC82" t="str" cm="1">
        <f t="array" ref="AC82">_xlfn.TEXTJOIN(",",TRUE,(_xlfn._xlws.FILTER($A$2:$A$501,($D$2:$D$501&gt;=AD$7)*($D$2:$D$501&lt;AC$7)*($E$2:$E$501&gt;=$H83)*($E$2:$E$501&lt;$H82)," ")))</f>
        <v xml:space="preserve"> </v>
      </c>
      <c r="AD82" t="str" cm="1">
        <f t="array" ref="AD82">_xlfn.TEXTJOIN(",",TRUE,(_xlfn._xlws.FILTER($A$2:$A$501,($D$2:$D$501&gt;=AE$7)*($D$2:$D$501&lt;AD$7)*($E$2:$E$501&gt;=$H83)*($E$2:$E$501&lt;$H82)," ")))</f>
        <v xml:space="preserve"> </v>
      </c>
      <c r="AE82" t="str" cm="1">
        <f t="array" ref="AE82">_xlfn.TEXTJOIN(",",TRUE,(_xlfn._xlws.FILTER($A$2:$A$501,($D$2:$D$501&gt;=AF$7)*($D$2:$D$501&lt;AE$7)*($E$2:$E$501&gt;=$H83)*($E$2:$E$501&lt;$H82)," ")))</f>
        <v xml:space="preserve"> </v>
      </c>
      <c r="AF82" t="str" cm="1">
        <f t="array" ref="AF82">_xlfn.TEXTJOIN(",",TRUE,(_xlfn._xlws.FILTER($A$2:$A$501,($D$2:$D$501&gt;=AG$7)*($D$2:$D$501&lt;AF$7)*($E$2:$E$501&gt;=$H83)*($E$2:$E$501&lt;$H82)," ")))</f>
        <v xml:space="preserve"> </v>
      </c>
      <c r="AG82" t="str" cm="1">
        <f t="array" ref="AG82">_xlfn.TEXTJOIN(",",TRUE,(_xlfn._xlws.FILTER($A$2:$A$501,($D$2:$D$501&gt;=AH$7)*($D$2:$D$501&lt;AG$7)*($E$2:$E$501&gt;=$H83)*($E$2:$E$501&lt;$H82)," ")))</f>
        <v xml:space="preserve"> </v>
      </c>
      <c r="AH82" t="str" cm="1">
        <f t="array" ref="AH82">_xlfn.TEXTJOIN(",",TRUE,(_xlfn._xlws.FILTER($A$2:$A$501,($D$2:$D$501&gt;=AI$7)*($D$2:$D$501&lt;AH$7)*($E$2:$E$501&gt;=$H83)*($E$2:$E$501&lt;$H82)," ")))</f>
        <v xml:space="preserve"> </v>
      </c>
      <c r="AI82" t="str" cm="1">
        <f t="array" ref="AI82">_xlfn.TEXTJOIN(",",TRUE,(_xlfn._xlws.FILTER($A$2:$A$501,($D$2:$D$501&gt;=AJ$7)*($D$2:$D$501&lt;AI$7)*($E$2:$E$501&gt;=$H83)*($E$2:$E$501&lt;$H82)," ")))</f>
        <v xml:space="preserve"> </v>
      </c>
      <c r="AJ82" t="str" cm="1">
        <f t="array" ref="AJ82">_xlfn.TEXTJOIN(",",TRUE,(_xlfn._xlws.FILTER($A$2:$A$501,($D$2:$D$501&gt;=AK$7)*($D$2:$D$501&lt;AJ$7)*($E$2:$E$501&gt;=$H83)*($E$2:$E$501&lt;$H82)," ")))</f>
        <v xml:space="preserve"> </v>
      </c>
      <c r="AK82" t="str" cm="1">
        <f t="array" ref="AK82">_xlfn.TEXTJOIN(",",TRUE,(_xlfn._xlws.FILTER($A$2:$A$501,($D$2:$D$501&gt;=AL$7)*($D$2:$D$501&lt;AK$7)*($E$2:$E$501&gt;=$H83)*($E$2:$E$501&lt;$H82)," ")))</f>
        <v xml:space="preserve"> </v>
      </c>
      <c r="AL82" t="str" cm="1">
        <f t="array" ref="AL82">_xlfn.TEXTJOIN(",",TRUE,(_xlfn._xlws.FILTER($A$2:$A$501,($D$2:$D$501&gt;=AM$7)*($D$2:$D$501&lt;AL$7)*($E$2:$E$501&gt;=$H83)*($E$2:$E$501&lt;$H82)," ")))</f>
        <v xml:space="preserve"> </v>
      </c>
      <c r="AM82" t="str" cm="1">
        <f t="array" ref="AM82">_xlfn.TEXTJOIN(",",TRUE,(_xlfn._xlws.FILTER($A$2:$A$501,($D$2:$D$501&gt;=AN$7)*($D$2:$D$501&lt;AM$7)*($E$2:$E$501&gt;=$H83)*($E$2:$E$501&lt;$H82)," ")))</f>
        <v xml:space="preserve"> </v>
      </c>
      <c r="AN82" t="str" cm="1">
        <f t="array" ref="AN82">_xlfn.TEXTJOIN(",",TRUE,(_xlfn._xlws.FILTER($A$2:$A$501,($D$2:$D$501&gt;=AO$7)*($D$2:$D$501&lt;AN$7)*($E$2:$E$501&gt;=$H83)*($E$2:$E$501&lt;$H82)," ")))</f>
        <v xml:space="preserve"> </v>
      </c>
      <c r="AO82" t="str" cm="1">
        <f t="array" ref="AO82">_xlfn.TEXTJOIN(",",TRUE,(_xlfn._xlws.FILTER($A$2:$A$501,($D$2:$D$501&gt;=AP$7)*($D$2:$D$501&lt;AO$7)*($E$2:$E$501&gt;=$H83)*($E$2:$E$501&lt;$H82)," ")))</f>
        <v xml:space="preserve"> </v>
      </c>
      <c r="AP82" t="str" cm="1">
        <f t="array" ref="AP82">_xlfn.TEXTJOIN(",",TRUE,(_xlfn._xlws.FILTER($A$2:$A$501,($D$2:$D$501&gt;=AQ$7)*($D$2:$D$501&lt;AP$7)*($E$2:$E$501&gt;=$H83)*($E$2:$E$501&lt;$H82)," ")))</f>
        <v xml:space="preserve"> </v>
      </c>
      <c r="AQ82" t="str" cm="1">
        <f t="array" ref="AQ82">_xlfn.TEXTJOIN(",",TRUE,(_xlfn._xlws.FILTER($A$2:$A$501,($D$2:$D$501&gt;=AR$7)*($D$2:$D$501&lt;AQ$7)*($E$2:$E$501&gt;=$H83)*($E$2:$E$501&lt;$H82)," ")))</f>
        <v xml:space="preserve"> </v>
      </c>
      <c r="AR82" t="str" cm="1">
        <f t="array" ref="AR82">_xlfn.TEXTJOIN(",",TRUE,(_xlfn._xlws.FILTER($A$2:$A$501,($D$2:$D$501&gt;=AS$7)*($D$2:$D$501&lt;AR$7)*($E$2:$E$501&gt;=$H83)*($E$2:$E$501&lt;$H82)," ")))</f>
        <v xml:space="preserve"> </v>
      </c>
      <c r="AS82" t="str" cm="1">
        <f t="array" ref="AS82">_xlfn.TEXTJOIN(",",TRUE,(_xlfn._xlws.FILTER($A$2:$A$501,($D$2:$D$501&gt;=AT$7)*($D$2:$D$501&lt;AS$7)*($E$2:$E$501&gt;=$H83)*($E$2:$E$501&lt;$H82)," ")))</f>
        <v xml:space="preserve"> </v>
      </c>
      <c r="AT82" t="str" cm="1">
        <f t="array" ref="AT82">_xlfn.TEXTJOIN(",",TRUE,(_xlfn._xlws.FILTER($A$2:$A$501,($D$2:$D$501&gt;=AU$7)*($D$2:$D$501&lt;AT$7)*($E$2:$E$501&gt;=$H83)*($E$2:$E$501&lt;$H82)," ")))</f>
        <v xml:space="preserve"> </v>
      </c>
      <c r="AU82" t="str" cm="1">
        <f t="array" ref="AU82">_xlfn.TEXTJOIN(",",TRUE,(_xlfn._xlws.FILTER($A$2:$A$501,($D$2:$D$501&gt;=AV$7)*($D$2:$D$501&lt;AU$7)*($E$2:$E$501&gt;=$H83)*($E$2:$E$501&lt;$H82)," ")))</f>
        <v xml:space="preserve"> </v>
      </c>
      <c r="AV82" t="str" cm="1">
        <f t="array" ref="AV82">_xlfn.TEXTJOIN(",",TRUE,(_xlfn._xlws.FILTER($A$2:$A$501,($D$2:$D$501&gt;=AW$7)*($D$2:$D$501&lt;AV$7)*($E$2:$E$501&gt;=$H83)*($E$2:$E$501&lt;$H82)," ")))</f>
        <v xml:space="preserve"> </v>
      </c>
      <c r="AW82" t="str" cm="1">
        <f t="array" ref="AW82">_xlfn.TEXTJOIN(",",TRUE,(_xlfn._xlws.FILTER($A$2:$A$501,($D$2:$D$501&gt;=AX$7)*($D$2:$D$501&lt;AW$7)*($E$2:$E$501&gt;=$H83)*($E$2:$E$501&lt;$H82)," ")))</f>
        <v xml:space="preserve"> </v>
      </c>
      <c r="AX82" t="str" cm="1">
        <f t="array" ref="AX82">_xlfn.TEXTJOIN(",",TRUE,(_xlfn._xlws.FILTER($A$2:$A$501,($D$2:$D$501&gt;=AY$7)*($D$2:$D$501&lt;AX$7)*($E$2:$E$501&gt;=$H83)*($E$2:$E$501&lt;$H82)," ")))</f>
        <v xml:space="preserve"> </v>
      </c>
      <c r="AY82" t="str" cm="1">
        <f t="array" ref="AY82">_xlfn.TEXTJOIN(",",TRUE,(_xlfn._xlws.FILTER($A$2:$A$501,($D$2:$D$501&gt;=AZ$7)*($D$2:$D$501&lt;AY$7)*($E$2:$E$501&gt;=$H83)*($E$2:$E$501&lt;$H82)," ")))</f>
        <v xml:space="preserve"> </v>
      </c>
      <c r="AZ82" t="str" cm="1">
        <f t="array" ref="AZ82">_xlfn.TEXTJOIN(",",TRUE,(_xlfn._xlws.FILTER($A$2:$A$501,($D$2:$D$501&gt;=BA$7)*($D$2:$D$501&lt;AZ$7)*($E$2:$E$501&gt;=$H83)*($E$2:$E$501&lt;$H82)," ")))</f>
        <v xml:space="preserve"> </v>
      </c>
      <c r="BA82" t="str" cm="1">
        <f t="array" ref="BA82">_xlfn.TEXTJOIN(",",TRUE,(_xlfn._xlws.FILTER($A$2:$A$501,($D$2:$D$501&gt;=BB$7)*($D$2:$D$501&lt;BA$7)*($E$2:$E$501&gt;=$H83)*($E$2:$E$501&lt;$H82)," ")))</f>
        <v xml:space="preserve"> </v>
      </c>
      <c r="BB82" t="str" cm="1">
        <f t="array" ref="BB82">_xlfn.TEXTJOIN(",",TRUE,(_xlfn._xlws.FILTER($A$2:$A$501,($D$2:$D$501&gt;=BC$7)*($D$2:$D$501&lt;BB$7)*($E$2:$E$501&gt;=$H83)*($E$2:$E$501&lt;$H82)," ")))</f>
        <v xml:space="preserve"> </v>
      </c>
    </row>
    <row r="83" spans="1:54" x14ac:dyDescent="0.2">
      <c r="A83" s="3" t="s">
        <v>150</v>
      </c>
      <c r="B83" s="3" t="s">
        <v>151</v>
      </c>
      <c r="C83" s="13">
        <v>649200</v>
      </c>
      <c r="D83" s="15">
        <v>14089716</v>
      </c>
      <c r="E83" s="22">
        <f>TuitionRates3[[#This Row],[Tuition]]/D83</f>
        <v>4.6076159377520458E-2</v>
      </c>
      <c r="F83"/>
      <c r="H83" s="18">
        <v>7.49999999999999E-2</v>
      </c>
      <c r="I83" t="str" cm="1">
        <f t="array" ref="I83">_xlfn.TEXTJOIN(",",TRUE,(_xlfn._xlws.FILTER($A$2:$A$501,($D$2:$D$501&gt;=J$7)*($D$2:$D$501&lt;I$7)*($E$2:$E$501&gt;=$H84)*($E$2:$E$501&lt;$H83)," ")))</f>
        <v xml:space="preserve"> </v>
      </c>
      <c r="J83" t="str" cm="1">
        <f t="array" ref="J83">_xlfn.TEXTJOIN(",",TRUE,(_xlfn._xlws.FILTER($A$2:$A$501,($D$2:$D$501&gt;=K$7)*($D$2:$D$501&lt;J$7)*($E$2:$E$501&gt;=$H84)*($E$2:$E$501&lt;$H83)," ")))</f>
        <v xml:space="preserve"> </v>
      </c>
      <c r="K83" t="str" cm="1">
        <f t="array" ref="K83">_xlfn.TEXTJOIN(",",TRUE,(_xlfn._xlws.FILTER($A$2:$A$501,($D$2:$D$501&gt;=L$7)*($D$2:$D$501&lt;K$7)*($E$2:$E$501&gt;=$H84)*($E$2:$E$501&lt;$H83)," ")))</f>
        <v xml:space="preserve"> </v>
      </c>
      <c r="L83" t="str" cm="1">
        <f t="array" ref="L83">_xlfn.TEXTJOIN(",",TRUE,(_xlfn._xlws.FILTER($A$2:$A$501,($D$2:$D$501&gt;=M$7)*($D$2:$D$501&lt;L$7)*($E$2:$E$501&gt;=$H84)*($E$2:$E$501&lt;$H83)," ")))</f>
        <v xml:space="preserve"> </v>
      </c>
      <c r="M83" t="str" cm="1">
        <f t="array" ref="M83">_xlfn.TEXTJOIN(",",TRUE,(_xlfn._xlws.FILTER($A$2:$A$501,($D$2:$D$501&gt;=N$7)*($D$2:$D$501&lt;M$7)*($E$2:$E$501&gt;=$H84)*($E$2:$E$501&lt;$H83)," ")))</f>
        <v xml:space="preserve"> </v>
      </c>
      <c r="N83" t="str" cm="1">
        <f t="array" ref="N83">_xlfn.TEXTJOIN(",",TRUE,(_xlfn._xlws.FILTER($A$2:$A$501,($D$2:$D$501&gt;=O$7)*($D$2:$D$501&lt;N$7)*($E$2:$E$501&gt;=$H84)*($E$2:$E$501&lt;$H83)," ")))</f>
        <v xml:space="preserve"> </v>
      </c>
      <c r="O83" t="str" cm="1">
        <f t="array" ref="O83">_xlfn.TEXTJOIN(",",TRUE,(_xlfn._xlws.FILTER($A$2:$A$501,($D$2:$D$501&gt;=P$7)*($D$2:$D$501&lt;O$7)*($E$2:$E$501&gt;=$H84)*($E$2:$E$501&lt;$H83)," ")))</f>
        <v xml:space="preserve"> </v>
      </c>
      <c r="P83" t="str" cm="1">
        <f t="array" ref="P83">_xlfn.TEXTJOIN(",",TRUE,(_xlfn._xlws.FILTER($A$2:$A$501,($D$2:$D$501&gt;=Q$7)*($D$2:$D$501&lt;P$7)*($E$2:$E$501&gt;=$H84)*($E$2:$E$501&lt;$H83)," ")))</f>
        <v xml:space="preserve"> </v>
      </c>
      <c r="Q83" t="str" cm="1">
        <f t="array" ref="Q83">_xlfn.TEXTJOIN(",",TRUE,(_xlfn._xlws.FILTER($A$2:$A$501,($D$2:$D$501&gt;=R$7)*($D$2:$D$501&lt;Q$7)*($E$2:$E$501&gt;=$H84)*($E$2:$E$501&lt;$H83)," ")))</f>
        <v xml:space="preserve"> </v>
      </c>
      <c r="R83" t="str" cm="1">
        <f t="array" ref="R83">_xlfn.TEXTJOIN(",",TRUE,(_xlfn._xlws.FILTER($A$2:$A$501,($D$2:$D$501&gt;=S$7)*($D$2:$D$501&lt;R$7)*($E$2:$E$501&gt;=$H84)*($E$2:$E$501&lt;$H83)," ")))</f>
        <v xml:space="preserve"> </v>
      </c>
      <c r="S83" t="str" cm="1">
        <f t="array" ref="S83">_xlfn.TEXTJOIN(",",TRUE,(_xlfn._xlws.FILTER($A$2:$A$501,($D$2:$D$501&gt;=T$7)*($D$2:$D$501&lt;S$7)*($E$2:$E$501&gt;=$H84)*($E$2:$E$501&lt;$H83)," ")))</f>
        <v xml:space="preserve"> </v>
      </c>
      <c r="T83" t="str" cm="1">
        <f t="array" ref="T83">_xlfn.TEXTJOIN(",",TRUE,(_xlfn._xlws.FILTER($A$2:$A$501,($D$2:$D$501&gt;=U$7)*($D$2:$D$501&lt;T$7)*($E$2:$E$501&gt;=$H84)*($E$2:$E$501&lt;$H83)," ")))</f>
        <v xml:space="preserve"> </v>
      </c>
      <c r="U83" t="str" cm="1">
        <f t="array" ref="U83">_xlfn.TEXTJOIN(",",TRUE,(_xlfn._xlws.FILTER($A$2:$A$501,($D$2:$D$501&gt;=V$7)*($D$2:$D$501&lt;U$7)*($E$2:$E$501&gt;=$H84)*($E$2:$E$501&lt;$H83)," ")))</f>
        <v xml:space="preserve"> </v>
      </c>
      <c r="V83" t="str" cm="1">
        <f t="array" ref="V83">_xlfn.TEXTJOIN(",",TRUE,(_xlfn._xlws.FILTER($A$2:$A$501,($D$2:$D$501&gt;=W$7)*($D$2:$D$501&lt;V$7)*($E$2:$E$501&gt;=$H84)*($E$2:$E$501&lt;$H83)," ")))</f>
        <v xml:space="preserve"> </v>
      </c>
      <c r="W83" t="str" cm="1">
        <f t="array" ref="W83">_xlfn.TEXTJOIN(",",TRUE,(_xlfn._xlws.FILTER($A$2:$A$501,($D$2:$D$501&gt;=X$7)*($D$2:$D$501&lt;W$7)*($E$2:$E$501&gt;=$H84)*($E$2:$E$501&lt;$H83)," ")))</f>
        <v xml:space="preserve"> </v>
      </c>
      <c r="X83" t="str" cm="1">
        <f t="array" ref="X83">_xlfn.TEXTJOIN(",",TRUE,(_xlfn._xlws.FILTER($A$2:$A$501,($D$2:$D$501&gt;=Y$7)*($D$2:$D$501&lt;X$7)*($E$2:$E$501&gt;=$H84)*($E$2:$E$501&lt;$H83)," ")))</f>
        <v xml:space="preserve"> </v>
      </c>
      <c r="Y83" t="str" cm="1">
        <f t="array" ref="Y83">_xlfn.TEXTJOIN(",",TRUE,(_xlfn._xlws.FILTER($A$2:$A$501,($D$2:$D$501&gt;=Z$7)*($D$2:$D$501&lt;Y$7)*($E$2:$E$501&gt;=$H84)*($E$2:$E$501&lt;$H83)," ")))</f>
        <v xml:space="preserve"> </v>
      </c>
      <c r="Z83" t="str" cm="1">
        <f t="array" ref="Z83">_xlfn.TEXTJOIN(",",TRUE,(_xlfn._xlws.FILTER($A$2:$A$501,($D$2:$D$501&gt;=AA$7)*($D$2:$D$501&lt;Z$7)*($E$2:$E$501&gt;=$H84)*($E$2:$E$501&lt;$H83)," ")))</f>
        <v xml:space="preserve"> </v>
      </c>
      <c r="AA83" t="str" cm="1">
        <f t="array" ref="AA83">_xlfn.TEXTJOIN(",",TRUE,(_xlfn._xlws.FILTER($A$2:$A$501,($D$2:$D$501&gt;=AB$7)*($D$2:$D$501&lt;AA$7)*($E$2:$E$501&gt;=$H84)*($E$2:$E$501&lt;$H83)," ")))</f>
        <v xml:space="preserve"> </v>
      </c>
      <c r="AB83" t="str" cm="1">
        <f t="array" ref="AB83">_xlfn.TEXTJOIN(",",TRUE,(_xlfn._xlws.FILTER($A$2:$A$501,($D$2:$D$501&gt;=AC$7)*($D$2:$D$501&lt;AB$7)*($E$2:$E$501&gt;=$H84)*($E$2:$E$501&lt;$H83)," ")))</f>
        <v xml:space="preserve"> </v>
      </c>
      <c r="AC83" t="str" cm="1">
        <f t="array" ref="AC83">_xlfn.TEXTJOIN(",",TRUE,(_xlfn._xlws.FILTER($A$2:$A$501,($D$2:$D$501&gt;=AD$7)*($D$2:$D$501&lt;AC$7)*($E$2:$E$501&gt;=$H84)*($E$2:$E$501&lt;$H83)," ")))</f>
        <v>Farrell Area SD</v>
      </c>
      <c r="AD83" t="str" cm="1">
        <f t="array" ref="AD83">_xlfn.TEXTJOIN(",",TRUE,(_xlfn._xlws.FILTER($A$2:$A$501,($D$2:$D$501&gt;=AE$7)*($D$2:$D$501&lt;AD$7)*($E$2:$E$501&gt;=$H84)*($E$2:$E$501&lt;$H83)," ")))</f>
        <v xml:space="preserve"> </v>
      </c>
      <c r="AE83" t="str" cm="1">
        <f t="array" ref="AE83">_xlfn.TEXTJOIN(",",TRUE,(_xlfn._xlws.FILTER($A$2:$A$501,($D$2:$D$501&gt;=AF$7)*($D$2:$D$501&lt;AE$7)*($E$2:$E$501&gt;=$H84)*($E$2:$E$501&lt;$H83)," ")))</f>
        <v xml:space="preserve"> </v>
      </c>
      <c r="AF83" t="str" cm="1">
        <f t="array" ref="AF83">_xlfn.TEXTJOIN(",",TRUE,(_xlfn._xlws.FILTER($A$2:$A$501,($D$2:$D$501&gt;=AG$7)*($D$2:$D$501&lt;AF$7)*($E$2:$E$501&gt;=$H84)*($E$2:$E$501&lt;$H83)," ")))</f>
        <v xml:space="preserve"> </v>
      </c>
      <c r="AG83" t="str" cm="1">
        <f t="array" ref="AG83">_xlfn.TEXTJOIN(",",TRUE,(_xlfn._xlws.FILTER($A$2:$A$501,($D$2:$D$501&gt;=AH$7)*($D$2:$D$501&lt;AG$7)*($E$2:$E$501&gt;=$H84)*($E$2:$E$501&lt;$H83)," ")))</f>
        <v xml:space="preserve"> </v>
      </c>
      <c r="AH83" t="str" cm="1">
        <f t="array" ref="AH83">_xlfn.TEXTJOIN(",",TRUE,(_xlfn._xlws.FILTER($A$2:$A$501,($D$2:$D$501&gt;=AI$7)*($D$2:$D$501&lt;AH$7)*($E$2:$E$501&gt;=$H84)*($E$2:$E$501&lt;$H83)," ")))</f>
        <v xml:space="preserve"> </v>
      </c>
      <c r="AI83" t="str" cm="1">
        <f t="array" ref="AI83">_xlfn.TEXTJOIN(",",TRUE,(_xlfn._xlws.FILTER($A$2:$A$501,($D$2:$D$501&gt;=AJ$7)*($D$2:$D$501&lt;AI$7)*($E$2:$E$501&gt;=$H84)*($E$2:$E$501&lt;$H83)," ")))</f>
        <v xml:space="preserve"> </v>
      </c>
      <c r="AJ83" t="str" cm="1">
        <f t="array" ref="AJ83">_xlfn.TEXTJOIN(",",TRUE,(_xlfn._xlws.FILTER($A$2:$A$501,($D$2:$D$501&gt;=AK$7)*($D$2:$D$501&lt;AJ$7)*($E$2:$E$501&gt;=$H84)*($E$2:$E$501&lt;$H83)," ")))</f>
        <v xml:space="preserve"> </v>
      </c>
      <c r="AK83" t="str" cm="1">
        <f t="array" ref="AK83">_xlfn.TEXTJOIN(",",TRUE,(_xlfn._xlws.FILTER($A$2:$A$501,($D$2:$D$501&gt;=AL$7)*($D$2:$D$501&lt;AK$7)*($E$2:$E$501&gt;=$H84)*($E$2:$E$501&lt;$H83)," ")))</f>
        <v xml:space="preserve"> </v>
      </c>
      <c r="AL83" t="str" cm="1">
        <f t="array" ref="AL83">_xlfn.TEXTJOIN(",",TRUE,(_xlfn._xlws.FILTER($A$2:$A$501,($D$2:$D$501&gt;=AM$7)*($D$2:$D$501&lt;AL$7)*($E$2:$E$501&gt;=$H84)*($E$2:$E$501&lt;$H83)," ")))</f>
        <v xml:space="preserve"> </v>
      </c>
      <c r="AM83" t="str" cm="1">
        <f t="array" ref="AM83">_xlfn.TEXTJOIN(",",TRUE,(_xlfn._xlws.FILTER($A$2:$A$501,($D$2:$D$501&gt;=AN$7)*($D$2:$D$501&lt;AM$7)*($E$2:$E$501&gt;=$H84)*($E$2:$E$501&lt;$H83)," ")))</f>
        <v xml:space="preserve"> </v>
      </c>
      <c r="AN83" t="str" cm="1">
        <f t="array" ref="AN83">_xlfn.TEXTJOIN(",",TRUE,(_xlfn._xlws.FILTER($A$2:$A$501,($D$2:$D$501&gt;=AO$7)*($D$2:$D$501&lt;AN$7)*($E$2:$E$501&gt;=$H84)*($E$2:$E$501&lt;$H83)," ")))</f>
        <v xml:space="preserve"> </v>
      </c>
      <c r="AO83" t="str" cm="1">
        <f t="array" ref="AO83">_xlfn.TEXTJOIN(",",TRUE,(_xlfn._xlws.FILTER($A$2:$A$501,($D$2:$D$501&gt;=AP$7)*($D$2:$D$501&lt;AO$7)*($E$2:$E$501&gt;=$H84)*($E$2:$E$501&lt;$H83)," ")))</f>
        <v xml:space="preserve"> </v>
      </c>
      <c r="AP83" t="str" cm="1">
        <f t="array" ref="AP83">_xlfn.TEXTJOIN(",",TRUE,(_xlfn._xlws.FILTER($A$2:$A$501,($D$2:$D$501&gt;=AQ$7)*($D$2:$D$501&lt;AP$7)*($E$2:$E$501&gt;=$H84)*($E$2:$E$501&lt;$H83)," ")))</f>
        <v xml:space="preserve"> </v>
      </c>
      <c r="AQ83" t="str" cm="1">
        <f t="array" ref="AQ83">_xlfn.TEXTJOIN(",",TRUE,(_xlfn._xlws.FILTER($A$2:$A$501,($D$2:$D$501&gt;=AR$7)*($D$2:$D$501&lt;AQ$7)*($E$2:$E$501&gt;=$H84)*($E$2:$E$501&lt;$H83)," ")))</f>
        <v xml:space="preserve"> </v>
      </c>
      <c r="AR83" t="str" cm="1">
        <f t="array" ref="AR83">_xlfn.TEXTJOIN(",",TRUE,(_xlfn._xlws.FILTER($A$2:$A$501,($D$2:$D$501&gt;=AS$7)*($D$2:$D$501&lt;AR$7)*($E$2:$E$501&gt;=$H84)*($E$2:$E$501&lt;$H83)," ")))</f>
        <v xml:space="preserve"> </v>
      </c>
      <c r="AS83" t="str" cm="1">
        <f t="array" ref="AS83">_xlfn.TEXTJOIN(",",TRUE,(_xlfn._xlws.FILTER($A$2:$A$501,($D$2:$D$501&gt;=AT$7)*($D$2:$D$501&lt;AS$7)*($E$2:$E$501&gt;=$H84)*($E$2:$E$501&lt;$H83)," ")))</f>
        <v xml:space="preserve"> </v>
      </c>
      <c r="AT83" t="str" cm="1">
        <f t="array" ref="AT83">_xlfn.TEXTJOIN(",",TRUE,(_xlfn._xlws.FILTER($A$2:$A$501,($D$2:$D$501&gt;=AU$7)*($D$2:$D$501&lt;AT$7)*($E$2:$E$501&gt;=$H84)*($E$2:$E$501&lt;$H83)," ")))</f>
        <v xml:space="preserve"> </v>
      </c>
      <c r="AU83" t="str" cm="1">
        <f t="array" ref="AU83">_xlfn.TEXTJOIN(",",TRUE,(_xlfn._xlws.FILTER($A$2:$A$501,($D$2:$D$501&gt;=AV$7)*($D$2:$D$501&lt;AU$7)*($E$2:$E$501&gt;=$H84)*($E$2:$E$501&lt;$H83)," ")))</f>
        <v xml:space="preserve"> </v>
      </c>
      <c r="AV83" t="str" cm="1">
        <f t="array" ref="AV83">_xlfn.TEXTJOIN(",",TRUE,(_xlfn._xlws.FILTER($A$2:$A$501,($D$2:$D$501&gt;=AW$7)*($D$2:$D$501&lt;AV$7)*($E$2:$E$501&gt;=$H84)*($E$2:$E$501&lt;$H83)," ")))</f>
        <v xml:space="preserve"> </v>
      </c>
      <c r="AW83" t="str" cm="1">
        <f t="array" ref="AW83">_xlfn.TEXTJOIN(",",TRUE,(_xlfn._xlws.FILTER($A$2:$A$501,($D$2:$D$501&gt;=AX$7)*($D$2:$D$501&lt;AW$7)*($E$2:$E$501&gt;=$H84)*($E$2:$E$501&lt;$H83)," ")))</f>
        <v xml:space="preserve"> </v>
      </c>
      <c r="AX83" t="str" cm="1">
        <f t="array" ref="AX83">_xlfn.TEXTJOIN(",",TRUE,(_xlfn._xlws.FILTER($A$2:$A$501,($D$2:$D$501&gt;=AY$7)*($D$2:$D$501&lt;AX$7)*($E$2:$E$501&gt;=$H84)*($E$2:$E$501&lt;$H83)," ")))</f>
        <v xml:space="preserve"> </v>
      </c>
      <c r="AY83" t="str" cm="1">
        <f t="array" ref="AY83">_xlfn.TEXTJOIN(",",TRUE,(_xlfn._xlws.FILTER($A$2:$A$501,($D$2:$D$501&gt;=AZ$7)*($D$2:$D$501&lt;AY$7)*($E$2:$E$501&gt;=$H84)*($E$2:$E$501&lt;$H83)," ")))</f>
        <v xml:space="preserve"> </v>
      </c>
      <c r="AZ83" t="str" cm="1">
        <f t="array" ref="AZ83">_xlfn.TEXTJOIN(",",TRUE,(_xlfn._xlws.FILTER($A$2:$A$501,($D$2:$D$501&gt;=BA$7)*($D$2:$D$501&lt;AZ$7)*($E$2:$E$501&gt;=$H84)*($E$2:$E$501&lt;$H83)," ")))</f>
        <v xml:space="preserve"> </v>
      </c>
      <c r="BA83" t="str" cm="1">
        <f t="array" ref="BA83">_xlfn.TEXTJOIN(",",TRUE,(_xlfn._xlws.FILTER($A$2:$A$501,($D$2:$D$501&gt;=BB$7)*($D$2:$D$501&lt;BA$7)*($E$2:$E$501&gt;=$H84)*($E$2:$E$501&lt;$H83)," ")))</f>
        <v xml:space="preserve"> </v>
      </c>
      <c r="BB83" t="str" cm="1">
        <f t="array" ref="BB83">_xlfn.TEXTJOIN(",",TRUE,(_xlfn._xlws.FILTER($A$2:$A$501,($D$2:$D$501&gt;=BC$7)*($D$2:$D$501&lt;BB$7)*($E$2:$E$501&gt;=$H84)*($E$2:$E$501&lt;$H83)," ")))</f>
        <v xml:space="preserve"> </v>
      </c>
    </row>
    <row r="84" spans="1:54" x14ac:dyDescent="0.2">
      <c r="A84" s="3" t="s">
        <v>430</v>
      </c>
      <c r="B84" s="3" t="s">
        <v>431</v>
      </c>
      <c r="C84" s="13">
        <v>2726149.24</v>
      </c>
      <c r="D84" s="15">
        <v>59456079.75</v>
      </c>
      <c r="E84" s="22">
        <f>TuitionRates3[[#This Row],[Tuition]]/D84</f>
        <v>4.5851479805982337E-2</v>
      </c>
      <c r="F84"/>
      <c r="H84" s="18">
        <v>7.3999999999999899E-2</v>
      </c>
      <c r="I84" t="str" cm="1">
        <f t="array" ref="I84">_xlfn.TEXTJOIN(",",TRUE,(_xlfn._xlws.FILTER($A$2:$A$501,($D$2:$D$501&gt;=J$7)*($D$2:$D$501&lt;I$7)*($E$2:$E$501&gt;=$H85)*($E$2:$E$501&lt;$H84)," ")))</f>
        <v xml:space="preserve"> </v>
      </c>
      <c r="J84" t="str" cm="1">
        <f t="array" ref="J84">_xlfn.TEXTJOIN(",",TRUE,(_xlfn._xlws.FILTER($A$2:$A$501,($D$2:$D$501&gt;=K$7)*($D$2:$D$501&lt;J$7)*($E$2:$E$501&gt;=$H85)*($E$2:$E$501&lt;$H84)," ")))</f>
        <v xml:space="preserve"> </v>
      </c>
      <c r="K84" t="str" cm="1">
        <f t="array" ref="K84">_xlfn.TEXTJOIN(",",TRUE,(_xlfn._xlws.FILTER($A$2:$A$501,($D$2:$D$501&gt;=L$7)*($D$2:$D$501&lt;K$7)*($E$2:$E$501&gt;=$H85)*($E$2:$E$501&lt;$H84)," ")))</f>
        <v xml:space="preserve"> </v>
      </c>
      <c r="L84" t="str" cm="1">
        <f t="array" ref="L84">_xlfn.TEXTJOIN(",",TRUE,(_xlfn._xlws.FILTER($A$2:$A$501,($D$2:$D$501&gt;=M$7)*($D$2:$D$501&lt;L$7)*($E$2:$E$501&gt;=$H85)*($E$2:$E$501&lt;$H84)," ")))</f>
        <v xml:space="preserve"> </v>
      </c>
      <c r="M84" t="str" cm="1">
        <f t="array" ref="M84">_xlfn.TEXTJOIN(",",TRUE,(_xlfn._xlws.FILTER($A$2:$A$501,($D$2:$D$501&gt;=N$7)*($D$2:$D$501&lt;M$7)*($E$2:$E$501&gt;=$H85)*($E$2:$E$501&lt;$H84)," ")))</f>
        <v xml:space="preserve"> </v>
      </c>
      <c r="N84" t="str" cm="1">
        <f t="array" ref="N84">_xlfn.TEXTJOIN(",",TRUE,(_xlfn._xlws.FILTER($A$2:$A$501,($D$2:$D$501&gt;=O$7)*($D$2:$D$501&lt;N$7)*($E$2:$E$501&gt;=$H85)*($E$2:$E$501&lt;$H84)," ")))</f>
        <v xml:space="preserve"> </v>
      </c>
      <c r="O84" t="str" cm="1">
        <f t="array" ref="O84">_xlfn.TEXTJOIN(",",TRUE,(_xlfn._xlws.FILTER($A$2:$A$501,($D$2:$D$501&gt;=P$7)*($D$2:$D$501&lt;O$7)*($E$2:$E$501&gt;=$H85)*($E$2:$E$501&lt;$H84)," ")))</f>
        <v xml:space="preserve"> </v>
      </c>
      <c r="P84" t="str" cm="1">
        <f t="array" ref="P84">_xlfn.TEXTJOIN(",",TRUE,(_xlfn._xlws.FILTER($A$2:$A$501,($D$2:$D$501&gt;=Q$7)*($D$2:$D$501&lt;P$7)*($E$2:$E$501&gt;=$H85)*($E$2:$E$501&lt;$H84)," ")))</f>
        <v xml:space="preserve"> </v>
      </c>
      <c r="Q84" t="str" cm="1">
        <f t="array" ref="Q84">_xlfn.TEXTJOIN(",",TRUE,(_xlfn._xlws.FILTER($A$2:$A$501,($D$2:$D$501&gt;=R$7)*($D$2:$D$501&lt;Q$7)*($E$2:$E$501&gt;=$H85)*($E$2:$E$501&lt;$H84)," ")))</f>
        <v xml:space="preserve"> </v>
      </c>
      <c r="R84" t="str" cm="1">
        <f t="array" ref="R84">_xlfn.TEXTJOIN(",",TRUE,(_xlfn._xlws.FILTER($A$2:$A$501,($D$2:$D$501&gt;=S$7)*($D$2:$D$501&lt;R$7)*($E$2:$E$501&gt;=$H85)*($E$2:$E$501&lt;$H84)," ")))</f>
        <v xml:space="preserve"> </v>
      </c>
      <c r="S84" t="str" cm="1">
        <f t="array" ref="S84">_xlfn.TEXTJOIN(",",TRUE,(_xlfn._xlws.FILTER($A$2:$A$501,($D$2:$D$501&gt;=T$7)*($D$2:$D$501&lt;S$7)*($E$2:$E$501&gt;=$H85)*($E$2:$E$501&lt;$H84)," ")))</f>
        <v xml:space="preserve"> </v>
      </c>
      <c r="T84" t="str" cm="1">
        <f t="array" ref="T84">_xlfn.TEXTJOIN(",",TRUE,(_xlfn._xlws.FILTER($A$2:$A$501,($D$2:$D$501&gt;=U$7)*($D$2:$D$501&lt;T$7)*($E$2:$E$501&gt;=$H85)*($E$2:$E$501&lt;$H84)," ")))</f>
        <v xml:space="preserve"> </v>
      </c>
      <c r="U84" t="str" cm="1">
        <f t="array" ref="U84">_xlfn.TEXTJOIN(",",TRUE,(_xlfn._xlws.FILTER($A$2:$A$501,($D$2:$D$501&gt;=V$7)*($D$2:$D$501&lt;U$7)*($E$2:$E$501&gt;=$H85)*($E$2:$E$501&lt;$H84)," ")))</f>
        <v xml:space="preserve"> </v>
      </c>
      <c r="V84" t="str" cm="1">
        <f t="array" ref="V84">_xlfn.TEXTJOIN(",",TRUE,(_xlfn._xlws.FILTER($A$2:$A$501,($D$2:$D$501&gt;=W$7)*($D$2:$D$501&lt;V$7)*($E$2:$E$501&gt;=$H85)*($E$2:$E$501&lt;$H84)," ")))</f>
        <v xml:space="preserve"> </v>
      </c>
      <c r="W84" t="str" cm="1">
        <f t="array" ref="W84">_xlfn.TEXTJOIN(",",TRUE,(_xlfn._xlws.FILTER($A$2:$A$501,($D$2:$D$501&gt;=X$7)*($D$2:$D$501&lt;W$7)*($E$2:$E$501&gt;=$H85)*($E$2:$E$501&lt;$H84)," ")))</f>
        <v xml:space="preserve"> </v>
      </c>
      <c r="X84" t="str" cm="1">
        <f t="array" ref="X84">_xlfn.TEXTJOIN(",",TRUE,(_xlfn._xlws.FILTER($A$2:$A$501,($D$2:$D$501&gt;=Y$7)*($D$2:$D$501&lt;X$7)*($E$2:$E$501&gt;=$H85)*($E$2:$E$501&lt;$H84)," ")))</f>
        <v xml:space="preserve"> </v>
      </c>
      <c r="Y84" t="str" cm="1">
        <f t="array" ref="Y84">_xlfn.TEXTJOIN(",",TRUE,(_xlfn._xlws.FILTER($A$2:$A$501,($D$2:$D$501&gt;=Z$7)*($D$2:$D$501&lt;Y$7)*($E$2:$E$501&gt;=$H85)*($E$2:$E$501&lt;$H84)," ")))</f>
        <v xml:space="preserve"> </v>
      </c>
      <c r="Z84" t="str" cm="1">
        <f t="array" ref="Z84">_xlfn.TEXTJOIN(",",TRUE,(_xlfn._xlws.FILTER($A$2:$A$501,($D$2:$D$501&gt;=AA$7)*($D$2:$D$501&lt;Z$7)*($E$2:$E$501&gt;=$H85)*($E$2:$E$501&lt;$H84)," ")))</f>
        <v xml:space="preserve"> </v>
      </c>
      <c r="AA84" t="str" cm="1">
        <f t="array" ref="AA84">_xlfn.TEXTJOIN(",",TRUE,(_xlfn._xlws.FILTER($A$2:$A$501,($D$2:$D$501&gt;=AB$7)*($D$2:$D$501&lt;AA$7)*($E$2:$E$501&gt;=$H85)*($E$2:$E$501&lt;$H84)," ")))</f>
        <v xml:space="preserve"> </v>
      </c>
      <c r="AB84" t="str" cm="1">
        <f t="array" ref="AB84">_xlfn.TEXTJOIN(",",TRUE,(_xlfn._xlws.FILTER($A$2:$A$501,($D$2:$D$501&gt;=AC$7)*($D$2:$D$501&lt;AB$7)*($E$2:$E$501&gt;=$H85)*($E$2:$E$501&lt;$H84)," ")))</f>
        <v xml:space="preserve"> </v>
      </c>
      <c r="AC84" t="str" cm="1">
        <f t="array" ref="AC84">_xlfn.TEXTJOIN(",",TRUE,(_xlfn._xlws.FILTER($A$2:$A$501,($D$2:$D$501&gt;=AD$7)*($D$2:$D$501&lt;AC$7)*($E$2:$E$501&gt;=$H85)*($E$2:$E$501&lt;$H84)," ")))</f>
        <v xml:space="preserve"> </v>
      </c>
      <c r="AD84" t="str" cm="1">
        <f t="array" ref="AD84">_xlfn.TEXTJOIN(",",TRUE,(_xlfn._xlws.FILTER($A$2:$A$501,($D$2:$D$501&gt;=AE$7)*($D$2:$D$501&lt;AD$7)*($E$2:$E$501&gt;=$H85)*($E$2:$E$501&lt;$H84)," ")))</f>
        <v xml:space="preserve"> </v>
      </c>
      <c r="AE84" t="str" cm="1">
        <f t="array" ref="AE84">_xlfn.TEXTJOIN(",",TRUE,(_xlfn._xlws.FILTER($A$2:$A$501,($D$2:$D$501&gt;=AF$7)*($D$2:$D$501&lt;AE$7)*($E$2:$E$501&gt;=$H85)*($E$2:$E$501&lt;$H84)," ")))</f>
        <v>Fannett-Metal SD</v>
      </c>
      <c r="AF84" t="str" cm="1">
        <f t="array" ref="AF84">_xlfn.TEXTJOIN(",",TRUE,(_xlfn._xlws.FILTER($A$2:$A$501,($D$2:$D$501&gt;=AG$7)*($D$2:$D$501&lt;AF$7)*($E$2:$E$501&gt;=$H85)*($E$2:$E$501&lt;$H84)," ")))</f>
        <v xml:space="preserve"> </v>
      </c>
      <c r="AG84" t="str" cm="1">
        <f t="array" ref="AG84">_xlfn.TEXTJOIN(",",TRUE,(_xlfn._xlws.FILTER($A$2:$A$501,($D$2:$D$501&gt;=AH$7)*($D$2:$D$501&lt;AG$7)*($E$2:$E$501&gt;=$H85)*($E$2:$E$501&lt;$H84)," ")))</f>
        <v xml:space="preserve"> </v>
      </c>
      <c r="AH84" t="str" cm="1">
        <f t="array" ref="AH84">_xlfn.TEXTJOIN(",",TRUE,(_xlfn._xlws.FILTER($A$2:$A$501,($D$2:$D$501&gt;=AI$7)*($D$2:$D$501&lt;AH$7)*($E$2:$E$501&gt;=$H85)*($E$2:$E$501&lt;$H84)," ")))</f>
        <v xml:space="preserve"> </v>
      </c>
      <c r="AI84" t="str" cm="1">
        <f t="array" ref="AI84">_xlfn.TEXTJOIN(",",TRUE,(_xlfn._xlws.FILTER($A$2:$A$501,($D$2:$D$501&gt;=AJ$7)*($D$2:$D$501&lt;AI$7)*($E$2:$E$501&gt;=$H85)*($E$2:$E$501&lt;$H84)," ")))</f>
        <v xml:space="preserve"> </v>
      </c>
      <c r="AJ84" t="str" cm="1">
        <f t="array" ref="AJ84">_xlfn.TEXTJOIN(",",TRUE,(_xlfn._xlws.FILTER($A$2:$A$501,($D$2:$D$501&gt;=AK$7)*($D$2:$D$501&lt;AJ$7)*($E$2:$E$501&gt;=$H85)*($E$2:$E$501&lt;$H84)," ")))</f>
        <v xml:space="preserve"> </v>
      </c>
      <c r="AK84" t="str" cm="1">
        <f t="array" ref="AK84">_xlfn.TEXTJOIN(",",TRUE,(_xlfn._xlws.FILTER($A$2:$A$501,($D$2:$D$501&gt;=AL$7)*($D$2:$D$501&lt;AK$7)*($E$2:$E$501&gt;=$H85)*($E$2:$E$501&lt;$H84)," ")))</f>
        <v xml:space="preserve"> </v>
      </c>
      <c r="AL84" t="str" cm="1">
        <f t="array" ref="AL84">_xlfn.TEXTJOIN(",",TRUE,(_xlfn._xlws.FILTER($A$2:$A$501,($D$2:$D$501&gt;=AM$7)*($D$2:$D$501&lt;AL$7)*($E$2:$E$501&gt;=$H85)*($E$2:$E$501&lt;$H84)," ")))</f>
        <v xml:space="preserve"> </v>
      </c>
      <c r="AM84" t="str" cm="1">
        <f t="array" ref="AM84">_xlfn.TEXTJOIN(",",TRUE,(_xlfn._xlws.FILTER($A$2:$A$501,($D$2:$D$501&gt;=AN$7)*($D$2:$D$501&lt;AM$7)*($E$2:$E$501&gt;=$H85)*($E$2:$E$501&lt;$H84)," ")))</f>
        <v xml:space="preserve"> </v>
      </c>
      <c r="AN84" t="str" cm="1">
        <f t="array" ref="AN84">_xlfn.TEXTJOIN(",",TRUE,(_xlfn._xlws.FILTER($A$2:$A$501,($D$2:$D$501&gt;=AO$7)*($D$2:$D$501&lt;AN$7)*($E$2:$E$501&gt;=$H85)*($E$2:$E$501&lt;$H84)," ")))</f>
        <v xml:space="preserve"> </v>
      </c>
      <c r="AO84" t="str" cm="1">
        <f t="array" ref="AO84">_xlfn.TEXTJOIN(",",TRUE,(_xlfn._xlws.FILTER($A$2:$A$501,($D$2:$D$501&gt;=AP$7)*($D$2:$D$501&lt;AO$7)*($E$2:$E$501&gt;=$H85)*($E$2:$E$501&lt;$H84)," ")))</f>
        <v xml:space="preserve"> </v>
      </c>
      <c r="AP84" t="str" cm="1">
        <f t="array" ref="AP84">_xlfn.TEXTJOIN(",",TRUE,(_xlfn._xlws.FILTER($A$2:$A$501,($D$2:$D$501&gt;=AQ$7)*($D$2:$D$501&lt;AP$7)*($E$2:$E$501&gt;=$H85)*($E$2:$E$501&lt;$H84)," ")))</f>
        <v xml:space="preserve"> </v>
      </c>
      <c r="AQ84" t="str" cm="1">
        <f t="array" ref="AQ84">_xlfn.TEXTJOIN(",",TRUE,(_xlfn._xlws.FILTER($A$2:$A$501,($D$2:$D$501&gt;=AR$7)*($D$2:$D$501&lt;AQ$7)*($E$2:$E$501&gt;=$H85)*($E$2:$E$501&lt;$H84)," ")))</f>
        <v xml:space="preserve"> </v>
      </c>
      <c r="AR84" t="str" cm="1">
        <f t="array" ref="AR84">_xlfn.TEXTJOIN(",",TRUE,(_xlfn._xlws.FILTER($A$2:$A$501,($D$2:$D$501&gt;=AS$7)*($D$2:$D$501&lt;AR$7)*($E$2:$E$501&gt;=$H85)*($E$2:$E$501&lt;$H84)," ")))</f>
        <v xml:space="preserve"> </v>
      </c>
      <c r="AS84" t="str" cm="1">
        <f t="array" ref="AS84">_xlfn.TEXTJOIN(",",TRUE,(_xlfn._xlws.FILTER($A$2:$A$501,($D$2:$D$501&gt;=AT$7)*($D$2:$D$501&lt;AS$7)*($E$2:$E$501&gt;=$H85)*($E$2:$E$501&lt;$H84)," ")))</f>
        <v xml:space="preserve"> </v>
      </c>
      <c r="AT84" t="str" cm="1">
        <f t="array" ref="AT84">_xlfn.TEXTJOIN(",",TRUE,(_xlfn._xlws.FILTER($A$2:$A$501,($D$2:$D$501&gt;=AU$7)*($D$2:$D$501&lt;AT$7)*($E$2:$E$501&gt;=$H85)*($E$2:$E$501&lt;$H84)," ")))</f>
        <v xml:space="preserve"> </v>
      </c>
      <c r="AU84" t="str" cm="1">
        <f t="array" ref="AU84">_xlfn.TEXTJOIN(",",TRUE,(_xlfn._xlws.FILTER($A$2:$A$501,($D$2:$D$501&gt;=AV$7)*($D$2:$D$501&lt;AU$7)*($E$2:$E$501&gt;=$H85)*($E$2:$E$501&lt;$H84)," ")))</f>
        <v xml:space="preserve"> </v>
      </c>
      <c r="AV84" t="str" cm="1">
        <f t="array" ref="AV84">_xlfn.TEXTJOIN(",",TRUE,(_xlfn._xlws.FILTER($A$2:$A$501,($D$2:$D$501&gt;=AW$7)*($D$2:$D$501&lt;AV$7)*($E$2:$E$501&gt;=$H85)*($E$2:$E$501&lt;$H84)," ")))</f>
        <v xml:space="preserve"> </v>
      </c>
      <c r="AW84" t="str" cm="1">
        <f t="array" ref="AW84">_xlfn.TEXTJOIN(",",TRUE,(_xlfn._xlws.FILTER($A$2:$A$501,($D$2:$D$501&gt;=AX$7)*($D$2:$D$501&lt;AW$7)*($E$2:$E$501&gt;=$H85)*($E$2:$E$501&lt;$H84)," ")))</f>
        <v xml:space="preserve"> </v>
      </c>
      <c r="AX84" t="str" cm="1">
        <f t="array" ref="AX84">_xlfn.TEXTJOIN(",",TRUE,(_xlfn._xlws.FILTER($A$2:$A$501,($D$2:$D$501&gt;=AY$7)*($D$2:$D$501&lt;AX$7)*($E$2:$E$501&gt;=$H85)*($E$2:$E$501&lt;$H84)," ")))</f>
        <v xml:space="preserve"> </v>
      </c>
      <c r="AY84" t="str" cm="1">
        <f t="array" ref="AY84">_xlfn.TEXTJOIN(",",TRUE,(_xlfn._xlws.FILTER($A$2:$A$501,($D$2:$D$501&gt;=AZ$7)*($D$2:$D$501&lt;AY$7)*($E$2:$E$501&gt;=$H85)*($E$2:$E$501&lt;$H84)," ")))</f>
        <v xml:space="preserve"> </v>
      </c>
      <c r="AZ84" t="str" cm="1">
        <f t="array" ref="AZ84">_xlfn.TEXTJOIN(",",TRUE,(_xlfn._xlws.FILTER($A$2:$A$501,($D$2:$D$501&gt;=BA$7)*($D$2:$D$501&lt;AZ$7)*($E$2:$E$501&gt;=$H85)*($E$2:$E$501&lt;$H84)," ")))</f>
        <v xml:space="preserve"> </v>
      </c>
      <c r="BA84" t="str" cm="1">
        <f t="array" ref="BA84">_xlfn.TEXTJOIN(",",TRUE,(_xlfn._xlws.FILTER($A$2:$A$501,($D$2:$D$501&gt;=BB$7)*($D$2:$D$501&lt;BA$7)*($E$2:$E$501&gt;=$H85)*($E$2:$E$501&lt;$H84)," ")))</f>
        <v xml:space="preserve"> </v>
      </c>
      <c r="BB84" t="str" cm="1">
        <f t="array" ref="BB84">_xlfn.TEXTJOIN(",",TRUE,(_xlfn._xlws.FILTER($A$2:$A$501,($D$2:$D$501&gt;=BC$7)*($D$2:$D$501&lt;BB$7)*($E$2:$E$501&gt;=$H85)*($E$2:$E$501&lt;$H84)," ")))</f>
        <v xml:space="preserve"> </v>
      </c>
    </row>
    <row r="85" spans="1:54" x14ac:dyDescent="0.2">
      <c r="A85" s="3" t="s">
        <v>369</v>
      </c>
      <c r="B85" s="3" t="s">
        <v>359</v>
      </c>
      <c r="C85" s="13">
        <v>3821134.06</v>
      </c>
      <c r="D85" s="15">
        <v>84520354.129999995</v>
      </c>
      <c r="E85" s="22">
        <f>TuitionRates3[[#This Row],[Tuition]]/D85</f>
        <v>4.5209631447151157E-2</v>
      </c>
      <c r="F85"/>
      <c r="H85" s="18">
        <v>7.2999999999999898E-2</v>
      </c>
      <c r="I85" t="str" cm="1">
        <f t="array" ref="I85">_xlfn.TEXTJOIN(",",TRUE,(_xlfn._xlws.FILTER($A$2:$A$501,($D$2:$D$501&gt;=J$7)*($D$2:$D$501&lt;I$7)*($E$2:$E$501&gt;=$H86)*($E$2:$E$501&lt;$H85)," ")))</f>
        <v xml:space="preserve"> </v>
      </c>
      <c r="J85" t="str" cm="1">
        <f t="array" ref="J85">_xlfn.TEXTJOIN(",",TRUE,(_xlfn._xlws.FILTER($A$2:$A$501,($D$2:$D$501&gt;=K$7)*($D$2:$D$501&lt;J$7)*($E$2:$E$501&gt;=$H86)*($E$2:$E$501&lt;$H85)," ")))</f>
        <v xml:space="preserve"> </v>
      </c>
      <c r="K85" t="str" cm="1">
        <f t="array" ref="K85">_xlfn.TEXTJOIN(",",TRUE,(_xlfn._xlws.FILTER($A$2:$A$501,($D$2:$D$501&gt;=L$7)*($D$2:$D$501&lt;K$7)*($E$2:$E$501&gt;=$H86)*($E$2:$E$501&lt;$H85)," ")))</f>
        <v xml:space="preserve"> </v>
      </c>
      <c r="L85" t="str" cm="1">
        <f t="array" ref="L85">_xlfn.TEXTJOIN(",",TRUE,(_xlfn._xlws.FILTER($A$2:$A$501,($D$2:$D$501&gt;=M$7)*($D$2:$D$501&lt;L$7)*($E$2:$E$501&gt;=$H86)*($E$2:$E$501&lt;$H85)," ")))</f>
        <v xml:space="preserve"> </v>
      </c>
      <c r="M85" t="str" cm="1">
        <f t="array" ref="M85">_xlfn.TEXTJOIN(",",TRUE,(_xlfn._xlws.FILTER($A$2:$A$501,($D$2:$D$501&gt;=N$7)*($D$2:$D$501&lt;M$7)*($E$2:$E$501&gt;=$H86)*($E$2:$E$501&lt;$H85)," ")))</f>
        <v xml:space="preserve"> </v>
      </c>
      <c r="N85" t="str" cm="1">
        <f t="array" ref="N85">_xlfn.TEXTJOIN(",",TRUE,(_xlfn._xlws.FILTER($A$2:$A$501,($D$2:$D$501&gt;=O$7)*($D$2:$D$501&lt;N$7)*($E$2:$E$501&gt;=$H86)*($E$2:$E$501&lt;$H85)," ")))</f>
        <v xml:space="preserve"> </v>
      </c>
      <c r="O85" t="str" cm="1">
        <f t="array" ref="O85">_xlfn.TEXTJOIN(",",TRUE,(_xlfn._xlws.FILTER($A$2:$A$501,($D$2:$D$501&gt;=P$7)*($D$2:$D$501&lt;O$7)*($E$2:$E$501&gt;=$H86)*($E$2:$E$501&lt;$H85)," ")))</f>
        <v xml:space="preserve"> </v>
      </c>
      <c r="P85" t="str" cm="1">
        <f t="array" ref="P85">_xlfn.TEXTJOIN(",",TRUE,(_xlfn._xlws.FILTER($A$2:$A$501,($D$2:$D$501&gt;=Q$7)*($D$2:$D$501&lt;P$7)*($E$2:$E$501&gt;=$H86)*($E$2:$E$501&lt;$H85)," ")))</f>
        <v xml:space="preserve"> </v>
      </c>
      <c r="Q85" t="str" cm="1">
        <f t="array" ref="Q85">_xlfn.TEXTJOIN(",",TRUE,(_xlfn._xlws.FILTER($A$2:$A$501,($D$2:$D$501&gt;=R$7)*($D$2:$D$501&lt;Q$7)*($E$2:$E$501&gt;=$H86)*($E$2:$E$501&lt;$H85)," ")))</f>
        <v xml:space="preserve"> </v>
      </c>
      <c r="R85" t="str" cm="1">
        <f t="array" ref="R85">_xlfn.TEXTJOIN(",",TRUE,(_xlfn._xlws.FILTER($A$2:$A$501,($D$2:$D$501&gt;=S$7)*($D$2:$D$501&lt;R$7)*($E$2:$E$501&gt;=$H86)*($E$2:$E$501&lt;$H85)," ")))</f>
        <v xml:space="preserve"> </v>
      </c>
      <c r="S85" t="str" cm="1">
        <f t="array" ref="S85">_xlfn.TEXTJOIN(",",TRUE,(_xlfn._xlws.FILTER($A$2:$A$501,($D$2:$D$501&gt;=T$7)*($D$2:$D$501&lt;S$7)*($E$2:$E$501&gt;=$H86)*($E$2:$E$501&lt;$H85)," ")))</f>
        <v xml:space="preserve"> </v>
      </c>
      <c r="T85" t="str" cm="1">
        <f t="array" ref="T85">_xlfn.TEXTJOIN(",",TRUE,(_xlfn._xlws.FILTER($A$2:$A$501,($D$2:$D$501&gt;=U$7)*($D$2:$D$501&lt;T$7)*($E$2:$E$501&gt;=$H86)*($E$2:$E$501&lt;$H85)," ")))</f>
        <v xml:space="preserve"> </v>
      </c>
      <c r="U85" t="str" cm="1">
        <f t="array" ref="U85">_xlfn.TEXTJOIN(",",TRUE,(_xlfn._xlws.FILTER($A$2:$A$501,($D$2:$D$501&gt;=V$7)*($D$2:$D$501&lt;U$7)*($E$2:$E$501&gt;=$H86)*($E$2:$E$501&lt;$H85)," ")))</f>
        <v xml:space="preserve"> </v>
      </c>
      <c r="V85" t="str" cm="1">
        <f t="array" ref="V85">_xlfn.TEXTJOIN(",",TRUE,(_xlfn._xlws.FILTER($A$2:$A$501,($D$2:$D$501&gt;=W$7)*($D$2:$D$501&lt;V$7)*($E$2:$E$501&gt;=$H86)*($E$2:$E$501&lt;$H85)," ")))</f>
        <v xml:space="preserve"> </v>
      </c>
      <c r="W85" t="str" cm="1">
        <f t="array" ref="W85">_xlfn.TEXTJOIN(",",TRUE,(_xlfn._xlws.FILTER($A$2:$A$501,($D$2:$D$501&gt;=X$7)*($D$2:$D$501&lt;W$7)*($E$2:$E$501&gt;=$H86)*($E$2:$E$501&lt;$H85)," ")))</f>
        <v xml:space="preserve"> </v>
      </c>
      <c r="X85" t="str" cm="1">
        <f t="array" ref="X85">_xlfn.TEXTJOIN(",",TRUE,(_xlfn._xlws.FILTER($A$2:$A$501,($D$2:$D$501&gt;=Y$7)*($D$2:$D$501&lt;X$7)*($E$2:$E$501&gt;=$H86)*($E$2:$E$501&lt;$H85)," ")))</f>
        <v xml:space="preserve"> </v>
      </c>
      <c r="Y85" t="str" cm="1">
        <f t="array" ref="Y85">_xlfn.TEXTJOIN(",",TRUE,(_xlfn._xlws.FILTER($A$2:$A$501,($D$2:$D$501&gt;=Z$7)*($D$2:$D$501&lt;Y$7)*($E$2:$E$501&gt;=$H86)*($E$2:$E$501&lt;$H85)," ")))</f>
        <v xml:space="preserve"> </v>
      </c>
      <c r="Z85" t="str" cm="1">
        <f t="array" ref="Z85">_xlfn.TEXTJOIN(",",TRUE,(_xlfn._xlws.FILTER($A$2:$A$501,($D$2:$D$501&gt;=AA$7)*($D$2:$D$501&lt;Z$7)*($E$2:$E$501&gt;=$H86)*($E$2:$E$501&lt;$H85)," ")))</f>
        <v xml:space="preserve"> </v>
      </c>
      <c r="AA85" t="str" cm="1">
        <f t="array" ref="AA85">_xlfn.TEXTJOIN(",",TRUE,(_xlfn._xlws.FILTER($A$2:$A$501,($D$2:$D$501&gt;=AB$7)*($D$2:$D$501&lt;AA$7)*($E$2:$E$501&gt;=$H86)*($E$2:$E$501&lt;$H85)," ")))</f>
        <v xml:space="preserve"> </v>
      </c>
      <c r="AB85" t="str" cm="1">
        <f t="array" ref="AB85">_xlfn.TEXTJOIN(",",TRUE,(_xlfn._xlws.FILTER($A$2:$A$501,($D$2:$D$501&gt;=AC$7)*($D$2:$D$501&lt;AB$7)*($E$2:$E$501&gt;=$H86)*($E$2:$E$501&lt;$H85)," ")))</f>
        <v xml:space="preserve"> </v>
      </c>
      <c r="AC85" t="str" cm="1">
        <f t="array" ref="AC85">_xlfn.TEXTJOIN(",",TRUE,(_xlfn._xlws.FILTER($A$2:$A$501,($D$2:$D$501&gt;=AD$7)*($D$2:$D$501&lt;AC$7)*($E$2:$E$501&gt;=$H86)*($E$2:$E$501&lt;$H85)," ")))</f>
        <v xml:space="preserve"> </v>
      </c>
      <c r="AD85" t="str" cm="1">
        <f t="array" ref="AD85">_xlfn.TEXTJOIN(",",TRUE,(_xlfn._xlws.FILTER($A$2:$A$501,($D$2:$D$501&gt;=AE$7)*($D$2:$D$501&lt;AD$7)*($E$2:$E$501&gt;=$H86)*($E$2:$E$501&lt;$H85)," ")))</f>
        <v>Monessen City SD</v>
      </c>
      <c r="AE85" t="str" cm="1">
        <f t="array" ref="AE85">_xlfn.TEXTJOIN(",",TRUE,(_xlfn._xlws.FILTER($A$2:$A$501,($D$2:$D$501&gt;=AF$7)*($D$2:$D$501&lt;AE$7)*($E$2:$E$501&gt;=$H86)*($E$2:$E$501&lt;$H85)," ")))</f>
        <v xml:space="preserve"> </v>
      </c>
      <c r="AF85" t="str" cm="1">
        <f t="array" ref="AF85">_xlfn.TEXTJOIN(",",TRUE,(_xlfn._xlws.FILTER($A$2:$A$501,($D$2:$D$501&gt;=AG$7)*($D$2:$D$501&lt;AF$7)*($E$2:$E$501&gt;=$H86)*($E$2:$E$501&lt;$H85)," ")))</f>
        <v xml:space="preserve"> </v>
      </c>
      <c r="AG85" t="str" cm="1">
        <f t="array" ref="AG85">_xlfn.TEXTJOIN(",",TRUE,(_xlfn._xlws.FILTER($A$2:$A$501,($D$2:$D$501&gt;=AH$7)*($D$2:$D$501&lt;AG$7)*($E$2:$E$501&gt;=$H86)*($E$2:$E$501&lt;$H85)," ")))</f>
        <v xml:space="preserve"> </v>
      </c>
      <c r="AH85" t="str" cm="1">
        <f t="array" ref="AH85">_xlfn.TEXTJOIN(",",TRUE,(_xlfn._xlws.FILTER($A$2:$A$501,($D$2:$D$501&gt;=AI$7)*($D$2:$D$501&lt;AH$7)*($E$2:$E$501&gt;=$H86)*($E$2:$E$501&lt;$H85)," ")))</f>
        <v xml:space="preserve"> </v>
      </c>
      <c r="AI85" t="str" cm="1">
        <f t="array" ref="AI85">_xlfn.TEXTJOIN(",",TRUE,(_xlfn._xlws.FILTER($A$2:$A$501,($D$2:$D$501&gt;=AJ$7)*($D$2:$D$501&lt;AI$7)*($E$2:$E$501&gt;=$H86)*($E$2:$E$501&lt;$H85)," ")))</f>
        <v xml:space="preserve"> </v>
      </c>
      <c r="AJ85" t="str" cm="1">
        <f t="array" ref="AJ85">_xlfn.TEXTJOIN(",",TRUE,(_xlfn._xlws.FILTER($A$2:$A$501,($D$2:$D$501&gt;=AK$7)*($D$2:$D$501&lt;AJ$7)*($E$2:$E$501&gt;=$H86)*($E$2:$E$501&lt;$H85)," ")))</f>
        <v xml:space="preserve"> </v>
      </c>
      <c r="AK85" t="str" cm="1">
        <f t="array" ref="AK85">_xlfn.TEXTJOIN(",",TRUE,(_xlfn._xlws.FILTER($A$2:$A$501,($D$2:$D$501&gt;=AL$7)*($D$2:$D$501&lt;AK$7)*($E$2:$E$501&gt;=$H86)*($E$2:$E$501&lt;$H85)," ")))</f>
        <v xml:space="preserve"> </v>
      </c>
      <c r="AL85" t="str" cm="1">
        <f t="array" ref="AL85">_xlfn.TEXTJOIN(",",TRUE,(_xlfn._xlws.FILTER($A$2:$A$501,($D$2:$D$501&gt;=AM$7)*($D$2:$D$501&lt;AL$7)*($E$2:$E$501&gt;=$H86)*($E$2:$E$501&lt;$H85)," ")))</f>
        <v xml:space="preserve"> </v>
      </c>
      <c r="AM85" t="str" cm="1">
        <f t="array" ref="AM85">_xlfn.TEXTJOIN(",",TRUE,(_xlfn._xlws.FILTER($A$2:$A$501,($D$2:$D$501&gt;=AN$7)*($D$2:$D$501&lt;AM$7)*($E$2:$E$501&gt;=$H86)*($E$2:$E$501&lt;$H85)," ")))</f>
        <v xml:space="preserve"> </v>
      </c>
      <c r="AN85" t="str" cm="1">
        <f t="array" ref="AN85">_xlfn.TEXTJOIN(",",TRUE,(_xlfn._xlws.FILTER($A$2:$A$501,($D$2:$D$501&gt;=AO$7)*($D$2:$D$501&lt;AN$7)*($E$2:$E$501&gt;=$H86)*($E$2:$E$501&lt;$H85)," ")))</f>
        <v xml:space="preserve"> </v>
      </c>
      <c r="AO85" t="str" cm="1">
        <f t="array" ref="AO85">_xlfn.TEXTJOIN(",",TRUE,(_xlfn._xlws.FILTER($A$2:$A$501,($D$2:$D$501&gt;=AP$7)*($D$2:$D$501&lt;AO$7)*($E$2:$E$501&gt;=$H86)*($E$2:$E$501&lt;$H85)," ")))</f>
        <v xml:space="preserve"> </v>
      </c>
      <c r="AP85" t="str" cm="1">
        <f t="array" ref="AP85">_xlfn.TEXTJOIN(",",TRUE,(_xlfn._xlws.FILTER($A$2:$A$501,($D$2:$D$501&gt;=AQ$7)*($D$2:$D$501&lt;AP$7)*($E$2:$E$501&gt;=$H86)*($E$2:$E$501&lt;$H85)," ")))</f>
        <v xml:space="preserve"> </v>
      </c>
      <c r="AQ85" t="str" cm="1">
        <f t="array" ref="AQ85">_xlfn.TEXTJOIN(",",TRUE,(_xlfn._xlws.FILTER($A$2:$A$501,($D$2:$D$501&gt;=AR$7)*($D$2:$D$501&lt;AQ$7)*($E$2:$E$501&gt;=$H86)*($E$2:$E$501&lt;$H85)," ")))</f>
        <v xml:space="preserve"> </v>
      </c>
      <c r="AR85" t="str" cm="1">
        <f t="array" ref="AR85">_xlfn.TEXTJOIN(",",TRUE,(_xlfn._xlws.FILTER($A$2:$A$501,($D$2:$D$501&gt;=AS$7)*($D$2:$D$501&lt;AR$7)*($E$2:$E$501&gt;=$H86)*($E$2:$E$501&lt;$H85)," ")))</f>
        <v xml:space="preserve"> </v>
      </c>
      <c r="AS85" t="str" cm="1">
        <f t="array" ref="AS85">_xlfn.TEXTJOIN(",",TRUE,(_xlfn._xlws.FILTER($A$2:$A$501,($D$2:$D$501&gt;=AT$7)*($D$2:$D$501&lt;AS$7)*($E$2:$E$501&gt;=$H86)*($E$2:$E$501&lt;$H85)," ")))</f>
        <v xml:space="preserve"> </v>
      </c>
      <c r="AT85" t="str" cm="1">
        <f t="array" ref="AT85">_xlfn.TEXTJOIN(",",TRUE,(_xlfn._xlws.FILTER($A$2:$A$501,($D$2:$D$501&gt;=AU$7)*($D$2:$D$501&lt;AT$7)*($E$2:$E$501&gt;=$H86)*($E$2:$E$501&lt;$H85)," ")))</f>
        <v xml:space="preserve"> </v>
      </c>
      <c r="AU85" t="str" cm="1">
        <f t="array" ref="AU85">_xlfn.TEXTJOIN(",",TRUE,(_xlfn._xlws.FILTER($A$2:$A$501,($D$2:$D$501&gt;=AV$7)*($D$2:$D$501&lt;AU$7)*($E$2:$E$501&gt;=$H86)*($E$2:$E$501&lt;$H85)," ")))</f>
        <v xml:space="preserve"> </v>
      </c>
      <c r="AV85" t="str" cm="1">
        <f t="array" ref="AV85">_xlfn.TEXTJOIN(",",TRUE,(_xlfn._xlws.FILTER($A$2:$A$501,($D$2:$D$501&gt;=AW$7)*($D$2:$D$501&lt;AV$7)*($E$2:$E$501&gt;=$H86)*($E$2:$E$501&lt;$H85)," ")))</f>
        <v xml:space="preserve"> </v>
      </c>
      <c r="AW85" t="str" cm="1">
        <f t="array" ref="AW85">_xlfn.TEXTJOIN(",",TRUE,(_xlfn._xlws.FILTER($A$2:$A$501,($D$2:$D$501&gt;=AX$7)*($D$2:$D$501&lt;AW$7)*($E$2:$E$501&gt;=$H86)*($E$2:$E$501&lt;$H85)," ")))</f>
        <v xml:space="preserve"> </v>
      </c>
      <c r="AX85" t="str" cm="1">
        <f t="array" ref="AX85">_xlfn.TEXTJOIN(",",TRUE,(_xlfn._xlws.FILTER($A$2:$A$501,($D$2:$D$501&gt;=AY$7)*($D$2:$D$501&lt;AX$7)*($E$2:$E$501&gt;=$H86)*($E$2:$E$501&lt;$H85)," ")))</f>
        <v xml:space="preserve"> </v>
      </c>
      <c r="AY85" t="str" cm="1">
        <f t="array" ref="AY85">_xlfn.TEXTJOIN(",",TRUE,(_xlfn._xlws.FILTER($A$2:$A$501,($D$2:$D$501&gt;=AZ$7)*($D$2:$D$501&lt;AY$7)*($E$2:$E$501&gt;=$H86)*($E$2:$E$501&lt;$H85)," ")))</f>
        <v xml:space="preserve"> </v>
      </c>
      <c r="AZ85" t="str" cm="1">
        <f t="array" ref="AZ85">_xlfn.TEXTJOIN(",",TRUE,(_xlfn._xlws.FILTER($A$2:$A$501,($D$2:$D$501&gt;=BA$7)*($D$2:$D$501&lt;AZ$7)*($E$2:$E$501&gt;=$H86)*($E$2:$E$501&lt;$H85)," ")))</f>
        <v xml:space="preserve"> </v>
      </c>
      <c r="BA85" t="str" cm="1">
        <f t="array" ref="BA85">_xlfn.TEXTJOIN(",",TRUE,(_xlfn._xlws.FILTER($A$2:$A$501,($D$2:$D$501&gt;=BB$7)*($D$2:$D$501&lt;BA$7)*($E$2:$E$501&gt;=$H86)*($E$2:$E$501&lt;$H85)," ")))</f>
        <v xml:space="preserve"> </v>
      </c>
      <c r="BB85" t="str" cm="1">
        <f t="array" ref="BB85">_xlfn.TEXTJOIN(",",TRUE,(_xlfn._xlws.FILTER($A$2:$A$501,($D$2:$D$501&gt;=BC$7)*($D$2:$D$501&lt;BB$7)*($E$2:$E$501&gt;=$H86)*($E$2:$E$501&lt;$H85)," ")))</f>
        <v xml:space="preserve"> </v>
      </c>
    </row>
    <row r="86" spans="1:54" x14ac:dyDescent="0.2">
      <c r="A86" s="3" t="s">
        <v>309</v>
      </c>
      <c r="B86" s="3" t="s">
        <v>305</v>
      </c>
      <c r="C86" s="13">
        <v>1579343.45</v>
      </c>
      <c r="D86" s="15">
        <v>35051555</v>
      </c>
      <c r="E86" s="22">
        <f>TuitionRates3[[#This Row],[Tuition]]/D86</f>
        <v>4.5057728537293139E-2</v>
      </c>
      <c r="F86"/>
      <c r="H86" s="18">
        <v>7.1999999999999897E-2</v>
      </c>
      <c r="I86" t="str" cm="1">
        <f t="array" ref="I86">_xlfn.TEXTJOIN(",",TRUE,(_xlfn._xlws.FILTER($A$2:$A$501,($D$2:$D$501&gt;=J$7)*($D$2:$D$501&lt;I$7)*($E$2:$E$501&gt;=$H87)*($E$2:$E$501&lt;$H86)," ")))</f>
        <v xml:space="preserve"> </v>
      </c>
      <c r="J86" t="str" cm="1">
        <f t="array" ref="J86">_xlfn.TEXTJOIN(",",TRUE,(_xlfn._xlws.FILTER($A$2:$A$501,($D$2:$D$501&gt;=K$7)*($D$2:$D$501&lt;J$7)*($E$2:$E$501&gt;=$H87)*($E$2:$E$501&lt;$H86)," ")))</f>
        <v xml:space="preserve"> </v>
      </c>
      <c r="K86" t="str" cm="1">
        <f t="array" ref="K86">_xlfn.TEXTJOIN(",",TRUE,(_xlfn._xlws.FILTER($A$2:$A$501,($D$2:$D$501&gt;=L$7)*($D$2:$D$501&lt;K$7)*($E$2:$E$501&gt;=$H87)*($E$2:$E$501&lt;$H86)," ")))</f>
        <v xml:space="preserve"> </v>
      </c>
      <c r="L86" t="str" cm="1">
        <f t="array" ref="L86">_xlfn.TEXTJOIN(",",TRUE,(_xlfn._xlws.FILTER($A$2:$A$501,($D$2:$D$501&gt;=M$7)*($D$2:$D$501&lt;L$7)*($E$2:$E$501&gt;=$H87)*($E$2:$E$501&lt;$H86)," ")))</f>
        <v xml:space="preserve"> </v>
      </c>
      <c r="M86" t="str" cm="1">
        <f t="array" ref="M86">_xlfn.TEXTJOIN(",",TRUE,(_xlfn._xlws.FILTER($A$2:$A$501,($D$2:$D$501&gt;=N$7)*($D$2:$D$501&lt;M$7)*($E$2:$E$501&gt;=$H87)*($E$2:$E$501&lt;$H86)," ")))</f>
        <v xml:space="preserve"> </v>
      </c>
      <c r="N86" t="str" cm="1">
        <f t="array" ref="N86">_xlfn.TEXTJOIN(",",TRUE,(_xlfn._xlws.FILTER($A$2:$A$501,($D$2:$D$501&gt;=O$7)*($D$2:$D$501&lt;N$7)*($E$2:$E$501&gt;=$H87)*($E$2:$E$501&lt;$H86)," ")))</f>
        <v xml:space="preserve"> </v>
      </c>
      <c r="O86" t="str" cm="1">
        <f t="array" ref="O86">_xlfn.TEXTJOIN(",",TRUE,(_xlfn._xlws.FILTER($A$2:$A$501,($D$2:$D$501&gt;=P$7)*($D$2:$D$501&lt;O$7)*($E$2:$E$501&gt;=$H87)*($E$2:$E$501&lt;$H86)," ")))</f>
        <v xml:space="preserve"> </v>
      </c>
      <c r="P86" t="str" cm="1">
        <f t="array" ref="P86">_xlfn.TEXTJOIN(",",TRUE,(_xlfn._xlws.FILTER($A$2:$A$501,($D$2:$D$501&gt;=Q$7)*($D$2:$D$501&lt;P$7)*($E$2:$E$501&gt;=$H87)*($E$2:$E$501&lt;$H86)," ")))</f>
        <v xml:space="preserve"> </v>
      </c>
      <c r="Q86" t="str" cm="1">
        <f t="array" ref="Q86">_xlfn.TEXTJOIN(",",TRUE,(_xlfn._xlws.FILTER($A$2:$A$501,($D$2:$D$501&gt;=R$7)*($D$2:$D$501&lt;Q$7)*($E$2:$E$501&gt;=$H87)*($E$2:$E$501&lt;$H86)," ")))</f>
        <v xml:space="preserve"> </v>
      </c>
      <c r="R86" t="str" cm="1">
        <f t="array" ref="R86">_xlfn.TEXTJOIN(",",TRUE,(_xlfn._xlws.FILTER($A$2:$A$501,($D$2:$D$501&gt;=S$7)*($D$2:$D$501&lt;R$7)*($E$2:$E$501&gt;=$H87)*($E$2:$E$501&lt;$H86)," ")))</f>
        <v xml:space="preserve"> </v>
      </c>
      <c r="S86" t="str" cm="1">
        <f t="array" ref="S86">_xlfn.TEXTJOIN(",",TRUE,(_xlfn._xlws.FILTER($A$2:$A$501,($D$2:$D$501&gt;=T$7)*($D$2:$D$501&lt;S$7)*($E$2:$E$501&gt;=$H87)*($E$2:$E$501&lt;$H86)," ")))</f>
        <v xml:space="preserve"> </v>
      </c>
      <c r="T86" t="str" cm="1">
        <f t="array" ref="T86">_xlfn.TEXTJOIN(",",TRUE,(_xlfn._xlws.FILTER($A$2:$A$501,($D$2:$D$501&gt;=U$7)*($D$2:$D$501&lt;T$7)*($E$2:$E$501&gt;=$H87)*($E$2:$E$501&lt;$H86)," ")))</f>
        <v xml:space="preserve"> </v>
      </c>
      <c r="U86" t="str" cm="1">
        <f t="array" ref="U86">_xlfn.TEXTJOIN(",",TRUE,(_xlfn._xlws.FILTER($A$2:$A$501,($D$2:$D$501&gt;=V$7)*($D$2:$D$501&lt;U$7)*($E$2:$E$501&gt;=$H87)*($E$2:$E$501&lt;$H86)," ")))</f>
        <v xml:space="preserve"> </v>
      </c>
      <c r="V86" t="str" cm="1">
        <f t="array" ref="V86">_xlfn.TEXTJOIN(",",TRUE,(_xlfn._xlws.FILTER($A$2:$A$501,($D$2:$D$501&gt;=W$7)*($D$2:$D$501&lt;V$7)*($E$2:$E$501&gt;=$H87)*($E$2:$E$501&lt;$H86)," ")))</f>
        <v xml:space="preserve"> </v>
      </c>
      <c r="W86" t="str" cm="1">
        <f t="array" ref="W86">_xlfn.TEXTJOIN(",",TRUE,(_xlfn._xlws.FILTER($A$2:$A$501,($D$2:$D$501&gt;=X$7)*($D$2:$D$501&lt;W$7)*($E$2:$E$501&gt;=$H87)*($E$2:$E$501&lt;$H86)," ")))</f>
        <v xml:space="preserve"> </v>
      </c>
      <c r="X86" t="str" cm="1">
        <f t="array" ref="X86">_xlfn.TEXTJOIN(",",TRUE,(_xlfn._xlws.FILTER($A$2:$A$501,($D$2:$D$501&gt;=Y$7)*($D$2:$D$501&lt;X$7)*($E$2:$E$501&gt;=$H87)*($E$2:$E$501&lt;$H86)," ")))</f>
        <v xml:space="preserve"> </v>
      </c>
      <c r="Y86" t="str" cm="1">
        <f t="array" ref="Y86">_xlfn.TEXTJOIN(",",TRUE,(_xlfn._xlws.FILTER($A$2:$A$501,($D$2:$D$501&gt;=Z$7)*($D$2:$D$501&lt;Y$7)*($E$2:$E$501&gt;=$H87)*($E$2:$E$501&lt;$H86)," ")))</f>
        <v xml:space="preserve"> </v>
      </c>
      <c r="Z86" t="str" cm="1">
        <f t="array" ref="Z86">_xlfn.TEXTJOIN(",",TRUE,(_xlfn._xlws.FILTER($A$2:$A$501,($D$2:$D$501&gt;=AA$7)*($D$2:$D$501&lt;Z$7)*($E$2:$E$501&gt;=$H87)*($E$2:$E$501&lt;$H86)," ")))</f>
        <v xml:space="preserve"> </v>
      </c>
      <c r="AA86" t="str" cm="1">
        <f t="array" ref="AA86">_xlfn.TEXTJOIN(",",TRUE,(_xlfn._xlws.FILTER($A$2:$A$501,($D$2:$D$501&gt;=AB$7)*($D$2:$D$501&lt;AA$7)*($E$2:$E$501&gt;=$H87)*($E$2:$E$501&lt;$H86)," ")))</f>
        <v xml:space="preserve"> </v>
      </c>
      <c r="AB86" t="str" cm="1">
        <f t="array" ref="AB86">_xlfn.TEXTJOIN(",",TRUE,(_xlfn._xlws.FILTER($A$2:$A$501,($D$2:$D$501&gt;=AC$7)*($D$2:$D$501&lt;AB$7)*($E$2:$E$501&gt;=$H87)*($E$2:$E$501&lt;$H86)," ")))</f>
        <v xml:space="preserve"> </v>
      </c>
      <c r="AC86" t="str" cm="1">
        <f t="array" ref="AC86">_xlfn.TEXTJOIN(",",TRUE,(_xlfn._xlws.FILTER($A$2:$A$501,($D$2:$D$501&gt;=AD$7)*($D$2:$D$501&lt;AC$7)*($E$2:$E$501&gt;=$H87)*($E$2:$E$501&lt;$H86)," ")))</f>
        <v xml:space="preserve"> </v>
      </c>
      <c r="AD86" t="str" cm="1">
        <f t="array" ref="AD86">_xlfn.TEXTJOIN(",",TRUE,(_xlfn._xlws.FILTER($A$2:$A$501,($D$2:$D$501&gt;=AE$7)*($D$2:$D$501&lt;AD$7)*($E$2:$E$501&gt;=$H87)*($E$2:$E$501&lt;$H86)," ")))</f>
        <v xml:space="preserve"> </v>
      </c>
      <c r="AE86" t="str" cm="1">
        <f t="array" ref="AE86">_xlfn.TEXTJOIN(",",TRUE,(_xlfn._xlws.FILTER($A$2:$A$501,($D$2:$D$501&gt;=AF$7)*($D$2:$D$501&lt;AE$7)*($E$2:$E$501&gt;=$H87)*($E$2:$E$501&lt;$H86)," ")))</f>
        <v xml:space="preserve"> </v>
      </c>
      <c r="AF86" t="str" cm="1">
        <f t="array" ref="AF86">_xlfn.TEXTJOIN(",",TRUE,(_xlfn._xlws.FILTER($A$2:$A$501,($D$2:$D$501&gt;=AG$7)*($D$2:$D$501&lt;AF$7)*($E$2:$E$501&gt;=$H87)*($E$2:$E$501&lt;$H86)," ")))</f>
        <v xml:space="preserve"> </v>
      </c>
      <c r="AG86" t="str" cm="1">
        <f t="array" ref="AG86">_xlfn.TEXTJOIN(",",TRUE,(_xlfn._xlws.FILTER($A$2:$A$501,($D$2:$D$501&gt;=AH$7)*($D$2:$D$501&lt;AG$7)*($E$2:$E$501&gt;=$H87)*($E$2:$E$501&lt;$H86)," ")))</f>
        <v xml:space="preserve"> </v>
      </c>
      <c r="AH86" t="str" cm="1">
        <f t="array" ref="AH86">_xlfn.TEXTJOIN(",",TRUE,(_xlfn._xlws.FILTER($A$2:$A$501,($D$2:$D$501&gt;=AI$7)*($D$2:$D$501&lt;AH$7)*($E$2:$E$501&gt;=$H87)*($E$2:$E$501&lt;$H86)," ")))</f>
        <v xml:space="preserve"> </v>
      </c>
      <c r="AI86" t="str" cm="1">
        <f t="array" ref="AI86">_xlfn.TEXTJOIN(",",TRUE,(_xlfn._xlws.FILTER($A$2:$A$501,($D$2:$D$501&gt;=AJ$7)*($D$2:$D$501&lt;AI$7)*($E$2:$E$501&gt;=$H87)*($E$2:$E$501&lt;$H86)," ")))</f>
        <v xml:space="preserve"> </v>
      </c>
      <c r="AJ86" t="str" cm="1">
        <f t="array" ref="AJ86">_xlfn.TEXTJOIN(",",TRUE,(_xlfn._xlws.FILTER($A$2:$A$501,($D$2:$D$501&gt;=AK$7)*($D$2:$D$501&lt;AJ$7)*($E$2:$E$501&gt;=$H87)*($E$2:$E$501&lt;$H86)," ")))</f>
        <v xml:space="preserve"> </v>
      </c>
      <c r="AK86" t="str" cm="1">
        <f t="array" ref="AK86">_xlfn.TEXTJOIN(",",TRUE,(_xlfn._xlws.FILTER($A$2:$A$501,($D$2:$D$501&gt;=AL$7)*($D$2:$D$501&lt;AK$7)*($E$2:$E$501&gt;=$H87)*($E$2:$E$501&lt;$H86)," ")))</f>
        <v xml:space="preserve"> </v>
      </c>
      <c r="AL86" t="str" cm="1">
        <f t="array" ref="AL86">_xlfn.TEXTJOIN(",",TRUE,(_xlfn._xlws.FILTER($A$2:$A$501,($D$2:$D$501&gt;=AM$7)*($D$2:$D$501&lt;AL$7)*($E$2:$E$501&gt;=$H87)*($E$2:$E$501&lt;$H86)," ")))</f>
        <v xml:space="preserve"> </v>
      </c>
      <c r="AM86" t="str" cm="1">
        <f t="array" ref="AM86">_xlfn.TEXTJOIN(",",TRUE,(_xlfn._xlws.FILTER($A$2:$A$501,($D$2:$D$501&gt;=AN$7)*($D$2:$D$501&lt;AM$7)*($E$2:$E$501&gt;=$H87)*($E$2:$E$501&lt;$H86)," ")))</f>
        <v xml:space="preserve"> </v>
      </c>
      <c r="AN86" t="str" cm="1">
        <f t="array" ref="AN86">_xlfn.TEXTJOIN(",",TRUE,(_xlfn._xlws.FILTER($A$2:$A$501,($D$2:$D$501&gt;=AO$7)*($D$2:$D$501&lt;AN$7)*($E$2:$E$501&gt;=$H87)*($E$2:$E$501&lt;$H86)," ")))</f>
        <v xml:space="preserve"> </v>
      </c>
      <c r="AO86" t="str" cm="1">
        <f t="array" ref="AO86">_xlfn.TEXTJOIN(",",TRUE,(_xlfn._xlws.FILTER($A$2:$A$501,($D$2:$D$501&gt;=AP$7)*($D$2:$D$501&lt;AO$7)*($E$2:$E$501&gt;=$H87)*($E$2:$E$501&lt;$H86)," ")))</f>
        <v xml:space="preserve"> </v>
      </c>
      <c r="AP86" t="str" cm="1">
        <f t="array" ref="AP86">_xlfn.TEXTJOIN(",",TRUE,(_xlfn._xlws.FILTER($A$2:$A$501,($D$2:$D$501&gt;=AQ$7)*($D$2:$D$501&lt;AP$7)*($E$2:$E$501&gt;=$H87)*($E$2:$E$501&lt;$H86)," ")))</f>
        <v xml:space="preserve"> </v>
      </c>
      <c r="AQ86" t="str" cm="1">
        <f t="array" ref="AQ86">_xlfn.TEXTJOIN(",",TRUE,(_xlfn._xlws.FILTER($A$2:$A$501,($D$2:$D$501&gt;=AR$7)*($D$2:$D$501&lt;AQ$7)*($E$2:$E$501&gt;=$H87)*($E$2:$E$501&lt;$H86)," ")))</f>
        <v xml:space="preserve"> </v>
      </c>
      <c r="AR86" t="str" cm="1">
        <f t="array" ref="AR86">_xlfn.TEXTJOIN(",",TRUE,(_xlfn._xlws.FILTER($A$2:$A$501,($D$2:$D$501&gt;=AS$7)*($D$2:$D$501&lt;AR$7)*($E$2:$E$501&gt;=$H87)*($E$2:$E$501&lt;$H86)," ")))</f>
        <v xml:space="preserve"> </v>
      </c>
      <c r="AS86" t="str" cm="1">
        <f t="array" ref="AS86">_xlfn.TEXTJOIN(",",TRUE,(_xlfn._xlws.FILTER($A$2:$A$501,($D$2:$D$501&gt;=AT$7)*($D$2:$D$501&lt;AS$7)*($E$2:$E$501&gt;=$H87)*($E$2:$E$501&lt;$H86)," ")))</f>
        <v xml:space="preserve"> </v>
      </c>
      <c r="AT86" t="str" cm="1">
        <f t="array" ref="AT86">_xlfn.TEXTJOIN(",",TRUE,(_xlfn._xlws.FILTER($A$2:$A$501,($D$2:$D$501&gt;=AU$7)*($D$2:$D$501&lt;AT$7)*($E$2:$E$501&gt;=$H87)*($E$2:$E$501&lt;$H86)," ")))</f>
        <v xml:space="preserve"> </v>
      </c>
      <c r="AU86" t="str" cm="1">
        <f t="array" ref="AU86">_xlfn.TEXTJOIN(",",TRUE,(_xlfn._xlws.FILTER($A$2:$A$501,($D$2:$D$501&gt;=AV$7)*($D$2:$D$501&lt;AU$7)*($E$2:$E$501&gt;=$H87)*($E$2:$E$501&lt;$H86)," ")))</f>
        <v xml:space="preserve"> </v>
      </c>
      <c r="AV86" t="str" cm="1">
        <f t="array" ref="AV86">_xlfn.TEXTJOIN(",",TRUE,(_xlfn._xlws.FILTER($A$2:$A$501,($D$2:$D$501&gt;=AW$7)*($D$2:$D$501&lt;AV$7)*($E$2:$E$501&gt;=$H87)*($E$2:$E$501&lt;$H86)," ")))</f>
        <v xml:space="preserve"> </v>
      </c>
      <c r="AW86" t="str" cm="1">
        <f t="array" ref="AW86">_xlfn.TEXTJOIN(",",TRUE,(_xlfn._xlws.FILTER($A$2:$A$501,($D$2:$D$501&gt;=AX$7)*($D$2:$D$501&lt;AW$7)*($E$2:$E$501&gt;=$H87)*($E$2:$E$501&lt;$H86)," ")))</f>
        <v xml:space="preserve"> </v>
      </c>
      <c r="AX86" t="str" cm="1">
        <f t="array" ref="AX86">_xlfn.TEXTJOIN(",",TRUE,(_xlfn._xlws.FILTER($A$2:$A$501,($D$2:$D$501&gt;=AY$7)*($D$2:$D$501&lt;AX$7)*($E$2:$E$501&gt;=$H87)*($E$2:$E$501&lt;$H86)," ")))</f>
        <v xml:space="preserve"> </v>
      </c>
      <c r="AY86" t="str" cm="1">
        <f t="array" ref="AY86">_xlfn.TEXTJOIN(",",TRUE,(_xlfn._xlws.FILTER($A$2:$A$501,($D$2:$D$501&gt;=AZ$7)*($D$2:$D$501&lt;AY$7)*($E$2:$E$501&gt;=$H87)*($E$2:$E$501&lt;$H86)," ")))</f>
        <v xml:space="preserve"> </v>
      </c>
      <c r="AZ86" t="str" cm="1">
        <f t="array" ref="AZ86">_xlfn.TEXTJOIN(",",TRUE,(_xlfn._xlws.FILTER($A$2:$A$501,($D$2:$D$501&gt;=BA$7)*($D$2:$D$501&lt;AZ$7)*($E$2:$E$501&gt;=$H87)*($E$2:$E$501&lt;$H86)," ")))</f>
        <v xml:space="preserve"> </v>
      </c>
      <c r="BA86" t="str" cm="1">
        <f t="array" ref="BA86">_xlfn.TEXTJOIN(",",TRUE,(_xlfn._xlws.FILTER($A$2:$A$501,($D$2:$D$501&gt;=BB$7)*($D$2:$D$501&lt;BA$7)*($E$2:$E$501&gt;=$H87)*($E$2:$E$501&lt;$H86)," ")))</f>
        <v xml:space="preserve"> </v>
      </c>
      <c r="BB86" t="str" cm="1">
        <f t="array" ref="BB86">_xlfn.TEXTJOIN(",",TRUE,(_xlfn._xlws.FILTER($A$2:$A$501,($D$2:$D$501&gt;=BC$7)*($D$2:$D$501&lt;BB$7)*($E$2:$E$501&gt;=$H87)*($E$2:$E$501&lt;$H86)," ")))</f>
        <v xml:space="preserve"> </v>
      </c>
    </row>
    <row r="87" spans="1:54" x14ac:dyDescent="0.2">
      <c r="A87" s="3" t="s">
        <v>419</v>
      </c>
      <c r="B87" s="3" t="s">
        <v>406</v>
      </c>
      <c r="C87" s="13">
        <v>3603292.04</v>
      </c>
      <c r="D87" s="15">
        <v>80010368.719999999</v>
      </c>
      <c r="E87" s="22">
        <f>TuitionRates3[[#This Row],[Tuition]]/D87</f>
        <v>4.5035313518050242E-2</v>
      </c>
      <c r="F87"/>
      <c r="H87" s="18">
        <v>7.0999999999999897E-2</v>
      </c>
      <c r="I87" t="str" cm="1">
        <f t="array" ref="I87">_xlfn.TEXTJOIN(",",TRUE,(_xlfn._xlws.FILTER($A$2:$A$501,($D$2:$D$501&gt;=J$7)*($D$2:$D$501&lt;I$7)*($E$2:$E$501&gt;=$H88)*($E$2:$E$501&lt;$H87)," ")))</f>
        <v xml:space="preserve"> </v>
      </c>
      <c r="J87" t="str" cm="1">
        <f t="array" ref="J87">_xlfn.TEXTJOIN(",",TRUE,(_xlfn._xlws.FILTER($A$2:$A$501,($D$2:$D$501&gt;=K$7)*($D$2:$D$501&lt;J$7)*($E$2:$E$501&gt;=$H88)*($E$2:$E$501&lt;$H87)," ")))</f>
        <v xml:space="preserve"> </v>
      </c>
      <c r="K87" t="str" cm="1">
        <f t="array" ref="K87">_xlfn.TEXTJOIN(",",TRUE,(_xlfn._xlws.FILTER($A$2:$A$501,($D$2:$D$501&gt;=L$7)*($D$2:$D$501&lt;K$7)*($E$2:$E$501&gt;=$H88)*($E$2:$E$501&lt;$H87)," ")))</f>
        <v xml:space="preserve"> </v>
      </c>
      <c r="L87" t="str" cm="1">
        <f t="array" ref="L87">_xlfn.TEXTJOIN(",",TRUE,(_xlfn._xlws.FILTER($A$2:$A$501,($D$2:$D$501&gt;=M$7)*($D$2:$D$501&lt;L$7)*($E$2:$E$501&gt;=$H88)*($E$2:$E$501&lt;$H87)," ")))</f>
        <v xml:space="preserve"> </v>
      </c>
      <c r="M87" t="str" cm="1">
        <f t="array" ref="M87">_xlfn.TEXTJOIN(",",TRUE,(_xlfn._xlws.FILTER($A$2:$A$501,($D$2:$D$501&gt;=N$7)*($D$2:$D$501&lt;M$7)*($E$2:$E$501&gt;=$H88)*($E$2:$E$501&lt;$H87)," ")))</f>
        <v xml:space="preserve"> </v>
      </c>
      <c r="N87" t="str" cm="1">
        <f t="array" ref="N87">_xlfn.TEXTJOIN(",",TRUE,(_xlfn._xlws.FILTER($A$2:$A$501,($D$2:$D$501&gt;=O$7)*($D$2:$D$501&lt;N$7)*($E$2:$E$501&gt;=$H88)*($E$2:$E$501&lt;$H87)," ")))</f>
        <v xml:space="preserve"> </v>
      </c>
      <c r="O87" t="str" cm="1">
        <f t="array" ref="O87">_xlfn.TEXTJOIN(",",TRUE,(_xlfn._xlws.FILTER($A$2:$A$501,($D$2:$D$501&gt;=P$7)*($D$2:$D$501&lt;O$7)*($E$2:$E$501&gt;=$H88)*($E$2:$E$501&lt;$H87)," ")))</f>
        <v xml:space="preserve"> </v>
      </c>
      <c r="P87" t="str" cm="1">
        <f t="array" ref="P87">_xlfn.TEXTJOIN(",",TRUE,(_xlfn._xlws.FILTER($A$2:$A$501,($D$2:$D$501&gt;=Q$7)*($D$2:$D$501&lt;P$7)*($E$2:$E$501&gt;=$H88)*($E$2:$E$501&lt;$H87)," ")))</f>
        <v xml:space="preserve"> </v>
      </c>
      <c r="Q87" t="str" cm="1">
        <f t="array" ref="Q87">_xlfn.TEXTJOIN(",",TRUE,(_xlfn._xlws.FILTER($A$2:$A$501,($D$2:$D$501&gt;=R$7)*($D$2:$D$501&lt;Q$7)*($E$2:$E$501&gt;=$H88)*($E$2:$E$501&lt;$H87)," ")))</f>
        <v xml:space="preserve"> </v>
      </c>
      <c r="R87" t="str" cm="1">
        <f t="array" ref="R87">_xlfn.TEXTJOIN(",",TRUE,(_xlfn._xlws.FILTER($A$2:$A$501,($D$2:$D$501&gt;=S$7)*($D$2:$D$501&lt;R$7)*($E$2:$E$501&gt;=$H88)*($E$2:$E$501&lt;$H87)," ")))</f>
        <v xml:space="preserve"> </v>
      </c>
      <c r="S87" t="str" cm="1">
        <f t="array" ref="S87">_xlfn.TEXTJOIN(",",TRUE,(_xlfn._xlws.FILTER($A$2:$A$501,($D$2:$D$501&gt;=T$7)*($D$2:$D$501&lt;S$7)*($E$2:$E$501&gt;=$H88)*($E$2:$E$501&lt;$H87)," ")))</f>
        <v xml:space="preserve"> </v>
      </c>
      <c r="T87" t="str" cm="1">
        <f t="array" ref="T87">_xlfn.TEXTJOIN(",",TRUE,(_xlfn._xlws.FILTER($A$2:$A$501,($D$2:$D$501&gt;=U$7)*($D$2:$D$501&lt;T$7)*($E$2:$E$501&gt;=$H88)*($E$2:$E$501&lt;$H87)," ")))</f>
        <v xml:space="preserve"> </v>
      </c>
      <c r="U87" t="str" cm="1">
        <f t="array" ref="U87">_xlfn.TEXTJOIN(",",TRUE,(_xlfn._xlws.FILTER($A$2:$A$501,($D$2:$D$501&gt;=V$7)*($D$2:$D$501&lt;U$7)*($E$2:$E$501&gt;=$H88)*($E$2:$E$501&lt;$H87)," ")))</f>
        <v xml:space="preserve"> </v>
      </c>
      <c r="V87" t="str" cm="1">
        <f t="array" ref="V87">_xlfn.TEXTJOIN(",",TRUE,(_xlfn._xlws.FILTER($A$2:$A$501,($D$2:$D$501&gt;=W$7)*($D$2:$D$501&lt;V$7)*($E$2:$E$501&gt;=$H88)*($E$2:$E$501&lt;$H87)," ")))</f>
        <v xml:space="preserve"> </v>
      </c>
      <c r="W87" t="str" cm="1">
        <f t="array" ref="W87">_xlfn.TEXTJOIN(",",TRUE,(_xlfn._xlws.FILTER($A$2:$A$501,($D$2:$D$501&gt;=X$7)*($D$2:$D$501&lt;W$7)*($E$2:$E$501&gt;=$H88)*($E$2:$E$501&lt;$H87)," ")))</f>
        <v xml:space="preserve"> </v>
      </c>
      <c r="X87" t="str" cm="1">
        <f t="array" ref="X87">_xlfn.TEXTJOIN(",",TRUE,(_xlfn._xlws.FILTER($A$2:$A$501,($D$2:$D$501&gt;=Y$7)*($D$2:$D$501&lt;X$7)*($E$2:$E$501&gt;=$H88)*($E$2:$E$501&lt;$H87)," ")))</f>
        <v xml:space="preserve"> </v>
      </c>
      <c r="Y87" t="str" cm="1">
        <f t="array" ref="Y87">_xlfn.TEXTJOIN(",",TRUE,(_xlfn._xlws.FILTER($A$2:$A$501,($D$2:$D$501&gt;=Z$7)*($D$2:$D$501&lt;Y$7)*($E$2:$E$501&gt;=$H88)*($E$2:$E$501&lt;$H87)," ")))</f>
        <v xml:space="preserve"> </v>
      </c>
      <c r="Z87" t="str" cm="1">
        <f t="array" ref="Z87">_xlfn.TEXTJOIN(",",TRUE,(_xlfn._xlws.FILTER($A$2:$A$501,($D$2:$D$501&gt;=AA$7)*($D$2:$D$501&lt;Z$7)*($E$2:$E$501&gt;=$H88)*($E$2:$E$501&lt;$H87)," ")))</f>
        <v xml:space="preserve"> </v>
      </c>
      <c r="AA87" t="str" cm="1">
        <f t="array" ref="AA87">_xlfn.TEXTJOIN(",",TRUE,(_xlfn._xlws.FILTER($A$2:$A$501,($D$2:$D$501&gt;=AB$7)*($D$2:$D$501&lt;AA$7)*($E$2:$E$501&gt;=$H88)*($E$2:$E$501&lt;$H87)," ")))</f>
        <v xml:space="preserve"> </v>
      </c>
      <c r="AB87" t="str" cm="1">
        <f t="array" ref="AB87">_xlfn.TEXTJOIN(",",TRUE,(_xlfn._xlws.FILTER($A$2:$A$501,($D$2:$D$501&gt;=AC$7)*($D$2:$D$501&lt;AB$7)*($E$2:$E$501&gt;=$H88)*($E$2:$E$501&lt;$H87)," ")))</f>
        <v>Susquenita SD</v>
      </c>
      <c r="AC87" t="str" cm="1">
        <f t="array" ref="AC87">_xlfn.TEXTJOIN(",",TRUE,(_xlfn._xlws.FILTER($A$2:$A$501,($D$2:$D$501&gt;=AD$7)*($D$2:$D$501&lt;AC$7)*($E$2:$E$501&gt;=$H88)*($E$2:$E$501&lt;$H87)," ")))</f>
        <v xml:space="preserve"> </v>
      </c>
      <c r="AD87" t="str" cm="1">
        <f t="array" ref="AD87">_xlfn.TEXTJOIN(",",TRUE,(_xlfn._xlws.FILTER($A$2:$A$501,($D$2:$D$501&gt;=AE$7)*($D$2:$D$501&lt;AD$7)*($E$2:$E$501&gt;=$H88)*($E$2:$E$501&lt;$H87)," ")))</f>
        <v xml:space="preserve"> </v>
      </c>
      <c r="AE87" t="str" cm="1">
        <f t="array" ref="AE87">_xlfn.TEXTJOIN(",",TRUE,(_xlfn._xlws.FILTER($A$2:$A$501,($D$2:$D$501&gt;=AF$7)*($D$2:$D$501&lt;AE$7)*($E$2:$E$501&gt;=$H88)*($E$2:$E$501&lt;$H87)," ")))</f>
        <v xml:space="preserve"> </v>
      </c>
      <c r="AF87" t="str" cm="1">
        <f t="array" ref="AF87">_xlfn.TEXTJOIN(",",TRUE,(_xlfn._xlws.FILTER($A$2:$A$501,($D$2:$D$501&gt;=AG$7)*($D$2:$D$501&lt;AF$7)*($E$2:$E$501&gt;=$H88)*($E$2:$E$501&lt;$H87)," ")))</f>
        <v xml:space="preserve"> </v>
      </c>
      <c r="AG87" t="str" cm="1">
        <f t="array" ref="AG87">_xlfn.TEXTJOIN(",",TRUE,(_xlfn._xlws.FILTER($A$2:$A$501,($D$2:$D$501&gt;=AH$7)*($D$2:$D$501&lt;AG$7)*($E$2:$E$501&gt;=$H88)*($E$2:$E$501&lt;$H87)," ")))</f>
        <v xml:space="preserve"> </v>
      </c>
      <c r="AH87" t="str" cm="1">
        <f t="array" ref="AH87">_xlfn.TEXTJOIN(",",TRUE,(_xlfn._xlws.FILTER($A$2:$A$501,($D$2:$D$501&gt;=AI$7)*($D$2:$D$501&lt;AH$7)*($E$2:$E$501&gt;=$H88)*($E$2:$E$501&lt;$H87)," ")))</f>
        <v xml:space="preserve"> </v>
      </c>
      <c r="AI87" t="str" cm="1">
        <f t="array" ref="AI87">_xlfn.TEXTJOIN(",",TRUE,(_xlfn._xlws.FILTER($A$2:$A$501,($D$2:$D$501&gt;=AJ$7)*($D$2:$D$501&lt;AI$7)*($E$2:$E$501&gt;=$H88)*($E$2:$E$501&lt;$H87)," ")))</f>
        <v xml:space="preserve"> </v>
      </c>
      <c r="AJ87" t="str" cm="1">
        <f t="array" ref="AJ87">_xlfn.TEXTJOIN(",",TRUE,(_xlfn._xlws.FILTER($A$2:$A$501,($D$2:$D$501&gt;=AK$7)*($D$2:$D$501&lt;AJ$7)*($E$2:$E$501&gt;=$H88)*($E$2:$E$501&lt;$H87)," ")))</f>
        <v xml:space="preserve"> </v>
      </c>
      <c r="AK87" t="str" cm="1">
        <f t="array" ref="AK87">_xlfn.TEXTJOIN(",",TRUE,(_xlfn._xlws.FILTER($A$2:$A$501,($D$2:$D$501&gt;=AL$7)*($D$2:$D$501&lt;AK$7)*($E$2:$E$501&gt;=$H88)*($E$2:$E$501&lt;$H87)," ")))</f>
        <v xml:space="preserve"> </v>
      </c>
      <c r="AL87" t="str" cm="1">
        <f t="array" ref="AL87">_xlfn.TEXTJOIN(",",TRUE,(_xlfn._xlws.FILTER($A$2:$A$501,($D$2:$D$501&gt;=AM$7)*($D$2:$D$501&lt;AL$7)*($E$2:$E$501&gt;=$H88)*($E$2:$E$501&lt;$H87)," ")))</f>
        <v xml:space="preserve"> </v>
      </c>
      <c r="AM87" t="str" cm="1">
        <f t="array" ref="AM87">_xlfn.TEXTJOIN(",",TRUE,(_xlfn._xlws.FILTER($A$2:$A$501,($D$2:$D$501&gt;=AN$7)*($D$2:$D$501&lt;AM$7)*($E$2:$E$501&gt;=$H88)*($E$2:$E$501&lt;$H87)," ")))</f>
        <v xml:space="preserve"> </v>
      </c>
      <c r="AN87" t="str" cm="1">
        <f t="array" ref="AN87">_xlfn.TEXTJOIN(",",TRUE,(_xlfn._xlws.FILTER($A$2:$A$501,($D$2:$D$501&gt;=AO$7)*($D$2:$D$501&lt;AN$7)*($E$2:$E$501&gt;=$H88)*($E$2:$E$501&lt;$H87)," ")))</f>
        <v xml:space="preserve"> </v>
      </c>
      <c r="AO87" t="str" cm="1">
        <f t="array" ref="AO87">_xlfn.TEXTJOIN(",",TRUE,(_xlfn._xlws.FILTER($A$2:$A$501,($D$2:$D$501&gt;=AP$7)*($D$2:$D$501&lt;AO$7)*($E$2:$E$501&gt;=$H88)*($E$2:$E$501&lt;$H87)," ")))</f>
        <v xml:space="preserve"> </v>
      </c>
      <c r="AP87" t="str" cm="1">
        <f t="array" ref="AP87">_xlfn.TEXTJOIN(",",TRUE,(_xlfn._xlws.FILTER($A$2:$A$501,($D$2:$D$501&gt;=AQ$7)*($D$2:$D$501&lt;AP$7)*($E$2:$E$501&gt;=$H88)*($E$2:$E$501&lt;$H87)," ")))</f>
        <v xml:space="preserve"> </v>
      </c>
      <c r="AQ87" t="str" cm="1">
        <f t="array" ref="AQ87">_xlfn.TEXTJOIN(",",TRUE,(_xlfn._xlws.FILTER($A$2:$A$501,($D$2:$D$501&gt;=AR$7)*($D$2:$D$501&lt;AQ$7)*($E$2:$E$501&gt;=$H88)*($E$2:$E$501&lt;$H87)," ")))</f>
        <v xml:space="preserve"> </v>
      </c>
      <c r="AR87" t="str" cm="1">
        <f t="array" ref="AR87">_xlfn.TEXTJOIN(",",TRUE,(_xlfn._xlws.FILTER($A$2:$A$501,($D$2:$D$501&gt;=AS$7)*($D$2:$D$501&lt;AR$7)*($E$2:$E$501&gt;=$H88)*($E$2:$E$501&lt;$H87)," ")))</f>
        <v xml:space="preserve"> </v>
      </c>
      <c r="AS87" t="str" cm="1">
        <f t="array" ref="AS87">_xlfn.TEXTJOIN(",",TRUE,(_xlfn._xlws.FILTER($A$2:$A$501,($D$2:$D$501&gt;=AT$7)*($D$2:$D$501&lt;AS$7)*($E$2:$E$501&gt;=$H88)*($E$2:$E$501&lt;$H87)," ")))</f>
        <v xml:space="preserve"> </v>
      </c>
      <c r="AT87" t="str" cm="1">
        <f t="array" ref="AT87">_xlfn.TEXTJOIN(",",TRUE,(_xlfn._xlws.FILTER($A$2:$A$501,($D$2:$D$501&gt;=AU$7)*($D$2:$D$501&lt;AT$7)*($E$2:$E$501&gt;=$H88)*($E$2:$E$501&lt;$H87)," ")))</f>
        <v xml:space="preserve"> </v>
      </c>
      <c r="AU87" t="str" cm="1">
        <f t="array" ref="AU87">_xlfn.TEXTJOIN(",",TRUE,(_xlfn._xlws.FILTER($A$2:$A$501,($D$2:$D$501&gt;=AV$7)*($D$2:$D$501&lt;AU$7)*($E$2:$E$501&gt;=$H88)*($E$2:$E$501&lt;$H87)," ")))</f>
        <v xml:space="preserve"> </v>
      </c>
      <c r="AV87" t="str" cm="1">
        <f t="array" ref="AV87">_xlfn.TEXTJOIN(",",TRUE,(_xlfn._xlws.FILTER($A$2:$A$501,($D$2:$D$501&gt;=AW$7)*($D$2:$D$501&lt;AV$7)*($E$2:$E$501&gt;=$H88)*($E$2:$E$501&lt;$H87)," ")))</f>
        <v xml:space="preserve"> </v>
      </c>
      <c r="AW87" t="str" cm="1">
        <f t="array" ref="AW87">_xlfn.TEXTJOIN(",",TRUE,(_xlfn._xlws.FILTER($A$2:$A$501,($D$2:$D$501&gt;=AX$7)*($D$2:$D$501&lt;AW$7)*($E$2:$E$501&gt;=$H88)*($E$2:$E$501&lt;$H87)," ")))</f>
        <v xml:space="preserve"> </v>
      </c>
      <c r="AX87" t="str" cm="1">
        <f t="array" ref="AX87">_xlfn.TEXTJOIN(",",TRUE,(_xlfn._xlws.FILTER($A$2:$A$501,($D$2:$D$501&gt;=AY$7)*($D$2:$D$501&lt;AX$7)*($E$2:$E$501&gt;=$H88)*($E$2:$E$501&lt;$H87)," ")))</f>
        <v xml:space="preserve"> </v>
      </c>
      <c r="AY87" t="str" cm="1">
        <f t="array" ref="AY87">_xlfn.TEXTJOIN(",",TRUE,(_xlfn._xlws.FILTER($A$2:$A$501,($D$2:$D$501&gt;=AZ$7)*($D$2:$D$501&lt;AY$7)*($E$2:$E$501&gt;=$H88)*($E$2:$E$501&lt;$H87)," ")))</f>
        <v xml:space="preserve"> </v>
      </c>
      <c r="AZ87" t="str" cm="1">
        <f t="array" ref="AZ87">_xlfn.TEXTJOIN(",",TRUE,(_xlfn._xlws.FILTER($A$2:$A$501,($D$2:$D$501&gt;=BA$7)*($D$2:$D$501&lt;AZ$7)*($E$2:$E$501&gt;=$H88)*($E$2:$E$501&lt;$H87)," ")))</f>
        <v xml:space="preserve"> </v>
      </c>
      <c r="BA87" t="str" cm="1">
        <f t="array" ref="BA87">_xlfn.TEXTJOIN(",",TRUE,(_xlfn._xlws.FILTER($A$2:$A$501,($D$2:$D$501&gt;=BB$7)*($D$2:$D$501&lt;BA$7)*($E$2:$E$501&gt;=$H88)*($E$2:$E$501&lt;$H87)," ")))</f>
        <v xml:space="preserve"> </v>
      </c>
      <c r="BB87" t="str" cm="1">
        <f t="array" ref="BB87">_xlfn.TEXTJOIN(",",TRUE,(_xlfn._xlws.FILTER($A$2:$A$501,($D$2:$D$501&gt;=BC$7)*($D$2:$D$501&lt;BB$7)*($E$2:$E$501&gt;=$H88)*($E$2:$E$501&lt;$H87)," ")))</f>
        <v xml:space="preserve"> </v>
      </c>
    </row>
    <row r="88" spans="1:54" x14ac:dyDescent="0.2">
      <c r="A88" s="3" t="s">
        <v>221</v>
      </c>
      <c r="B88" s="3" t="s">
        <v>216</v>
      </c>
      <c r="C88" s="13">
        <v>2587060.59</v>
      </c>
      <c r="D88" s="15">
        <v>57459532.299999997</v>
      </c>
      <c r="E88" s="22">
        <f>TuitionRates3[[#This Row],[Tuition]]/D88</f>
        <v>4.5024045383676055E-2</v>
      </c>
      <c r="F88"/>
      <c r="H88" s="18">
        <v>6.9999999999999896E-2</v>
      </c>
      <c r="I88" t="str" cm="1">
        <f t="array" ref="I88">_xlfn.TEXTJOIN(",",TRUE,(_xlfn._xlws.FILTER($A$2:$A$501,($D$2:$D$501&gt;=J$7)*($D$2:$D$501&lt;I$7)*($E$2:$E$501&gt;=$H89)*($E$2:$E$501&lt;$H88)," ")))</f>
        <v xml:space="preserve"> </v>
      </c>
      <c r="J88" t="str" cm="1">
        <f t="array" ref="J88">_xlfn.TEXTJOIN(",",TRUE,(_xlfn._xlws.FILTER($A$2:$A$501,($D$2:$D$501&gt;=K$7)*($D$2:$D$501&lt;J$7)*($E$2:$E$501&gt;=$H89)*($E$2:$E$501&lt;$H88)," ")))</f>
        <v xml:space="preserve"> </v>
      </c>
      <c r="K88" t="str" cm="1">
        <f t="array" ref="K88">_xlfn.TEXTJOIN(",",TRUE,(_xlfn._xlws.FILTER($A$2:$A$501,($D$2:$D$501&gt;=L$7)*($D$2:$D$501&lt;K$7)*($E$2:$E$501&gt;=$H89)*($E$2:$E$501&lt;$H88)," ")))</f>
        <v xml:space="preserve"> </v>
      </c>
      <c r="L88" t="str" cm="1">
        <f t="array" ref="L88">_xlfn.TEXTJOIN(",",TRUE,(_xlfn._xlws.FILTER($A$2:$A$501,($D$2:$D$501&gt;=M$7)*($D$2:$D$501&lt;L$7)*($E$2:$E$501&gt;=$H89)*($E$2:$E$501&lt;$H88)," ")))</f>
        <v xml:space="preserve"> </v>
      </c>
      <c r="M88" t="str" cm="1">
        <f t="array" ref="M88">_xlfn.TEXTJOIN(",",TRUE,(_xlfn._xlws.FILTER($A$2:$A$501,($D$2:$D$501&gt;=N$7)*($D$2:$D$501&lt;M$7)*($E$2:$E$501&gt;=$H89)*($E$2:$E$501&lt;$H88)," ")))</f>
        <v xml:space="preserve"> </v>
      </c>
      <c r="N88" t="str" cm="1">
        <f t="array" ref="N88">_xlfn.TEXTJOIN(",",TRUE,(_xlfn._xlws.FILTER($A$2:$A$501,($D$2:$D$501&gt;=O$7)*($D$2:$D$501&lt;N$7)*($E$2:$E$501&gt;=$H89)*($E$2:$E$501&lt;$H88)," ")))</f>
        <v xml:space="preserve"> </v>
      </c>
      <c r="O88" t="str" cm="1">
        <f t="array" ref="O88">_xlfn.TEXTJOIN(",",TRUE,(_xlfn._xlws.FILTER($A$2:$A$501,($D$2:$D$501&gt;=P$7)*($D$2:$D$501&lt;O$7)*($E$2:$E$501&gt;=$H89)*($E$2:$E$501&lt;$H88)," ")))</f>
        <v xml:space="preserve"> </v>
      </c>
      <c r="P88" t="str" cm="1">
        <f t="array" ref="P88">_xlfn.TEXTJOIN(",",TRUE,(_xlfn._xlws.FILTER($A$2:$A$501,($D$2:$D$501&gt;=Q$7)*($D$2:$D$501&lt;P$7)*($E$2:$E$501&gt;=$H89)*($E$2:$E$501&lt;$H88)," ")))</f>
        <v xml:space="preserve"> </v>
      </c>
      <c r="Q88" t="str" cm="1">
        <f t="array" ref="Q88">_xlfn.TEXTJOIN(",",TRUE,(_xlfn._xlws.FILTER($A$2:$A$501,($D$2:$D$501&gt;=R$7)*($D$2:$D$501&lt;Q$7)*($E$2:$E$501&gt;=$H89)*($E$2:$E$501&lt;$H88)," ")))</f>
        <v xml:space="preserve"> </v>
      </c>
      <c r="R88" t="str" cm="1">
        <f t="array" ref="R88">_xlfn.TEXTJOIN(",",TRUE,(_xlfn._xlws.FILTER($A$2:$A$501,($D$2:$D$501&gt;=S$7)*($D$2:$D$501&lt;R$7)*($E$2:$E$501&gt;=$H89)*($E$2:$E$501&lt;$H88)," ")))</f>
        <v xml:space="preserve"> </v>
      </c>
      <c r="S88" t="str" cm="1">
        <f t="array" ref="S88">_xlfn.TEXTJOIN(",",TRUE,(_xlfn._xlws.FILTER($A$2:$A$501,($D$2:$D$501&gt;=T$7)*($D$2:$D$501&lt;S$7)*($E$2:$E$501&gt;=$H89)*($E$2:$E$501&lt;$H88)," ")))</f>
        <v xml:space="preserve"> </v>
      </c>
      <c r="T88" t="str" cm="1">
        <f t="array" ref="T88">_xlfn.TEXTJOIN(",",TRUE,(_xlfn._xlws.FILTER($A$2:$A$501,($D$2:$D$501&gt;=U$7)*($D$2:$D$501&lt;T$7)*($E$2:$E$501&gt;=$H89)*($E$2:$E$501&lt;$H88)," ")))</f>
        <v xml:space="preserve"> </v>
      </c>
      <c r="U88" t="str" cm="1">
        <f t="array" ref="U88">_xlfn.TEXTJOIN(",",TRUE,(_xlfn._xlws.FILTER($A$2:$A$501,($D$2:$D$501&gt;=V$7)*($D$2:$D$501&lt;U$7)*($E$2:$E$501&gt;=$H89)*($E$2:$E$501&lt;$H88)," ")))</f>
        <v xml:space="preserve"> </v>
      </c>
      <c r="V88" t="str" cm="1">
        <f t="array" ref="V88">_xlfn.TEXTJOIN(",",TRUE,(_xlfn._xlws.FILTER($A$2:$A$501,($D$2:$D$501&gt;=W$7)*($D$2:$D$501&lt;V$7)*($E$2:$E$501&gt;=$H89)*($E$2:$E$501&lt;$H88)," ")))</f>
        <v xml:space="preserve"> </v>
      </c>
      <c r="W88" t="str" cm="1">
        <f t="array" ref="W88">_xlfn.TEXTJOIN(",",TRUE,(_xlfn._xlws.FILTER($A$2:$A$501,($D$2:$D$501&gt;=X$7)*($D$2:$D$501&lt;W$7)*($E$2:$E$501&gt;=$H89)*($E$2:$E$501&lt;$H88)," ")))</f>
        <v xml:space="preserve"> </v>
      </c>
      <c r="X88" t="str" cm="1">
        <f t="array" ref="X88">_xlfn.TEXTJOIN(",",TRUE,(_xlfn._xlws.FILTER($A$2:$A$501,($D$2:$D$501&gt;=Y$7)*($D$2:$D$501&lt;X$7)*($E$2:$E$501&gt;=$H89)*($E$2:$E$501&lt;$H88)," ")))</f>
        <v xml:space="preserve"> </v>
      </c>
      <c r="Y88" t="str" cm="1">
        <f t="array" ref="Y88">_xlfn.TEXTJOIN(",",TRUE,(_xlfn._xlws.FILTER($A$2:$A$501,($D$2:$D$501&gt;=Z$7)*($D$2:$D$501&lt;Y$7)*($E$2:$E$501&gt;=$H89)*($E$2:$E$501&lt;$H88)," ")))</f>
        <v xml:space="preserve"> </v>
      </c>
      <c r="Z88" t="str" cm="1">
        <f t="array" ref="Z88">_xlfn.TEXTJOIN(",",TRUE,(_xlfn._xlws.FILTER($A$2:$A$501,($D$2:$D$501&gt;=AA$7)*($D$2:$D$501&lt;Z$7)*($E$2:$E$501&gt;=$H89)*($E$2:$E$501&lt;$H88)," ")))</f>
        <v xml:space="preserve"> </v>
      </c>
      <c r="AA88" t="str" cm="1">
        <f t="array" ref="AA88">_xlfn.TEXTJOIN(",",TRUE,(_xlfn._xlws.FILTER($A$2:$A$501,($D$2:$D$501&gt;=AB$7)*($D$2:$D$501&lt;AA$7)*($E$2:$E$501&gt;=$H89)*($E$2:$E$501&lt;$H88)," ")))</f>
        <v>Shamokin Area SD</v>
      </c>
      <c r="AB88" t="str" cm="1">
        <f t="array" ref="AB88">_xlfn.TEXTJOIN(",",TRUE,(_xlfn._xlws.FILTER($A$2:$A$501,($D$2:$D$501&gt;=AC$7)*($D$2:$D$501&lt;AB$7)*($E$2:$E$501&gt;=$H89)*($E$2:$E$501&lt;$H88)," ")))</f>
        <v xml:space="preserve"> </v>
      </c>
      <c r="AC88" t="str" cm="1">
        <f t="array" ref="AC88">_xlfn.TEXTJOIN(",",TRUE,(_xlfn._xlws.FILTER($A$2:$A$501,($D$2:$D$501&gt;=AD$7)*($D$2:$D$501&lt;AC$7)*($E$2:$E$501&gt;=$H89)*($E$2:$E$501&lt;$H88)," ")))</f>
        <v xml:space="preserve"> </v>
      </c>
      <c r="AD88" t="str" cm="1">
        <f t="array" ref="AD88">_xlfn.TEXTJOIN(",",TRUE,(_xlfn._xlws.FILTER($A$2:$A$501,($D$2:$D$501&gt;=AE$7)*($D$2:$D$501&lt;AD$7)*($E$2:$E$501&gt;=$H89)*($E$2:$E$501&lt;$H88)," ")))</f>
        <v xml:space="preserve"> </v>
      </c>
      <c r="AE88" t="str" cm="1">
        <f t="array" ref="AE88">_xlfn.TEXTJOIN(",",TRUE,(_xlfn._xlws.FILTER($A$2:$A$501,($D$2:$D$501&gt;=AF$7)*($D$2:$D$501&lt;AE$7)*($E$2:$E$501&gt;=$H89)*($E$2:$E$501&lt;$H88)," ")))</f>
        <v xml:space="preserve"> </v>
      </c>
      <c r="AF88" t="str" cm="1">
        <f t="array" ref="AF88">_xlfn.TEXTJOIN(",",TRUE,(_xlfn._xlws.FILTER($A$2:$A$501,($D$2:$D$501&gt;=AG$7)*($D$2:$D$501&lt;AF$7)*($E$2:$E$501&gt;=$H89)*($E$2:$E$501&lt;$H88)," ")))</f>
        <v xml:space="preserve"> </v>
      </c>
      <c r="AG88" t="str" cm="1">
        <f t="array" ref="AG88">_xlfn.TEXTJOIN(",",TRUE,(_xlfn._xlws.FILTER($A$2:$A$501,($D$2:$D$501&gt;=AH$7)*($D$2:$D$501&lt;AG$7)*($E$2:$E$501&gt;=$H89)*($E$2:$E$501&lt;$H88)," ")))</f>
        <v>Midland Borough SD</v>
      </c>
      <c r="AH88" t="str" cm="1">
        <f t="array" ref="AH88">_xlfn.TEXTJOIN(",",TRUE,(_xlfn._xlws.FILTER($A$2:$A$501,($D$2:$D$501&gt;=AI$7)*($D$2:$D$501&lt;AH$7)*($E$2:$E$501&gt;=$H89)*($E$2:$E$501&lt;$H88)," ")))</f>
        <v xml:space="preserve"> </v>
      </c>
      <c r="AI88" t="str" cm="1">
        <f t="array" ref="AI88">_xlfn.TEXTJOIN(",",TRUE,(_xlfn._xlws.FILTER($A$2:$A$501,($D$2:$D$501&gt;=AJ$7)*($D$2:$D$501&lt;AI$7)*($E$2:$E$501&gt;=$H89)*($E$2:$E$501&lt;$H88)," ")))</f>
        <v xml:space="preserve"> </v>
      </c>
      <c r="AJ88" t="str" cm="1">
        <f t="array" ref="AJ88">_xlfn.TEXTJOIN(",",TRUE,(_xlfn._xlws.FILTER($A$2:$A$501,($D$2:$D$501&gt;=AK$7)*($D$2:$D$501&lt;AJ$7)*($E$2:$E$501&gt;=$H89)*($E$2:$E$501&lt;$H88)," ")))</f>
        <v xml:space="preserve"> </v>
      </c>
      <c r="AK88" t="str" cm="1">
        <f t="array" ref="AK88">_xlfn.TEXTJOIN(",",TRUE,(_xlfn._xlws.FILTER($A$2:$A$501,($D$2:$D$501&gt;=AL$7)*($D$2:$D$501&lt;AK$7)*($E$2:$E$501&gt;=$H89)*($E$2:$E$501&lt;$H88)," ")))</f>
        <v xml:space="preserve"> </v>
      </c>
      <c r="AL88" t="str" cm="1">
        <f t="array" ref="AL88">_xlfn.TEXTJOIN(",",TRUE,(_xlfn._xlws.FILTER($A$2:$A$501,($D$2:$D$501&gt;=AM$7)*($D$2:$D$501&lt;AL$7)*($E$2:$E$501&gt;=$H89)*($E$2:$E$501&lt;$H88)," ")))</f>
        <v xml:space="preserve"> </v>
      </c>
      <c r="AM88" t="str" cm="1">
        <f t="array" ref="AM88">_xlfn.TEXTJOIN(",",TRUE,(_xlfn._xlws.FILTER($A$2:$A$501,($D$2:$D$501&gt;=AN$7)*($D$2:$D$501&lt;AM$7)*($E$2:$E$501&gt;=$H89)*($E$2:$E$501&lt;$H88)," ")))</f>
        <v xml:space="preserve"> </v>
      </c>
      <c r="AN88" t="str" cm="1">
        <f t="array" ref="AN88">_xlfn.TEXTJOIN(",",TRUE,(_xlfn._xlws.FILTER($A$2:$A$501,($D$2:$D$501&gt;=AO$7)*($D$2:$D$501&lt;AN$7)*($E$2:$E$501&gt;=$H89)*($E$2:$E$501&lt;$H88)," ")))</f>
        <v xml:space="preserve"> </v>
      </c>
      <c r="AO88" t="str" cm="1">
        <f t="array" ref="AO88">_xlfn.TEXTJOIN(",",TRUE,(_xlfn._xlws.FILTER($A$2:$A$501,($D$2:$D$501&gt;=AP$7)*($D$2:$D$501&lt;AO$7)*($E$2:$E$501&gt;=$H89)*($E$2:$E$501&lt;$H88)," ")))</f>
        <v xml:space="preserve"> </v>
      </c>
      <c r="AP88" t="str" cm="1">
        <f t="array" ref="AP88">_xlfn.TEXTJOIN(",",TRUE,(_xlfn._xlws.FILTER($A$2:$A$501,($D$2:$D$501&gt;=AQ$7)*($D$2:$D$501&lt;AP$7)*($E$2:$E$501&gt;=$H89)*($E$2:$E$501&lt;$H88)," ")))</f>
        <v xml:space="preserve"> </v>
      </c>
      <c r="AQ88" t="str" cm="1">
        <f t="array" ref="AQ88">_xlfn.TEXTJOIN(",",TRUE,(_xlfn._xlws.FILTER($A$2:$A$501,($D$2:$D$501&gt;=AR$7)*($D$2:$D$501&lt;AQ$7)*($E$2:$E$501&gt;=$H89)*($E$2:$E$501&lt;$H88)," ")))</f>
        <v xml:space="preserve"> </v>
      </c>
      <c r="AR88" t="str" cm="1">
        <f t="array" ref="AR88">_xlfn.TEXTJOIN(",",TRUE,(_xlfn._xlws.FILTER($A$2:$A$501,($D$2:$D$501&gt;=AS$7)*($D$2:$D$501&lt;AR$7)*($E$2:$E$501&gt;=$H89)*($E$2:$E$501&lt;$H88)," ")))</f>
        <v xml:space="preserve"> </v>
      </c>
      <c r="AS88" t="str" cm="1">
        <f t="array" ref="AS88">_xlfn.TEXTJOIN(",",TRUE,(_xlfn._xlws.FILTER($A$2:$A$501,($D$2:$D$501&gt;=AT$7)*($D$2:$D$501&lt;AS$7)*($E$2:$E$501&gt;=$H89)*($E$2:$E$501&lt;$H88)," ")))</f>
        <v xml:space="preserve"> </v>
      </c>
      <c r="AT88" t="str" cm="1">
        <f t="array" ref="AT88">_xlfn.TEXTJOIN(",",TRUE,(_xlfn._xlws.FILTER($A$2:$A$501,($D$2:$D$501&gt;=AU$7)*($D$2:$D$501&lt;AT$7)*($E$2:$E$501&gt;=$H89)*($E$2:$E$501&lt;$H88)," ")))</f>
        <v xml:space="preserve"> </v>
      </c>
      <c r="AU88" t="str" cm="1">
        <f t="array" ref="AU88">_xlfn.TEXTJOIN(",",TRUE,(_xlfn._xlws.FILTER($A$2:$A$501,($D$2:$D$501&gt;=AV$7)*($D$2:$D$501&lt;AU$7)*($E$2:$E$501&gt;=$H89)*($E$2:$E$501&lt;$H88)," ")))</f>
        <v xml:space="preserve"> </v>
      </c>
      <c r="AV88" t="str" cm="1">
        <f t="array" ref="AV88">_xlfn.TEXTJOIN(",",TRUE,(_xlfn._xlws.FILTER($A$2:$A$501,($D$2:$D$501&gt;=AW$7)*($D$2:$D$501&lt;AV$7)*($E$2:$E$501&gt;=$H89)*($E$2:$E$501&lt;$H88)," ")))</f>
        <v xml:space="preserve"> </v>
      </c>
      <c r="AW88" t="str" cm="1">
        <f t="array" ref="AW88">_xlfn.TEXTJOIN(",",TRUE,(_xlfn._xlws.FILTER($A$2:$A$501,($D$2:$D$501&gt;=AX$7)*($D$2:$D$501&lt;AW$7)*($E$2:$E$501&gt;=$H89)*($E$2:$E$501&lt;$H88)," ")))</f>
        <v xml:space="preserve"> </v>
      </c>
      <c r="AX88" t="str" cm="1">
        <f t="array" ref="AX88">_xlfn.TEXTJOIN(",",TRUE,(_xlfn._xlws.FILTER($A$2:$A$501,($D$2:$D$501&gt;=AY$7)*($D$2:$D$501&lt;AX$7)*($E$2:$E$501&gt;=$H89)*($E$2:$E$501&lt;$H88)," ")))</f>
        <v xml:space="preserve"> </v>
      </c>
      <c r="AY88" t="str" cm="1">
        <f t="array" ref="AY88">_xlfn.TEXTJOIN(",",TRUE,(_xlfn._xlws.FILTER($A$2:$A$501,($D$2:$D$501&gt;=AZ$7)*($D$2:$D$501&lt;AY$7)*($E$2:$E$501&gt;=$H89)*($E$2:$E$501&lt;$H88)," ")))</f>
        <v xml:space="preserve"> </v>
      </c>
      <c r="AZ88" t="str" cm="1">
        <f t="array" ref="AZ88">_xlfn.TEXTJOIN(",",TRUE,(_xlfn._xlws.FILTER($A$2:$A$501,($D$2:$D$501&gt;=BA$7)*($D$2:$D$501&lt;AZ$7)*($E$2:$E$501&gt;=$H89)*($E$2:$E$501&lt;$H88)," ")))</f>
        <v xml:space="preserve"> </v>
      </c>
      <c r="BA88" t="str" cm="1">
        <f t="array" ref="BA88">_xlfn.TEXTJOIN(",",TRUE,(_xlfn._xlws.FILTER($A$2:$A$501,($D$2:$D$501&gt;=BB$7)*($D$2:$D$501&lt;BA$7)*($E$2:$E$501&gt;=$H89)*($E$2:$E$501&lt;$H88)," ")))</f>
        <v xml:space="preserve"> </v>
      </c>
      <c r="BB88" t="str" cm="1">
        <f t="array" ref="BB88">_xlfn.TEXTJOIN(",",TRUE,(_xlfn._xlws.FILTER($A$2:$A$501,($D$2:$D$501&gt;=BC$7)*($D$2:$D$501&lt;BB$7)*($E$2:$E$501&gt;=$H89)*($E$2:$E$501&lt;$H88)," ")))</f>
        <v xml:space="preserve"> </v>
      </c>
    </row>
    <row r="89" spans="1:54" x14ac:dyDescent="0.2">
      <c r="A89" s="3" t="s">
        <v>274</v>
      </c>
      <c r="B89" s="3" t="s">
        <v>270</v>
      </c>
      <c r="C89" s="13">
        <v>3376634.09</v>
      </c>
      <c r="D89" s="15">
        <v>75694294.849999994</v>
      </c>
      <c r="E89" s="22">
        <f>TuitionRates3[[#This Row],[Tuition]]/D89</f>
        <v>4.4608832101432808E-2</v>
      </c>
      <c r="F89"/>
      <c r="H89" s="18">
        <v>6.8999999999999895E-2</v>
      </c>
      <c r="I89" t="str" cm="1">
        <f t="array" ref="I89">_xlfn.TEXTJOIN(",",TRUE,(_xlfn._xlws.FILTER($A$2:$A$501,($D$2:$D$501&gt;=J$7)*($D$2:$D$501&lt;I$7)*($E$2:$E$501&gt;=$H90)*($E$2:$E$501&lt;$H89)," ")))</f>
        <v xml:space="preserve"> </v>
      </c>
      <c r="J89" t="str" cm="1">
        <f t="array" ref="J89">_xlfn.TEXTJOIN(",",TRUE,(_xlfn._xlws.FILTER($A$2:$A$501,($D$2:$D$501&gt;=K$7)*($D$2:$D$501&lt;J$7)*($E$2:$E$501&gt;=$H90)*($E$2:$E$501&lt;$H89)," ")))</f>
        <v xml:space="preserve"> </v>
      </c>
      <c r="K89" t="str" cm="1">
        <f t="array" ref="K89">_xlfn.TEXTJOIN(",",TRUE,(_xlfn._xlws.FILTER($A$2:$A$501,($D$2:$D$501&gt;=L$7)*($D$2:$D$501&lt;K$7)*($E$2:$E$501&gt;=$H90)*($E$2:$E$501&lt;$H89)," ")))</f>
        <v xml:space="preserve"> </v>
      </c>
      <c r="L89" t="str" cm="1">
        <f t="array" ref="L89">_xlfn.TEXTJOIN(",",TRUE,(_xlfn._xlws.FILTER($A$2:$A$501,($D$2:$D$501&gt;=M$7)*($D$2:$D$501&lt;L$7)*($E$2:$E$501&gt;=$H90)*($E$2:$E$501&lt;$H89)," ")))</f>
        <v xml:space="preserve"> </v>
      </c>
      <c r="M89" t="str" cm="1">
        <f t="array" ref="M89">_xlfn.TEXTJOIN(",",TRUE,(_xlfn._xlws.FILTER($A$2:$A$501,($D$2:$D$501&gt;=N$7)*($D$2:$D$501&lt;M$7)*($E$2:$E$501&gt;=$H90)*($E$2:$E$501&lt;$H89)," ")))</f>
        <v xml:space="preserve"> </v>
      </c>
      <c r="N89" t="str" cm="1">
        <f t="array" ref="N89">_xlfn.TEXTJOIN(",",TRUE,(_xlfn._xlws.FILTER($A$2:$A$501,($D$2:$D$501&gt;=O$7)*($D$2:$D$501&lt;N$7)*($E$2:$E$501&gt;=$H90)*($E$2:$E$501&lt;$H89)," ")))</f>
        <v xml:space="preserve"> </v>
      </c>
      <c r="O89" t="str" cm="1">
        <f t="array" ref="O89">_xlfn.TEXTJOIN(",",TRUE,(_xlfn._xlws.FILTER($A$2:$A$501,($D$2:$D$501&gt;=P$7)*($D$2:$D$501&lt;O$7)*($E$2:$E$501&gt;=$H90)*($E$2:$E$501&lt;$H89)," ")))</f>
        <v xml:space="preserve"> </v>
      </c>
      <c r="P89" t="str" cm="1">
        <f t="array" ref="P89">_xlfn.TEXTJOIN(",",TRUE,(_xlfn._xlws.FILTER($A$2:$A$501,($D$2:$D$501&gt;=Q$7)*($D$2:$D$501&lt;P$7)*($E$2:$E$501&gt;=$H90)*($E$2:$E$501&lt;$H89)," ")))</f>
        <v xml:space="preserve"> </v>
      </c>
      <c r="Q89" t="str" cm="1">
        <f t="array" ref="Q89">_xlfn.TEXTJOIN(",",TRUE,(_xlfn._xlws.FILTER($A$2:$A$501,($D$2:$D$501&gt;=R$7)*($D$2:$D$501&lt;Q$7)*($E$2:$E$501&gt;=$H90)*($E$2:$E$501&lt;$H89)," ")))</f>
        <v xml:space="preserve"> </v>
      </c>
      <c r="R89" t="str" cm="1">
        <f t="array" ref="R89">_xlfn.TEXTJOIN(",",TRUE,(_xlfn._xlws.FILTER($A$2:$A$501,($D$2:$D$501&gt;=S$7)*($D$2:$D$501&lt;R$7)*($E$2:$E$501&gt;=$H90)*($E$2:$E$501&lt;$H89)," ")))</f>
        <v xml:space="preserve"> </v>
      </c>
      <c r="S89" t="str" cm="1">
        <f t="array" ref="S89">_xlfn.TEXTJOIN(",",TRUE,(_xlfn._xlws.FILTER($A$2:$A$501,($D$2:$D$501&gt;=T$7)*($D$2:$D$501&lt;S$7)*($E$2:$E$501&gt;=$H90)*($E$2:$E$501&lt;$H89)," ")))</f>
        <v xml:space="preserve"> </v>
      </c>
      <c r="T89" t="str" cm="1">
        <f t="array" ref="T89">_xlfn.TEXTJOIN(",",TRUE,(_xlfn._xlws.FILTER($A$2:$A$501,($D$2:$D$501&gt;=U$7)*($D$2:$D$501&lt;T$7)*($E$2:$E$501&gt;=$H90)*($E$2:$E$501&lt;$H89)," ")))</f>
        <v xml:space="preserve"> </v>
      </c>
      <c r="U89" t="str" cm="1">
        <f t="array" ref="U89">_xlfn.TEXTJOIN(",",TRUE,(_xlfn._xlws.FILTER($A$2:$A$501,($D$2:$D$501&gt;=V$7)*($D$2:$D$501&lt;U$7)*($E$2:$E$501&gt;=$H90)*($E$2:$E$501&lt;$H89)," ")))</f>
        <v xml:space="preserve"> </v>
      </c>
      <c r="V89" t="str" cm="1">
        <f t="array" ref="V89">_xlfn.TEXTJOIN(",",TRUE,(_xlfn._xlws.FILTER($A$2:$A$501,($D$2:$D$501&gt;=W$7)*($D$2:$D$501&lt;V$7)*($E$2:$E$501&gt;=$H90)*($E$2:$E$501&lt;$H89)," ")))</f>
        <v xml:space="preserve"> </v>
      </c>
      <c r="W89" t="str" cm="1">
        <f t="array" ref="W89">_xlfn.TEXTJOIN(",",TRUE,(_xlfn._xlws.FILTER($A$2:$A$501,($D$2:$D$501&gt;=X$7)*($D$2:$D$501&lt;W$7)*($E$2:$E$501&gt;=$H90)*($E$2:$E$501&lt;$H89)," ")))</f>
        <v xml:space="preserve"> </v>
      </c>
      <c r="X89" t="str" cm="1">
        <f t="array" ref="X89">_xlfn.TEXTJOIN(",",TRUE,(_xlfn._xlws.FILTER($A$2:$A$501,($D$2:$D$501&gt;=Y$7)*($D$2:$D$501&lt;X$7)*($E$2:$E$501&gt;=$H90)*($E$2:$E$501&lt;$H89)," ")))</f>
        <v xml:space="preserve"> </v>
      </c>
      <c r="Y89" t="str" cm="1">
        <f t="array" ref="Y89">_xlfn.TEXTJOIN(",",TRUE,(_xlfn._xlws.FILTER($A$2:$A$501,($D$2:$D$501&gt;=Z$7)*($D$2:$D$501&lt;Y$7)*($E$2:$E$501&gt;=$H90)*($E$2:$E$501&lt;$H89)," ")))</f>
        <v xml:space="preserve"> </v>
      </c>
      <c r="Z89" t="str" cm="1">
        <f t="array" ref="Z89">_xlfn.TEXTJOIN(",",TRUE,(_xlfn._xlws.FILTER($A$2:$A$501,($D$2:$D$501&gt;=AA$7)*($D$2:$D$501&lt;Z$7)*($E$2:$E$501&gt;=$H90)*($E$2:$E$501&lt;$H89)," ")))</f>
        <v xml:space="preserve"> </v>
      </c>
      <c r="AA89" t="str" cm="1">
        <f t="array" ref="AA89">_xlfn.TEXTJOIN(",",TRUE,(_xlfn._xlws.FILTER($A$2:$A$501,($D$2:$D$501&gt;=AB$7)*($D$2:$D$501&lt;AA$7)*($E$2:$E$501&gt;=$H90)*($E$2:$E$501&lt;$H89)," ")))</f>
        <v xml:space="preserve"> </v>
      </c>
      <c r="AB89" t="str" cm="1">
        <f t="array" ref="AB89">_xlfn.TEXTJOIN(",",TRUE,(_xlfn._xlws.FILTER($A$2:$A$501,($D$2:$D$501&gt;=AC$7)*($D$2:$D$501&lt;AB$7)*($E$2:$E$501&gt;=$H90)*($E$2:$E$501&lt;$H89)," ")))</f>
        <v xml:space="preserve"> </v>
      </c>
      <c r="AC89" t="str" cm="1">
        <f t="array" ref="AC89">_xlfn.TEXTJOIN(",",TRUE,(_xlfn._xlws.FILTER($A$2:$A$501,($D$2:$D$501&gt;=AD$7)*($D$2:$D$501&lt;AC$7)*($E$2:$E$501&gt;=$H90)*($E$2:$E$501&lt;$H89)," ")))</f>
        <v>Mount Union Area SD</v>
      </c>
      <c r="AD89" t="str" cm="1">
        <f t="array" ref="AD89">_xlfn.TEXTJOIN(",",TRUE,(_xlfn._xlws.FILTER($A$2:$A$501,($D$2:$D$501&gt;=AE$7)*($D$2:$D$501&lt;AD$7)*($E$2:$E$501&gt;=$H90)*($E$2:$E$501&lt;$H89)," ")))</f>
        <v xml:space="preserve"> </v>
      </c>
      <c r="AE89" t="str" cm="1">
        <f t="array" ref="AE89">_xlfn.TEXTJOIN(",",TRUE,(_xlfn._xlws.FILTER($A$2:$A$501,($D$2:$D$501&gt;=AF$7)*($D$2:$D$501&lt;AE$7)*($E$2:$E$501&gt;=$H90)*($E$2:$E$501&lt;$H89)," ")))</f>
        <v xml:space="preserve"> </v>
      </c>
      <c r="AF89" t="str" cm="1">
        <f t="array" ref="AF89">_xlfn.TEXTJOIN(",",TRUE,(_xlfn._xlws.FILTER($A$2:$A$501,($D$2:$D$501&gt;=AG$7)*($D$2:$D$501&lt;AF$7)*($E$2:$E$501&gt;=$H90)*($E$2:$E$501&lt;$H89)," ")))</f>
        <v xml:space="preserve"> </v>
      </c>
      <c r="AG89" t="str" cm="1">
        <f t="array" ref="AG89">_xlfn.TEXTJOIN(",",TRUE,(_xlfn._xlws.FILTER($A$2:$A$501,($D$2:$D$501&gt;=AH$7)*($D$2:$D$501&lt;AG$7)*($E$2:$E$501&gt;=$H90)*($E$2:$E$501&lt;$H89)," ")))</f>
        <v xml:space="preserve"> </v>
      </c>
      <c r="AH89" t="str" cm="1">
        <f t="array" ref="AH89">_xlfn.TEXTJOIN(",",TRUE,(_xlfn._xlws.FILTER($A$2:$A$501,($D$2:$D$501&gt;=AI$7)*($D$2:$D$501&lt;AH$7)*($E$2:$E$501&gt;=$H90)*($E$2:$E$501&lt;$H89)," ")))</f>
        <v xml:space="preserve"> </v>
      </c>
      <c r="AI89" t="str" cm="1">
        <f t="array" ref="AI89">_xlfn.TEXTJOIN(",",TRUE,(_xlfn._xlws.FILTER($A$2:$A$501,($D$2:$D$501&gt;=AJ$7)*($D$2:$D$501&lt;AI$7)*($E$2:$E$501&gt;=$H90)*($E$2:$E$501&lt;$H89)," ")))</f>
        <v xml:space="preserve"> </v>
      </c>
      <c r="AJ89" t="str" cm="1">
        <f t="array" ref="AJ89">_xlfn.TEXTJOIN(",",TRUE,(_xlfn._xlws.FILTER($A$2:$A$501,($D$2:$D$501&gt;=AK$7)*($D$2:$D$501&lt;AJ$7)*($E$2:$E$501&gt;=$H90)*($E$2:$E$501&lt;$H89)," ")))</f>
        <v xml:space="preserve"> </v>
      </c>
      <c r="AK89" t="str" cm="1">
        <f t="array" ref="AK89">_xlfn.TEXTJOIN(",",TRUE,(_xlfn._xlws.FILTER($A$2:$A$501,($D$2:$D$501&gt;=AL$7)*($D$2:$D$501&lt;AK$7)*($E$2:$E$501&gt;=$H90)*($E$2:$E$501&lt;$H89)," ")))</f>
        <v xml:space="preserve"> </v>
      </c>
      <c r="AL89" t="str" cm="1">
        <f t="array" ref="AL89">_xlfn.TEXTJOIN(",",TRUE,(_xlfn._xlws.FILTER($A$2:$A$501,($D$2:$D$501&gt;=AM$7)*($D$2:$D$501&lt;AL$7)*($E$2:$E$501&gt;=$H90)*($E$2:$E$501&lt;$H89)," ")))</f>
        <v xml:space="preserve"> </v>
      </c>
      <c r="AM89" t="str" cm="1">
        <f t="array" ref="AM89">_xlfn.TEXTJOIN(",",TRUE,(_xlfn._xlws.FILTER($A$2:$A$501,($D$2:$D$501&gt;=AN$7)*($D$2:$D$501&lt;AM$7)*($E$2:$E$501&gt;=$H90)*($E$2:$E$501&lt;$H89)," ")))</f>
        <v xml:space="preserve"> </v>
      </c>
      <c r="AN89" t="str" cm="1">
        <f t="array" ref="AN89">_xlfn.TEXTJOIN(",",TRUE,(_xlfn._xlws.FILTER($A$2:$A$501,($D$2:$D$501&gt;=AO$7)*($D$2:$D$501&lt;AN$7)*($E$2:$E$501&gt;=$H90)*($E$2:$E$501&lt;$H89)," ")))</f>
        <v xml:space="preserve"> </v>
      </c>
      <c r="AO89" t="str" cm="1">
        <f t="array" ref="AO89">_xlfn.TEXTJOIN(",",TRUE,(_xlfn._xlws.FILTER($A$2:$A$501,($D$2:$D$501&gt;=AP$7)*($D$2:$D$501&lt;AO$7)*($E$2:$E$501&gt;=$H90)*($E$2:$E$501&lt;$H89)," ")))</f>
        <v xml:space="preserve"> </v>
      </c>
      <c r="AP89" t="str" cm="1">
        <f t="array" ref="AP89">_xlfn.TEXTJOIN(",",TRUE,(_xlfn._xlws.FILTER($A$2:$A$501,($D$2:$D$501&gt;=AQ$7)*($D$2:$D$501&lt;AP$7)*($E$2:$E$501&gt;=$H90)*($E$2:$E$501&lt;$H89)," ")))</f>
        <v xml:space="preserve"> </v>
      </c>
      <c r="AQ89" t="str" cm="1">
        <f t="array" ref="AQ89">_xlfn.TEXTJOIN(",",TRUE,(_xlfn._xlws.FILTER($A$2:$A$501,($D$2:$D$501&gt;=AR$7)*($D$2:$D$501&lt;AQ$7)*($E$2:$E$501&gt;=$H90)*($E$2:$E$501&lt;$H89)," ")))</f>
        <v xml:space="preserve"> </v>
      </c>
      <c r="AR89" t="str" cm="1">
        <f t="array" ref="AR89">_xlfn.TEXTJOIN(",",TRUE,(_xlfn._xlws.FILTER($A$2:$A$501,($D$2:$D$501&gt;=AS$7)*($D$2:$D$501&lt;AR$7)*($E$2:$E$501&gt;=$H90)*($E$2:$E$501&lt;$H89)," ")))</f>
        <v xml:space="preserve"> </v>
      </c>
      <c r="AS89" t="str" cm="1">
        <f t="array" ref="AS89">_xlfn.TEXTJOIN(",",TRUE,(_xlfn._xlws.FILTER($A$2:$A$501,($D$2:$D$501&gt;=AT$7)*($D$2:$D$501&lt;AS$7)*($E$2:$E$501&gt;=$H90)*($E$2:$E$501&lt;$H89)," ")))</f>
        <v xml:space="preserve"> </v>
      </c>
      <c r="AT89" t="str" cm="1">
        <f t="array" ref="AT89">_xlfn.TEXTJOIN(",",TRUE,(_xlfn._xlws.FILTER($A$2:$A$501,($D$2:$D$501&gt;=AU$7)*($D$2:$D$501&lt;AT$7)*($E$2:$E$501&gt;=$H90)*($E$2:$E$501&lt;$H89)," ")))</f>
        <v xml:space="preserve"> </v>
      </c>
      <c r="AU89" t="str" cm="1">
        <f t="array" ref="AU89">_xlfn.TEXTJOIN(",",TRUE,(_xlfn._xlws.FILTER($A$2:$A$501,($D$2:$D$501&gt;=AV$7)*($D$2:$D$501&lt;AU$7)*($E$2:$E$501&gt;=$H90)*($E$2:$E$501&lt;$H89)," ")))</f>
        <v xml:space="preserve"> </v>
      </c>
      <c r="AV89" t="str" cm="1">
        <f t="array" ref="AV89">_xlfn.TEXTJOIN(",",TRUE,(_xlfn._xlws.FILTER($A$2:$A$501,($D$2:$D$501&gt;=AW$7)*($D$2:$D$501&lt;AV$7)*($E$2:$E$501&gt;=$H90)*($E$2:$E$501&lt;$H89)," ")))</f>
        <v xml:space="preserve"> </v>
      </c>
      <c r="AW89" t="str" cm="1">
        <f t="array" ref="AW89">_xlfn.TEXTJOIN(",",TRUE,(_xlfn._xlws.FILTER($A$2:$A$501,($D$2:$D$501&gt;=AX$7)*($D$2:$D$501&lt;AW$7)*($E$2:$E$501&gt;=$H90)*($E$2:$E$501&lt;$H89)," ")))</f>
        <v xml:space="preserve"> </v>
      </c>
      <c r="AX89" t="str" cm="1">
        <f t="array" ref="AX89">_xlfn.TEXTJOIN(",",TRUE,(_xlfn._xlws.FILTER($A$2:$A$501,($D$2:$D$501&gt;=AY$7)*($D$2:$D$501&lt;AX$7)*($E$2:$E$501&gt;=$H90)*($E$2:$E$501&lt;$H89)," ")))</f>
        <v xml:space="preserve"> </v>
      </c>
      <c r="AY89" t="str" cm="1">
        <f t="array" ref="AY89">_xlfn.TEXTJOIN(",",TRUE,(_xlfn._xlws.FILTER($A$2:$A$501,($D$2:$D$501&gt;=AZ$7)*($D$2:$D$501&lt;AY$7)*($E$2:$E$501&gt;=$H90)*($E$2:$E$501&lt;$H89)," ")))</f>
        <v xml:space="preserve"> </v>
      </c>
      <c r="AZ89" t="str" cm="1">
        <f t="array" ref="AZ89">_xlfn.TEXTJOIN(",",TRUE,(_xlfn._xlws.FILTER($A$2:$A$501,($D$2:$D$501&gt;=BA$7)*($D$2:$D$501&lt;AZ$7)*($E$2:$E$501&gt;=$H90)*($E$2:$E$501&lt;$H89)," ")))</f>
        <v xml:space="preserve"> </v>
      </c>
      <c r="BA89" t="str" cm="1">
        <f t="array" ref="BA89">_xlfn.TEXTJOIN(",",TRUE,(_xlfn._xlws.FILTER($A$2:$A$501,($D$2:$D$501&gt;=BB$7)*($D$2:$D$501&lt;BA$7)*($E$2:$E$501&gt;=$H90)*($E$2:$E$501&lt;$H89)," ")))</f>
        <v xml:space="preserve"> </v>
      </c>
      <c r="BB89" t="str" cm="1">
        <f t="array" ref="BB89">_xlfn.TEXTJOIN(",",TRUE,(_xlfn._xlws.FILTER($A$2:$A$501,($D$2:$D$501&gt;=BC$7)*($D$2:$D$501&lt;BB$7)*($E$2:$E$501&gt;=$H90)*($E$2:$E$501&lt;$H89)," ")))</f>
        <v xml:space="preserve"> </v>
      </c>
    </row>
    <row r="90" spans="1:54" x14ac:dyDescent="0.2">
      <c r="A90" s="3" t="s">
        <v>560</v>
      </c>
      <c r="B90" s="3" t="s">
        <v>554</v>
      </c>
      <c r="C90" s="13">
        <v>2710704.66</v>
      </c>
      <c r="D90" s="15">
        <v>60858689.909999996</v>
      </c>
      <c r="E90" s="22">
        <f>TuitionRates3[[#This Row],[Tuition]]/D90</f>
        <v>4.4540963073781033E-2</v>
      </c>
      <c r="F90"/>
      <c r="H90" s="18">
        <v>6.7999999999999894E-2</v>
      </c>
      <c r="I90" t="str" cm="1">
        <f t="array" ref="I90">_xlfn.TEXTJOIN(",",TRUE,(_xlfn._xlws.FILTER($A$2:$A$501,($D$2:$D$501&gt;=J$7)*($D$2:$D$501&lt;I$7)*($E$2:$E$501&gt;=$H91)*($E$2:$E$501&lt;$H90)," ")))</f>
        <v xml:space="preserve"> </v>
      </c>
      <c r="J90" t="str" cm="1">
        <f t="array" ref="J90">_xlfn.TEXTJOIN(",",TRUE,(_xlfn._xlws.FILTER($A$2:$A$501,($D$2:$D$501&gt;=K$7)*($D$2:$D$501&lt;J$7)*($E$2:$E$501&gt;=$H91)*($E$2:$E$501&lt;$H90)," ")))</f>
        <v xml:space="preserve"> </v>
      </c>
      <c r="K90" t="str" cm="1">
        <f t="array" ref="K90">_xlfn.TEXTJOIN(",",TRUE,(_xlfn._xlws.FILTER($A$2:$A$501,($D$2:$D$501&gt;=L$7)*($D$2:$D$501&lt;K$7)*($E$2:$E$501&gt;=$H91)*($E$2:$E$501&lt;$H90)," ")))</f>
        <v xml:space="preserve"> </v>
      </c>
      <c r="L90" t="str" cm="1">
        <f t="array" ref="L90">_xlfn.TEXTJOIN(",",TRUE,(_xlfn._xlws.FILTER($A$2:$A$501,($D$2:$D$501&gt;=M$7)*($D$2:$D$501&lt;L$7)*($E$2:$E$501&gt;=$H91)*($E$2:$E$501&lt;$H90)," ")))</f>
        <v xml:space="preserve"> </v>
      </c>
      <c r="M90" t="str" cm="1">
        <f t="array" ref="M90">_xlfn.TEXTJOIN(",",TRUE,(_xlfn._xlws.FILTER($A$2:$A$501,($D$2:$D$501&gt;=N$7)*($D$2:$D$501&lt;M$7)*($E$2:$E$501&gt;=$H91)*($E$2:$E$501&lt;$H90)," ")))</f>
        <v xml:space="preserve"> </v>
      </c>
      <c r="N90" t="str" cm="1">
        <f t="array" ref="N90">_xlfn.TEXTJOIN(",",TRUE,(_xlfn._xlws.FILTER($A$2:$A$501,($D$2:$D$501&gt;=O$7)*($D$2:$D$501&lt;N$7)*($E$2:$E$501&gt;=$H91)*($E$2:$E$501&lt;$H90)," ")))</f>
        <v xml:space="preserve"> </v>
      </c>
      <c r="O90" t="str" cm="1">
        <f t="array" ref="O90">_xlfn.TEXTJOIN(",",TRUE,(_xlfn._xlws.FILTER($A$2:$A$501,($D$2:$D$501&gt;=P$7)*($D$2:$D$501&lt;O$7)*($E$2:$E$501&gt;=$H91)*($E$2:$E$501&lt;$H90)," ")))</f>
        <v xml:space="preserve"> </v>
      </c>
      <c r="P90" t="str" cm="1">
        <f t="array" ref="P90">_xlfn.TEXTJOIN(",",TRUE,(_xlfn._xlws.FILTER($A$2:$A$501,($D$2:$D$501&gt;=Q$7)*($D$2:$D$501&lt;P$7)*($E$2:$E$501&gt;=$H91)*($E$2:$E$501&lt;$H90)," ")))</f>
        <v xml:space="preserve"> </v>
      </c>
      <c r="Q90" t="str" cm="1">
        <f t="array" ref="Q90">_xlfn.TEXTJOIN(",",TRUE,(_xlfn._xlws.FILTER($A$2:$A$501,($D$2:$D$501&gt;=R$7)*($D$2:$D$501&lt;Q$7)*($E$2:$E$501&gt;=$H91)*($E$2:$E$501&lt;$H90)," ")))</f>
        <v xml:space="preserve"> </v>
      </c>
      <c r="R90" t="str" cm="1">
        <f t="array" ref="R90">_xlfn.TEXTJOIN(",",TRUE,(_xlfn._xlws.FILTER($A$2:$A$501,($D$2:$D$501&gt;=S$7)*($D$2:$D$501&lt;R$7)*($E$2:$E$501&gt;=$H91)*($E$2:$E$501&lt;$H90)," ")))</f>
        <v xml:space="preserve"> </v>
      </c>
      <c r="S90" t="str" cm="1">
        <f t="array" ref="S90">_xlfn.TEXTJOIN(",",TRUE,(_xlfn._xlws.FILTER($A$2:$A$501,($D$2:$D$501&gt;=T$7)*($D$2:$D$501&lt;S$7)*($E$2:$E$501&gt;=$H91)*($E$2:$E$501&lt;$H90)," ")))</f>
        <v xml:space="preserve"> </v>
      </c>
      <c r="T90" t="str" cm="1">
        <f t="array" ref="T90">_xlfn.TEXTJOIN(",",TRUE,(_xlfn._xlws.FILTER($A$2:$A$501,($D$2:$D$501&gt;=U$7)*($D$2:$D$501&lt;T$7)*($E$2:$E$501&gt;=$H91)*($E$2:$E$501&lt;$H90)," ")))</f>
        <v xml:space="preserve"> </v>
      </c>
      <c r="U90" t="str" cm="1">
        <f t="array" ref="U90">_xlfn.TEXTJOIN(",",TRUE,(_xlfn._xlws.FILTER($A$2:$A$501,($D$2:$D$501&gt;=V$7)*($D$2:$D$501&lt;U$7)*($E$2:$E$501&gt;=$H91)*($E$2:$E$501&lt;$H90)," ")))</f>
        <v xml:space="preserve"> </v>
      </c>
      <c r="V90" t="str" cm="1">
        <f t="array" ref="V90">_xlfn.TEXTJOIN(",",TRUE,(_xlfn._xlws.FILTER($A$2:$A$501,($D$2:$D$501&gt;=W$7)*($D$2:$D$501&lt;V$7)*($E$2:$E$501&gt;=$H91)*($E$2:$E$501&lt;$H90)," ")))</f>
        <v xml:space="preserve"> </v>
      </c>
      <c r="W90" t="str" cm="1">
        <f t="array" ref="W90">_xlfn.TEXTJOIN(",",TRUE,(_xlfn._xlws.FILTER($A$2:$A$501,($D$2:$D$501&gt;=X$7)*($D$2:$D$501&lt;W$7)*($E$2:$E$501&gt;=$H91)*($E$2:$E$501&lt;$H90)," ")))</f>
        <v xml:space="preserve"> </v>
      </c>
      <c r="X90" t="str" cm="1">
        <f t="array" ref="X90">_xlfn.TEXTJOIN(",",TRUE,(_xlfn._xlws.FILTER($A$2:$A$501,($D$2:$D$501&gt;=Y$7)*($D$2:$D$501&lt;X$7)*($E$2:$E$501&gt;=$H91)*($E$2:$E$501&lt;$H90)," ")))</f>
        <v xml:space="preserve"> </v>
      </c>
      <c r="Y90" t="str" cm="1">
        <f t="array" ref="Y90">_xlfn.TEXTJOIN(",",TRUE,(_xlfn._xlws.FILTER($A$2:$A$501,($D$2:$D$501&gt;=Z$7)*($D$2:$D$501&lt;Y$7)*($E$2:$E$501&gt;=$H91)*($E$2:$E$501&lt;$H90)," ")))</f>
        <v xml:space="preserve"> </v>
      </c>
      <c r="Z90" t="str" cm="1">
        <f t="array" ref="Z90">_xlfn.TEXTJOIN(",",TRUE,(_xlfn._xlws.FILTER($A$2:$A$501,($D$2:$D$501&gt;=AA$7)*($D$2:$D$501&lt;Z$7)*($E$2:$E$501&gt;=$H91)*($E$2:$E$501&lt;$H90)," ")))</f>
        <v xml:space="preserve"> </v>
      </c>
      <c r="AA90" t="str" cm="1">
        <f t="array" ref="AA90">_xlfn.TEXTJOIN(",",TRUE,(_xlfn._xlws.FILTER($A$2:$A$501,($D$2:$D$501&gt;=AB$7)*($D$2:$D$501&lt;AA$7)*($E$2:$E$501&gt;=$H91)*($E$2:$E$501&lt;$H90)," ")))</f>
        <v xml:space="preserve"> </v>
      </c>
      <c r="AB90" t="str" cm="1">
        <f t="array" ref="AB90">_xlfn.TEXTJOIN(",",TRUE,(_xlfn._xlws.FILTER($A$2:$A$501,($D$2:$D$501&gt;=AC$7)*($D$2:$D$501&lt;AB$7)*($E$2:$E$501&gt;=$H91)*($E$2:$E$501&lt;$H90)," ")))</f>
        <v xml:space="preserve"> </v>
      </c>
      <c r="AC90" t="str" cm="1">
        <f t="array" ref="AC90">_xlfn.TEXTJOIN(",",TRUE,(_xlfn._xlws.FILTER($A$2:$A$501,($D$2:$D$501&gt;=AD$7)*($D$2:$D$501&lt;AC$7)*($E$2:$E$501&gt;=$H91)*($E$2:$E$501&lt;$H90)," ")))</f>
        <v xml:space="preserve"> </v>
      </c>
      <c r="AD90" t="str" cm="1">
        <f t="array" ref="AD90">_xlfn.TEXTJOIN(",",TRUE,(_xlfn._xlws.FILTER($A$2:$A$501,($D$2:$D$501&gt;=AE$7)*($D$2:$D$501&lt;AD$7)*($E$2:$E$501&gt;=$H91)*($E$2:$E$501&lt;$H90)," ")))</f>
        <v xml:space="preserve"> </v>
      </c>
      <c r="AE90" t="str" cm="1">
        <f t="array" ref="AE90">_xlfn.TEXTJOIN(",",TRUE,(_xlfn._xlws.FILTER($A$2:$A$501,($D$2:$D$501&gt;=AF$7)*($D$2:$D$501&lt;AE$7)*($E$2:$E$501&gt;=$H91)*($E$2:$E$501&lt;$H90)," ")))</f>
        <v xml:space="preserve"> </v>
      </c>
      <c r="AF90" t="str" cm="1">
        <f t="array" ref="AF90">_xlfn.TEXTJOIN(",",TRUE,(_xlfn._xlws.FILTER($A$2:$A$501,($D$2:$D$501&gt;=AG$7)*($D$2:$D$501&lt;AF$7)*($E$2:$E$501&gt;=$H91)*($E$2:$E$501&lt;$H90)," ")))</f>
        <v xml:space="preserve"> </v>
      </c>
      <c r="AG90" t="str" cm="1">
        <f t="array" ref="AG90">_xlfn.TEXTJOIN(",",TRUE,(_xlfn._xlws.FILTER($A$2:$A$501,($D$2:$D$501&gt;=AH$7)*($D$2:$D$501&lt;AG$7)*($E$2:$E$501&gt;=$H91)*($E$2:$E$501&lt;$H90)," ")))</f>
        <v xml:space="preserve"> </v>
      </c>
      <c r="AH90" t="str" cm="1">
        <f t="array" ref="AH90">_xlfn.TEXTJOIN(",",TRUE,(_xlfn._xlws.FILTER($A$2:$A$501,($D$2:$D$501&gt;=AI$7)*($D$2:$D$501&lt;AH$7)*($E$2:$E$501&gt;=$H91)*($E$2:$E$501&lt;$H90)," ")))</f>
        <v xml:space="preserve"> </v>
      </c>
      <c r="AI90" t="str" cm="1">
        <f t="array" ref="AI90">_xlfn.TEXTJOIN(",",TRUE,(_xlfn._xlws.FILTER($A$2:$A$501,($D$2:$D$501&gt;=AJ$7)*($D$2:$D$501&lt;AI$7)*($E$2:$E$501&gt;=$H91)*($E$2:$E$501&lt;$H90)," ")))</f>
        <v xml:space="preserve"> </v>
      </c>
      <c r="AJ90" t="str" cm="1">
        <f t="array" ref="AJ90">_xlfn.TEXTJOIN(",",TRUE,(_xlfn._xlws.FILTER($A$2:$A$501,($D$2:$D$501&gt;=AK$7)*($D$2:$D$501&lt;AJ$7)*($E$2:$E$501&gt;=$H91)*($E$2:$E$501&lt;$H90)," ")))</f>
        <v xml:space="preserve"> </v>
      </c>
      <c r="AK90" t="str" cm="1">
        <f t="array" ref="AK90">_xlfn.TEXTJOIN(",",TRUE,(_xlfn._xlws.FILTER($A$2:$A$501,($D$2:$D$501&gt;=AL$7)*($D$2:$D$501&lt;AK$7)*($E$2:$E$501&gt;=$H91)*($E$2:$E$501&lt;$H90)," ")))</f>
        <v xml:space="preserve"> </v>
      </c>
      <c r="AL90" t="str" cm="1">
        <f t="array" ref="AL90">_xlfn.TEXTJOIN(",",TRUE,(_xlfn._xlws.FILTER($A$2:$A$501,($D$2:$D$501&gt;=AM$7)*($D$2:$D$501&lt;AL$7)*($E$2:$E$501&gt;=$H91)*($E$2:$E$501&lt;$H90)," ")))</f>
        <v xml:space="preserve"> </v>
      </c>
      <c r="AM90" t="str" cm="1">
        <f t="array" ref="AM90">_xlfn.TEXTJOIN(",",TRUE,(_xlfn._xlws.FILTER($A$2:$A$501,($D$2:$D$501&gt;=AN$7)*($D$2:$D$501&lt;AM$7)*($E$2:$E$501&gt;=$H91)*($E$2:$E$501&lt;$H90)," ")))</f>
        <v xml:space="preserve"> </v>
      </c>
      <c r="AN90" t="str" cm="1">
        <f t="array" ref="AN90">_xlfn.TEXTJOIN(",",TRUE,(_xlfn._xlws.FILTER($A$2:$A$501,($D$2:$D$501&gt;=AO$7)*($D$2:$D$501&lt;AN$7)*($E$2:$E$501&gt;=$H91)*($E$2:$E$501&lt;$H90)," ")))</f>
        <v xml:space="preserve"> </v>
      </c>
      <c r="AO90" t="str" cm="1">
        <f t="array" ref="AO90">_xlfn.TEXTJOIN(",",TRUE,(_xlfn._xlws.FILTER($A$2:$A$501,($D$2:$D$501&gt;=AP$7)*($D$2:$D$501&lt;AO$7)*($E$2:$E$501&gt;=$H91)*($E$2:$E$501&lt;$H90)," ")))</f>
        <v xml:space="preserve"> </v>
      </c>
      <c r="AP90" t="str" cm="1">
        <f t="array" ref="AP90">_xlfn.TEXTJOIN(",",TRUE,(_xlfn._xlws.FILTER($A$2:$A$501,($D$2:$D$501&gt;=AQ$7)*($D$2:$D$501&lt;AP$7)*($E$2:$E$501&gt;=$H91)*($E$2:$E$501&lt;$H90)," ")))</f>
        <v xml:space="preserve"> </v>
      </c>
      <c r="AQ90" t="str" cm="1">
        <f t="array" ref="AQ90">_xlfn.TEXTJOIN(",",TRUE,(_xlfn._xlws.FILTER($A$2:$A$501,($D$2:$D$501&gt;=AR$7)*($D$2:$D$501&lt;AQ$7)*($E$2:$E$501&gt;=$H91)*($E$2:$E$501&lt;$H90)," ")))</f>
        <v xml:space="preserve"> </v>
      </c>
      <c r="AR90" t="str" cm="1">
        <f t="array" ref="AR90">_xlfn.TEXTJOIN(",",TRUE,(_xlfn._xlws.FILTER($A$2:$A$501,($D$2:$D$501&gt;=AS$7)*($D$2:$D$501&lt;AR$7)*($E$2:$E$501&gt;=$H91)*($E$2:$E$501&lt;$H90)," ")))</f>
        <v xml:space="preserve"> </v>
      </c>
      <c r="AS90" t="str" cm="1">
        <f t="array" ref="AS90">_xlfn.TEXTJOIN(",",TRUE,(_xlfn._xlws.FILTER($A$2:$A$501,($D$2:$D$501&gt;=AT$7)*($D$2:$D$501&lt;AS$7)*($E$2:$E$501&gt;=$H91)*($E$2:$E$501&lt;$H90)," ")))</f>
        <v xml:space="preserve"> </v>
      </c>
      <c r="AT90" t="str" cm="1">
        <f t="array" ref="AT90">_xlfn.TEXTJOIN(",",TRUE,(_xlfn._xlws.FILTER($A$2:$A$501,($D$2:$D$501&gt;=AU$7)*($D$2:$D$501&lt;AT$7)*($E$2:$E$501&gt;=$H91)*($E$2:$E$501&lt;$H90)," ")))</f>
        <v xml:space="preserve"> </v>
      </c>
      <c r="AU90" t="str" cm="1">
        <f t="array" ref="AU90">_xlfn.TEXTJOIN(",",TRUE,(_xlfn._xlws.FILTER($A$2:$A$501,($D$2:$D$501&gt;=AV$7)*($D$2:$D$501&lt;AU$7)*($E$2:$E$501&gt;=$H91)*($E$2:$E$501&lt;$H90)," ")))</f>
        <v xml:space="preserve"> </v>
      </c>
      <c r="AV90" t="str" cm="1">
        <f t="array" ref="AV90">_xlfn.TEXTJOIN(",",TRUE,(_xlfn._xlws.FILTER($A$2:$A$501,($D$2:$D$501&gt;=AW$7)*($D$2:$D$501&lt;AV$7)*($E$2:$E$501&gt;=$H91)*($E$2:$E$501&lt;$H90)," ")))</f>
        <v xml:space="preserve"> </v>
      </c>
      <c r="AW90" t="str" cm="1">
        <f t="array" ref="AW90">_xlfn.TEXTJOIN(",",TRUE,(_xlfn._xlws.FILTER($A$2:$A$501,($D$2:$D$501&gt;=AX$7)*($D$2:$D$501&lt;AW$7)*($E$2:$E$501&gt;=$H91)*($E$2:$E$501&lt;$H90)," ")))</f>
        <v xml:space="preserve"> </v>
      </c>
      <c r="AX90" t="str" cm="1">
        <f t="array" ref="AX90">_xlfn.TEXTJOIN(",",TRUE,(_xlfn._xlws.FILTER($A$2:$A$501,($D$2:$D$501&gt;=AY$7)*($D$2:$D$501&lt;AX$7)*($E$2:$E$501&gt;=$H91)*($E$2:$E$501&lt;$H90)," ")))</f>
        <v xml:space="preserve"> </v>
      </c>
      <c r="AY90" t="str" cm="1">
        <f t="array" ref="AY90">_xlfn.TEXTJOIN(",",TRUE,(_xlfn._xlws.FILTER($A$2:$A$501,($D$2:$D$501&gt;=AZ$7)*($D$2:$D$501&lt;AY$7)*($E$2:$E$501&gt;=$H91)*($E$2:$E$501&lt;$H90)," ")))</f>
        <v xml:space="preserve"> </v>
      </c>
      <c r="AZ90" t="str" cm="1">
        <f t="array" ref="AZ90">_xlfn.TEXTJOIN(",",TRUE,(_xlfn._xlws.FILTER($A$2:$A$501,($D$2:$D$501&gt;=BA$7)*($D$2:$D$501&lt;AZ$7)*($E$2:$E$501&gt;=$H91)*($E$2:$E$501&lt;$H90)," ")))</f>
        <v xml:space="preserve"> </v>
      </c>
      <c r="BA90" t="str" cm="1">
        <f t="array" ref="BA90">_xlfn.TEXTJOIN(",",TRUE,(_xlfn._xlws.FILTER($A$2:$A$501,($D$2:$D$501&gt;=BB$7)*($D$2:$D$501&lt;BA$7)*($E$2:$E$501&gt;=$H91)*($E$2:$E$501&lt;$H90)," ")))</f>
        <v xml:space="preserve"> </v>
      </c>
      <c r="BB90" t="str" cm="1">
        <f t="array" ref="BB90">_xlfn.TEXTJOIN(",",TRUE,(_xlfn._xlws.FILTER($A$2:$A$501,($D$2:$D$501&gt;=BC$7)*($D$2:$D$501&lt;BB$7)*($E$2:$E$501&gt;=$H91)*($E$2:$E$501&lt;$H90)," ")))</f>
        <v xml:space="preserve"> </v>
      </c>
    </row>
    <row r="91" spans="1:54" x14ac:dyDescent="0.2">
      <c r="A91" s="3" t="s">
        <v>559</v>
      </c>
      <c r="B91" s="3" t="s">
        <v>554</v>
      </c>
      <c r="C91" s="13">
        <v>3708530.91</v>
      </c>
      <c r="D91" s="15">
        <v>83395915.980000004</v>
      </c>
      <c r="E91" s="22">
        <f>TuitionRates3[[#This Row],[Tuition]]/D91</f>
        <v>4.446897508613467E-2</v>
      </c>
      <c r="F91"/>
      <c r="H91" s="18">
        <v>6.6999999999999907E-2</v>
      </c>
      <c r="I91" t="str" cm="1">
        <f t="array" ref="I91">_xlfn.TEXTJOIN(",",TRUE,(_xlfn._xlws.FILTER($A$2:$A$501,($D$2:$D$501&gt;=J$7)*($D$2:$D$501&lt;I$7)*($E$2:$E$501&gt;=$H92)*($E$2:$E$501&lt;$H91)," ")))</f>
        <v xml:space="preserve"> </v>
      </c>
      <c r="J91" t="str" cm="1">
        <f t="array" ref="J91">_xlfn.TEXTJOIN(",",TRUE,(_xlfn._xlws.FILTER($A$2:$A$501,($D$2:$D$501&gt;=K$7)*($D$2:$D$501&lt;J$7)*($E$2:$E$501&gt;=$H92)*($E$2:$E$501&lt;$H91)," ")))</f>
        <v xml:space="preserve"> </v>
      </c>
      <c r="K91" t="str" cm="1">
        <f t="array" ref="K91">_xlfn.TEXTJOIN(",",TRUE,(_xlfn._xlws.FILTER($A$2:$A$501,($D$2:$D$501&gt;=L$7)*($D$2:$D$501&lt;K$7)*($E$2:$E$501&gt;=$H92)*($E$2:$E$501&lt;$H91)," ")))</f>
        <v xml:space="preserve"> </v>
      </c>
      <c r="L91" t="str" cm="1">
        <f t="array" ref="L91">_xlfn.TEXTJOIN(",",TRUE,(_xlfn._xlws.FILTER($A$2:$A$501,($D$2:$D$501&gt;=M$7)*($D$2:$D$501&lt;L$7)*($E$2:$E$501&gt;=$H92)*($E$2:$E$501&lt;$H91)," ")))</f>
        <v xml:space="preserve"> </v>
      </c>
      <c r="M91" t="str" cm="1">
        <f t="array" ref="M91">_xlfn.TEXTJOIN(",",TRUE,(_xlfn._xlws.FILTER($A$2:$A$501,($D$2:$D$501&gt;=N$7)*($D$2:$D$501&lt;M$7)*($E$2:$E$501&gt;=$H92)*($E$2:$E$501&lt;$H91)," ")))</f>
        <v xml:space="preserve"> </v>
      </c>
      <c r="N91" t="str" cm="1">
        <f t="array" ref="N91">_xlfn.TEXTJOIN(",",TRUE,(_xlfn._xlws.FILTER($A$2:$A$501,($D$2:$D$501&gt;=O$7)*($D$2:$D$501&lt;N$7)*($E$2:$E$501&gt;=$H92)*($E$2:$E$501&lt;$H91)," ")))</f>
        <v xml:space="preserve"> </v>
      </c>
      <c r="O91" t="str" cm="1">
        <f t="array" ref="O91">_xlfn.TEXTJOIN(",",TRUE,(_xlfn._xlws.FILTER($A$2:$A$501,($D$2:$D$501&gt;=P$7)*($D$2:$D$501&lt;O$7)*($E$2:$E$501&gt;=$H92)*($E$2:$E$501&lt;$H91)," ")))</f>
        <v xml:space="preserve"> </v>
      </c>
      <c r="P91" t="str" cm="1">
        <f t="array" ref="P91">_xlfn.TEXTJOIN(",",TRUE,(_xlfn._xlws.FILTER($A$2:$A$501,($D$2:$D$501&gt;=Q$7)*($D$2:$D$501&lt;P$7)*($E$2:$E$501&gt;=$H92)*($E$2:$E$501&lt;$H91)," ")))</f>
        <v xml:space="preserve"> </v>
      </c>
      <c r="Q91" t="str" cm="1">
        <f t="array" ref="Q91">_xlfn.TEXTJOIN(",",TRUE,(_xlfn._xlws.FILTER($A$2:$A$501,($D$2:$D$501&gt;=R$7)*($D$2:$D$501&lt;Q$7)*($E$2:$E$501&gt;=$H92)*($E$2:$E$501&lt;$H91)," ")))</f>
        <v xml:space="preserve"> </v>
      </c>
      <c r="R91" t="str" cm="1">
        <f t="array" ref="R91">_xlfn.TEXTJOIN(",",TRUE,(_xlfn._xlws.FILTER($A$2:$A$501,($D$2:$D$501&gt;=S$7)*($D$2:$D$501&lt;R$7)*($E$2:$E$501&gt;=$H92)*($E$2:$E$501&lt;$H91)," ")))</f>
        <v xml:space="preserve"> </v>
      </c>
      <c r="S91" t="str" cm="1">
        <f t="array" ref="S91">_xlfn.TEXTJOIN(",",TRUE,(_xlfn._xlws.FILTER($A$2:$A$501,($D$2:$D$501&gt;=T$7)*($D$2:$D$501&lt;S$7)*($E$2:$E$501&gt;=$H92)*($E$2:$E$501&lt;$H91)," ")))</f>
        <v xml:space="preserve"> </v>
      </c>
      <c r="T91" t="str" cm="1">
        <f t="array" ref="T91">_xlfn.TEXTJOIN(",",TRUE,(_xlfn._xlws.FILTER($A$2:$A$501,($D$2:$D$501&gt;=U$7)*($D$2:$D$501&lt;T$7)*($E$2:$E$501&gt;=$H92)*($E$2:$E$501&lt;$H91)," ")))</f>
        <v xml:space="preserve"> </v>
      </c>
      <c r="U91" t="str" cm="1">
        <f t="array" ref="U91">_xlfn.TEXTJOIN(",",TRUE,(_xlfn._xlws.FILTER($A$2:$A$501,($D$2:$D$501&gt;=V$7)*($D$2:$D$501&lt;U$7)*($E$2:$E$501&gt;=$H92)*($E$2:$E$501&lt;$H91)," ")))</f>
        <v xml:space="preserve"> </v>
      </c>
      <c r="V91" t="str" cm="1">
        <f t="array" ref="V91">_xlfn.TEXTJOIN(",",TRUE,(_xlfn._xlws.FILTER($A$2:$A$501,($D$2:$D$501&gt;=W$7)*($D$2:$D$501&lt;V$7)*($E$2:$E$501&gt;=$H92)*($E$2:$E$501&lt;$H91)," ")))</f>
        <v xml:space="preserve"> </v>
      </c>
      <c r="W91" t="str" cm="1">
        <f t="array" ref="W91">_xlfn.TEXTJOIN(",",TRUE,(_xlfn._xlws.FILTER($A$2:$A$501,($D$2:$D$501&gt;=X$7)*($D$2:$D$501&lt;W$7)*($E$2:$E$501&gt;=$H92)*($E$2:$E$501&lt;$H91)," ")))</f>
        <v xml:space="preserve"> </v>
      </c>
      <c r="X91" t="str" cm="1">
        <f t="array" ref="X91">_xlfn.TEXTJOIN(",",TRUE,(_xlfn._xlws.FILTER($A$2:$A$501,($D$2:$D$501&gt;=Y$7)*($D$2:$D$501&lt;X$7)*($E$2:$E$501&gt;=$H92)*($E$2:$E$501&lt;$H91)," ")))</f>
        <v>Greater Johnstown SD</v>
      </c>
      <c r="Y91" t="str" cm="1">
        <f t="array" ref="Y91">_xlfn.TEXTJOIN(",",TRUE,(_xlfn._xlws.FILTER($A$2:$A$501,($D$2:$D$501&gt;=Z$7)*($D$2:$D$501&lt;Y$7)*($E$2:$E$501&gt;=$H92)*($E$2:$E$501&lt;$H91)," ")))</f>
        <v xml:space="preserve"> </v>
      </c>
      <c r="Z91" t="str" cm="1">
        <f t="array" ref="Z91">_xlfn.TEXTJOIN(",",TRUE,(_xlfn._xlws.FILTER($A$2:$A$501,($D$2:$D$501&gt;=AA$7)*($D$2:$D$501&lt;Z$7)*($E$2:$E$501&gt;=$H92)*($E$2:$E$501&lt;$H91)," ")))</f>
        <v xml:space="preserve"> </v>
      </c>
      <c r="AA91" t="str" cm="1">
        <f t="array" ref="AA91">_xlfn.TEXTJOIN(",",TRUE,(_xlfn._xlws.FILTER($A$2:$A$501,($D$2:$D$501&gt;=AB$7)*($D$2:$D$501&lt;AA$7)*($E$2:$E$501&gt;=$H92)*($E$2:$E$501&lt;$H91)," ")))</f>
        <v xml:space="preserve"> </v>
      </c>
      <c r="AB91" t="str" cm="1">
        <f t="array" ref="AB91">_xlfn.TEXTJOIN(",",TRUE,(_xlfn._xlws.FILTER($A$2:$A$501,($D$2:$D$501&gt;=AC$7)*($D$2:$D$501&lt;AB$7)*($E$2:$E$501&gt;=$H92)*($E$2:$E$501&lt;$H91)," ")))</f>
        <v xml:space="preserve"> </v>
      </c>
      <c r="AC91" t="str" cm="1">
        <f t="array" ref="AC91">_xlfn.TEXTJOIN(",",TRUE,(_xlfn._xlws.FILTER($A$2:$A$501,($D$2:$D$501&gt;=AD$7)*($D$2:$D$501&lt;AC$7)*($E$2:$E$501&gt;=$H92)*($E$2:$E$501&lt;$H91)," ")))</f>
        <v xml:space="preserve"> </v>
      </c>
      <c r="AD91" t="str" cm="1">
        <f t="array" ref="AD91">_xlfn.TEXTJOIN(",",TRUE,(_xlfn._xlws.FILTER($A$2:$A$501,($D$2:$D$501&gt;=AE$7)*($D$2:$D$501&lt;AD$7)*($E$2:$E$501&gt;=$H92)*($E$2:$E$501&lt;$H91)," ")))</f>
        <v xml:space="preserve"> </v>
      </c>
      <c r="AE91" t="str" cm="1">
        <f t="array" ref="AE91">_xlfn.TEXTJOIN(",",TRUE,(_xlfn._xlws.FILTER($A$2:$A$501,($D$2:$D$501&gt;=AF$7)*($D$2:$D$501&lt;AE$7)*($E$2:$E$501&gt;=$H92)*($E$2:$E$501&lt;$H91)," ")))</f>
        <v xml:space="preserve"> </v>
      </c>
      <c r="AF91" t="str" cm="1">
        <f t="array" ref="AF91">_xlfn.TEXTJOIN(",",TRUE,(_xlfn._xlws.FILTER($A$2:$A$501,($D$2:$D$501&gt;=AG$7)*($D$2:$D$501&lt;AF$7)*($E$2:$E$501&gt;=$H92)*($E$2:$E$501&lt;$H91)," ")))</f>
        <v xml:space="preserve"> </v>
      </c>
      <c r="AG91" t="str" cm="1">
        <f t="array" ref="AG91">_xlfn.TEXTJOIN(",",TRUE,(_xlfn._xlws.FILTER($A$2:$A$501,($D$2:$D$501&gt;=AH$7)*($D$2:$D$501&lt;AG$7)*($E$2:$E$501&gt;=$H92)*($E$2:$E$501&lt;$H91)," ")))</f>
        <v xml:space="preserve"> </v>
      </c>
      <c r="AH91" t="str" cm="1">
        <f t="array" ref="AH91">_xlfn.TEXTJOIN(",",TRUE,(_xlfn._xlws.FILTER($A$2:$A$501,($D$2:$D$501&gt;=AI$7)*($D$2:$D$501&lt;AH$7)*($E$2:$E$501&gt;=$H92)*($E$2:$E$501&lt;$H91)," ")))</f>
        <v xml:space="preserve"> </v>
      </c>
      <c r="AI91" t="str" cm="1">
        <f t="array" ref="AI91">_xlfn.TEXTJOIN(",",TRUE,(_xlfn._xlws.FILTER($A$2:$A$501,($D$2:$D$501&gt;=AJ$7)*($D$2:$D$501&lt;AI$7)*($E$2:$E$501&gt;=$H92)*($E$2:$E$501&lt;$H91)," ")))</f>
        <v xml:space="preserve"> </v>
      </c>
      <c r="AJ91" t="str" cm="1">
        <f t="array" ref="AJ91">_xlfn.TEXTJOIN(",",TRUE,(_xlfn._xlws.FILTER($A$2:$A$501,($D$2:$D$501&gt;=AK$7)*($D$2:$D$501&lt;AJ$7)*($E$2:$E$501&gt;=$H92)*($E$2:$E$501&lt;$H91)," ")))</f>
        <v xml:space="preserve"> </v>
      </c>
      <c r="AK91" t="str" cm="1">
        <f t="array" ref="AK91">_xlfn.TEXTJOIN(",",TRUE,(_xlfn._xlws.FILTER($A$2:$A$501,($D$2:$D$501&gt;=AL$7)*($D$2:$D$501&lt;AK$7)*($E$2:$E$501&gt;=$H92)*($E$2:$E$501&lt;$H91)," ")))</f>
        <v xml:space="preserve"> </v>
      </c>
      <c r="AL91" t="str" cm="1">
        <f t="array" ref="AL91">_xlfn.TEXTJOIN(",",TRUE,(_xlfn._xlws.FILTER($A$2:$A$501,($D$2:$D$501&gt;=AM$7)*($D$2:$D$501&lt;AL$7)*($E$2:$E$501&gt;=$H92)*($E$2:$E$501&lt;$H91)," ")))</f>
        <v xml:space="preserve"> </v>
      </c>
      <c r="AM91" t="str" cm="1">
        <f t="array" ref="AM91">_xlfn.TEXTJOIN(",",TRUE,(_xlfn._xlws.FILTER($A$2:$A$501,($D$2:$D$501&gt;=AN$7)*($D$2:$D$501&lt;AM$7)*($E$2:$E$501&gt;=$H92)*($E$2:$E$501&lt;$H91)," ")))</f>
        <v xml:space="preserve"> </v>
      </c>
      <c r="AN91" t="str" cm="1">
        <f t="array" ref="AN91">_xlfn.TEXTJOIN(",",TRUE,(_xlfn._xlws.FILTER($A$2:$A$501,($D$2:$D$501&gt;=AO$7)*($D$2:$D$501&lt;AN$7)*($E$2:$E$501&gt;=$H92)*($E$2:$E$501&lt;$H91)," ")))</f>
        <v xml:space="preserve"> </v>
      </c>
      <c r="AO91" t="str" cm="1">
        <f t="array" ref="AO91">_xlfn.TEXTJOIN(",",TRUE,(_xlfn._xlws.FILTER($A$2:$A$501,($D$2:$D$501&gt;=AP$7)*($D$2:$D$501&lt;AO$7)*($E$2:$E$501&gt;=$H92)*($E$2:$E$501&lt;$H91)," ")))</f>
        <v xml:space="preserve"> </v>
      </c>
      <c r="AP91" t="str" cm="1">
        <f t="array" ref="AP91">_xlfn.TEXTJOIN(",",TRUE,(_xlfn._xlws.FILTER($A$2:$A$501,($D$2:$D$501&gt;=AQ$7)*($D$2:$D$501&lt;AP$7)*($E$2:$E$501&gt;=$H92)*($E$2:$E$501&lt;$H91)," ")))</f>
        <v xml:space="preserve"> </v>
      </c>
      <c r="AQ91" t="str" cm="1">
        <f t="array" ref="AQ91">_xlfn.TEXTJOIN(",",TRUE,(_xlfn._xlws.FILTER($A$2:$A$501,($D$2:$D$501&gt;=AR$7)*($D$2:$D$501&lt;AQ$7)*($E$2:$E$501&gt;=$H92)*($E$2:$E$501&lt;$H91)," ")))</f>
        <v xml:space="preserve"> </v>
      </c>
      <c r="AR91" t="str" cm="1">
        <f t="array" ref="AR91">_xlfn.TEXTJOIN(",",TRUE,(_xlfn._xlws.FILTER($A$2:$A$501,($D$2:$D$501&gt;=AS$7)*($D$2:$D$501&lt;AR$7)*($E$2:$E$501&gt;=$H92)*($E$2:$E$501&lt;$H91)," ")))</f>
        <v xml:space="preserve"> </v>
      </c>
      <c r="AS91" t="str" cm="1">
        <f t="array" ref="AS91">_xlfn.TEXTJOIN(",",TRUE,(_xlfn._xlws.FILTER($A$2:$A$501,($D$2:$D$501&gt;=AT$7)*($D$2:$D$501&lt;AS$7)*($E$2:$E$501&gt;=$H92)*($E$2:$E$501&lt;$H91)," ")))</f>
        <v xml:space="preserve"> </v>
      </c>
      <c r="AT91" t="str" cm="1">
        <f t="array" ref="AT91">_xlfn.TEXTJOIN(",",TRUE,(_xlfn._xlws.FILTER($A$2:$A$501,($D$2:$D$501&gt;=AU$7)*($D$2:$D$501&lt;AT$7)*($E$2:$E$501&gt;=$H92)*($E$2:$E$501&lt;$H91)," ")))</f>
        <v xml:space="preserve"> </v>
      </c>
      <c r="AU91" t="str" cm="1">
        <f t="array" ref="AU91">_xlfn.TEXTJOIN(",",TRUE,(_xlfn._xlws.FILTER($A$2:$A$501,($D$2:$D$501&gt;=AV$7)*($D$2:$D$501&lt;AU$7)*($E$2:$E$501&gt;=$H92)*($E$2:$E$501&lt;$H91)," ")))</f>
        <v xml:space="preserve"> </v>
      </c>
      <c r="AV91" t="str" cm="1">
        <f t="array" ref="AV91">_xlfn.TEXTJOIN(",",TRUE,(_xlfn._xlws.FILTER($A$2:$A$501,($D$2:$D$501&gt;=AW$7)*($D$2:$D$501&lt;AV$7)*($E$2:$E$501&gt;=$H92)*($E$2:$E$501&lt;$H91)," ")))</f>
        <v xml:space="preserve"> </v>
      </c>
      <c r="AW91" t="str" cm="1">
        <f t="array" ref="AW91">_xlfn.TEXTJOIN(",",TRUE,(_xlfn._xlws.FILTER($A$2:$A$501,($D$2:$D$501&gt;=AX$7)*($D$2:$D$501&lt;AW$7)*($E$2:$E$501&gt;=$H92)*($E$2:$E$501&lt;$H91)," ")))</f>
        <v xml:space="preserve"> </v>
      </c>
      <c r="AX91" t="str" cm="1">
        <f t="array" ref="AX91">_xlfn.TEXTJOIN(",",TRUE,(_xlfn._xlws.FILTER($A$2:$A$501,($D$2:$D$501&gt;=AY$7)*($D$2:$D$501&lt;AX$7)*($E$2:$E$501&gt;=$H92)*($E$2:$E$501&lt;$H91)," ")))</f>
        <v xml:space="preserve"> </v>
      </c>
      <c r="AY91" t="str" cm="1">
        <f t="array" ref="AY91">_xlfn.TEXTJOIN(",",TRUE,(_xlfn._xlws.FILTER($A$2:$A$501,($D$2:$D$501&gt;=AZ$7)*($D$2:$D$501&lt;AY$7)*($E$2:$E$501&gt;=$H92)*($E$2:$E$501&lt;$H91)," ")))</f>
        <v xml:space="preserve"> </v>
      </c>
      <c r="AZ91" t="str" cm="1">
        <f t="array" ref="AZ91">_xlfn.TEXTJOIN(",",TRUE,(_xlfn._xlws.FILTER($A$2:$A$501,($D$2:$D$501&gt;=BA$7)*($D$2:$D$501&lt;AZ$7)*($E$2:$E$501&gt;=$H92)*($E$2:$E$501&lt;$H91)," ")))</f>
        <v xml:space="preserve"> </v>
      </c>
      <c r="BA91" t="str" cm="1">
        <f t="array" ref="BA91">_xlfn.TEXTJOIN(",",TRUE,(_xlfn._xlws.FILTER($A$2:$A$501,($D$2:$D$501&gt;=BB$7)*($D$2:$D$501&lt;BA$7)*($E$2:$E$501&gt;=$H92)*($E$2:$E$501&lt;$H91)," ")))</f>
        <v xml:space="preserve"> </v>
      </c>
      <c r="BB91" t="str" cm="1">
        <f t="array" ref="BB91">_xlfn.TEXTJOIN(",",TRUE,(_xlfn._xlws.FILTER($A$2:$A$501,($D$2:$D$501&gt;=BC$7)*($D$2:$D$501&lt;BB$7)*($E$2:$E$501&gt;=$H92)*($E$2:$E$501&lt;$H91)," ")))</f>
        <v xml:space="preserve"> </v>
      </c>
    </row>
    <row r="92" spans="1:54" x14ac:dyDescent="0.2">
      <c r="A92" s="3" t="s">
        <v>46</v>
      </c>
      <c r="B92" s="3" t="s">
        <v>11</v>
      </c>
      <c r="C92" s="13">
        <v>1968281.03</v>
      </c>
      <c r="D92" s="15">
        <v>44620900.979999997</v>
      </c>
      <c r="E92" s="22">
        <f>TuitionRates3[[#This Row],[Tuition]]/D92</f>
        <v>4.4111189751238414E-2</v>
      </c>
      <c r="F92"/>
      <c r="H92" s="18">
        <v>6.5999999999999906E-2</v>
      </c>
      <c r="I92" t="str" cm="1">
        <f t="array" ref="I92">_xlfn.TEXTJOIN(",",TRUE,(_xlfn._xlws.FILTER($A$2:$A$501,($D$2:$D$501&gt;=J$7)*($D$2:$D$501&lt;I$7)*($E$2:$E$501&gt;=$H93)*($E$2:$E$501&lt;$H92)," ")))</f>
        <v xml:space="preserve"> </v>
      </c>
      <c r="J92" t="str" cm="1">
        <f t="array" ref="J92">_xlfn.TEXTJOIN(",",TRUE,(_xlfn._xlws.FILTER($A$2:$A$501,($D$2:$D$501&gt;=K$7)*($D$2:$D$501&lt;J$7)*($E$2:$E$501&gt;=$H93)*($E$2:$E$501&lt;$H92)," ")))</f>
        <v xml:space="preserve"> </v>
      </c>
      <c r="K92" t="str" cm="1">
        <f t="array" ref="K92">_xlfn.TEXTJOIN(",",TRUE,(_xlfn._xlws.FILTER($A$2:$A$501,($D$2:$D$501&gt;=L$7)*($D$2:$D$501&lt;K$7)*($E$2:$E$501&gt;=$H93)*($E$2:$E$501&lt;$H92)," ")))</f>
        <v xml:space="preserve"> </v>
      </c>
      <c r="L92" t="str" cm="1">
        <f t="array" ref="L92">_xlfn.TEXTJOIN(",",TRUE,(_xlfn._xlws.FILTER($A$2:$A$501,($D$2:$D$501&gt;=M$7)*($D$2:$D$501&lt;L$7)*($E$2:$E$501&gt;=$H93)*($E$2:$E$501&lt;$H92)," ")))</f>
        <v xml:space="preserve"> </v>
      </c>
      <c r="M92" t="str" cm="1">
        <f t="array" ref="M92">_xlfn.TEXTJOIN(",",TRUE,(_xlfn._xlws.FILTER($A$2:$A$501,($D$2:$D$501&gt;=N$7)*($D$2:$D$501&lt;M$7)*($E$2:$E$501&gt;=$H93)*($E$2:$E$501&lt;$H92)," ")))</f>
        <v xml:space="preserve"> </v>
      </c>
      <c r="N92" t="str" cm="1">
        <f t="array" ref="N92">_xlfn.TEXTJOIN(",",TRUE,(_xlfn._xlws.FILTER($A$2:$A$501,($D$2:$D$501&gt;=O$7)*($D$2:$D$501&lt;N$7)*($E$2:$E$501&gt;=$H93)*($E$2:$E$501&lt;$H92)," ")))</f>
        <v xml:space="preserve"> </v>
      </c>
      <c r="O92" t="str" cm="1">
        <f t="array" ref="O92">_xlfn.TEXTJOIN(",",TRUE,(_xlfn._xlws.FILTER($A$2:$A$501,($D$2:$D$501&gt;=P$7)*($D$2:$D$501&lt;O$7)*($E$2:$E$501&gt;=$H93)*($E$2:$E$501&lt;$H92)," ")))</f>
        <v xml:space="preserve"> </v>
      </c>
      <c r="P92" t="str" cm="1">
        <f t="array" ref="P92">_xlfn.TEXTJOIN(",",TRUE,(_xlfn._xlws.FILTER($A$2:$A$501,($D$2:$D$501&gt;=Q$7)*($D$2:$D$501&lt;P$7)*($E$2:$E$501&gt;=$H93)*($E$2:$E$501&lt;$H92)," ")))</f>
        <v xml:space="preserve"> </v>
      </c>
      <c r="Q92" t="str" cm="1">
        <f t="array" ref="Q92">_xlfn.TEXTJOIN(",",TRUE,(_xlfn._xlws.FILTER($A$2:$A$501,($D$2:$D$501&gt;=R$7)*($D$2:$D$501&lt;Q$7)*($E$2:$E$501&gt;=$H93)*($E$2:$E$501&lt;$H92)," ")))</f>
        <v xml:space="preserve"> </v>
      </c>
      <c r="R92" t="str" cm="1">
        <f t="array" ref="R92">_xlfn.TEXTJOIN(",",TRUE,(_xlfn._xlws.FILTER($A$2:$A$501,($D$2:$D$501&gt;=S$7)*($D$2:$D$501&lt;R$7)*($E$2:$E$501&gt;=$H93)*($E$2:$E$501&lt;$H92)," ")))</f>
        <v xml:space="preserve"> </v>
      </c>
      <c r="S92" t="str" cm="1">
        <f t="array" ref="S92">_xlfn.TEXTJOIN(",",TRUE,(_xlfn._xlws.FILTER($A$2:$A$501,($D$2:$D$501&gt;=T$7)*($D$2:$D$501&lt;S$7)*($E$2:$E$501&gt;=$H93)*($E$2:$E$501&lt;$H92)," ")))</f>
        <v xml:space="preserve"> </v>
      </c>
      <c r="T92" t="str" cm="1">
        <f t="array" ref="T92">_xlfn.TEXTJOIN(",",TRUE,(_xlfn._xlws.FILTER($A$2:$A$501,($D$2:$D$501&gt;=U$7)*($D$2:$D$501&lt;T$7)*($E$2:$E$501&gt;=$H93)*($E$2:$E$501&lt;$H92)," ")))</f>
        <v xml:space="preserve"> </v>
      </c>
      <c r="U92" t="str" cm="1">
        <f t="array" ref="U92">_xlfn.TEXTJOIN(",",TRUE,(_xlfn._xlws.FILTER($A$2:$A$501,($D$2:$D$501&gt;=V$7)*($D$2:$D$501&lt;U$7)*($E$2:$E$501&gt;=$H93)*($E$2:$E$501&lt;$H92)," ")))</f>
        <v xml:space="preserve"> </v>
      </c>
      <c r="V92" t="str" cm="1">
        <f t="array" ref="V92">_xlfn.TEXTJOIN(",",TRUE,(_xlfn._xlws.FILTER($A$2:$A$501,($D$2:$D$501&gt;=W$7)*($D$2:$D$501&lt;V$7)*($E$2:$E$501&gt;=$H93)*($E$2:$E$501&lt;$H92)," ")))</f>
        <v xml:space="preserve"> </v>
      </c>
      <c r="W92" t="str" cm="1">
        <f t="array" ref="W92">_xlfn.TEXTJOIN(",",TRUE,(_xlfn._xlws.FILTER($A$2:$A$501,($D$2:$D$501&gt;=X$7)*($D$2:$D$501&lt;W$7)*($E$2:$E$501&gt;=$H93)*($E$2:$E$501&lt;$H92)," ")))</f>
        <v xml:space="preserve"> </v>
      </c>
      <c r="X92" t="str" cm="1">
        <f t="array" ref="X92">_xlfn.TEXTJOIN(",",TRUE,(_xlfn._xlws.FILTER($A$2:$A$501,($D$2:$D$501&gt;=Y$7)*($D$2:$D$501&lt;X$7)*($E$2:$E$501&gt;=$H93)*($E$2:$E$501&lt;$H92)," ")))</f>
        <v xml:space="preserve"> </v>
      </c>
      <c r="Y92" t="str" cm="1">
        <f t="array" ref="Y92">_xlfn.TEXTJOIN(",",TRUE,(_xlfn._xlws.FILTER($A$2:$A$501,($D$2:$D$501&gt;=Z$7)*($D$2:$D$501&lt;Y$7)*($E$2:$E$501&gt;=$H93)*($E$2:$E$501&lt;$H92)," ")))</f>
        <v xml:space="preserve"> </v>
      </c>
      <c r="Z92" t="str" cm="1">
        <f t="array" ref="Z92">_xlfn.TEXTJOIN(",",TRUE,(_xlfn._xlws.FILTER($A$2:$A$501,($D$2:$D$501&gt;=AA$7)*($D$2:$D$501&lt;Z$7)*($E$2:$E$501&gt;=$H93)*($E$2:$E$501&lt;$H92)," ")))</f>
        <v xml:space="preserve"> </v>
      </c>
      <c r="AA92" t="str" cm="1">
        <f t="array" ref="AA92">_xlfn.TEXTJOIN(",",TRUE,(_xlfn._xlws.FILTER($A$2:$A$501,($D$2:$D$501&gt;=AB$7)*($D$2:$D$501&lt;AA$7)*($E$2:$E$501&gt;=$H93)*($E$2:$E$501&lt;$H92)," ")))</f>
        <v xml:space="preserve"> </v>
      </c>
      <c r="AB92" t="str" cm="1">
        <f t="array" ref="AB92">_xlfn.TEXTJOIN(",",TRUE,(_xlfn._xlws.FILTER($A$2:$A$501,($D$2:$D$501&gt;=AC$7)*($D$2:$D$501&lt;AB$7)*($E$2:$E$501&gt;=$H93)*($E$2:$E$501&lt;$H92)," ")))</f>
        <v xml:space="preserve"> </v>
      </c>
      <c r="AC92" t="str" cm="1">
        <f t="array" ref="AC92">_xlfn.TEXTJOIN(",",TRUE,(_xlfn._xlws.FILTER($A$2:$A$501,($D$2:$D$501&gt;=AD$7)*($D$2:$D$501&lt;AC$7)*($E$2:$E$501&gt;=$H93)*($E$2:$E$501&lt;$H92)," ")))</f>
        <v xml:space="preserve"> </v>
      </c>
      <c r="AD92" t="str" cm="1">
        <f t="array" ref="AD92">_xlfn.TEXTJOIN(",",TRUE,(_xlfn._xlws.FILTER($A$2:$A$501,($D$2:$D$501&gt;=AE$7)*($D$2:$D$501&lt;AD$7)*($E$2:$E$501&gt;=$H93)*($E$2:$E$501&lt;$H92)," ")))</f>
        <v xml:space="preserve"> </v>
      </c>
      <c r="AE92" t="str" cm="1">
        <f t="array" ref="AE92">_xlfn.TEXTJOIN(",",TRUE,(_xlfn._xlws.FILTER($A$2:$A$501,($D$2:$D$501&gt;=AF$7)*($D$2:$D$501&lt;AE$7)*($E$2:$E$501&gt;=$H93)*($E$2:$E$501&lt;$H92)," ")))</f>
        <v>Galeton Area SD</v>
      </c>
      <c r="AF92" t="str" cm="1">
        <f t="array" ref="AF92">_xlfn.TEXTJOIN(",",TRUE,(_xlfn._xlws.FILTER($A$2:$A$501,($D$2:$D$501&gt;=AG$7)*($D$2:$D$501&lt;AF$7)*($E$2:$E$501&gt;=$H93)*($E$2:$E$501&lt;$H92)," ")))</f>
        <v xml:space="preserve"> </v>
      </c>
      <c r="AG92" t="str" cm="1">
        <f t="array" ref="AG92">_xlfn.TEXTJOIN(",",TRUE,(_xlfn._xlws.FILTER($A$2:$A$501,($D$2:$D$501&gt;=AH$7)*($D$2:$D$501&lt;AG$7)*($E$2:$E$501&gt;=$H93)*($E$2:$E$501&lt;$H92)," ")))</f>
        <v xml:space="preserve"> </v>
      </c>
      <c r="AH92" t="str" cm="1">
        <f t="array" ref="AH92">_xlfn.TEXTJOIN(",",TRUE,(_xlfn._xlws.FILTER($A$2:$A$501,($D$2:$D$501&gt;=AI$7)*($D$2:$D$501&lt;AH$7)*($E$2:$E$501&gt;=$H93)*($E$2:$E$501&lt;$H92)," ")))</f>
        <v xml:space="preserve"> </v>
      </c>
      <c r="AI92" t="str" cm="1">
        <f t="array" ref="AI92">_xlfn.TEXTJOIN(",",TRUE,(_xlfn._xlws.FILTER($A$2:$A$501,($D$2:$D$501&gt;=AJ$7)*($D$2:$D$501&lt;AI$7)*($E$2:$E$501&gt;=$H93)*($E$2:$E$501&lt;$H92)," ")))</f>
        <v xml:space="preserve"> </v>
      </c>
      <c r="AJ92" t="str" cm="1">
        <f t="array" ref="AJ92">_xlfn.TEXTJOIN(",",TRUE,(_xlfn._xlws.FILTER($A$2:$A$501,($D$2:$D$501&gt;=AK$7)*($D$2:$D$501&lt;AJ$7)*($E$2:$E$501&gt;=$H93)*($E$2:$E$501&lt;$H92)," ")))</f>
        <v xml:space="preserve"> </v>
      </c>
      <c r="AK92" t="str" cm="1">
        <f t="array" ref="AK92">_xlfn.TEXTJOIN(",",TRUE,(_xlfn._xlws.FILTER($A$2:$A$501,($D$2:$D$501&gt;=AL$7)*($D$2:$D$501&lt;AK$7)*($E$2:$E$501&gt;=$H93)*($E$2:$E$501&lt;$H92)," ")))</f>
        <v xml:space="preserve"> </v>
      </c>
      <c r="AL92" t="str" cm="1">
        <f t="array" ref="AL92">_xlfn.TEXTJOIN(",",TRUE,(_xlfn._xlws.FILTER($A$2:$A$501,($D$2:$D$501&gt;=AM$7)*($D$2:$D$501&lt;AL$7)*($E$2:$E$501&gt;=$H93)*($E$2:$E$501&lt;$H92)," ")))</f>
        <v xml:space="preserve"> </v>
      </c>
      <c r="AM92" t="str" cm="1">
        <f t="array" ref="AM92">_xlfn.TEXTJOIN(",",TRUE,(_xlfn._xlws.FILTER($A$2:$A$501,($D$2:$D$501&gt;=AN$7)*($D$2:$D$501&lt;AM$7)*($E$2:$E$501&gt;=$H93)*($E$2:$E$501&lt;$H92)," ")))</f>
        <v xml:space="preserve"> </v>
      </c>
      <c r="AN92" t="str" cm="1">
        <f t="array" ref="AN92">_xlfn.TEXTJOIN(",",TRUE,(_xlfn._xlws.FILTER($A$2:$A$501,($D$2:$D$501&gt;=AO$7)*($D$2:$D$501&lt;AN$7)*($E$2:$E$501&gt;=$H93)*($E$2:$E$501&lt;$H92)," ")))</f>
        <v xml:space="preserve"> </v>
      </c>
      <c r="AO92" t="str" cm="1">
        <f t="array" ref="AO92">_xlfn.TEXTJOIN(",",TRUE,(_xlfn._xlws.FILTER($A$2:$A$501,($D$2:$D$501&gt;=AP$7)*($D$2:$D$501&lt;AO$7)*($E$2:$E$501&gt;=$H93)*($E$2:$E$501&lt;$H92)," ")))</f>
        <v xml:space="preserve"> </v>
      </c>
      <c r="AP92" t="str" cm="1">
        <f t="array" ref="AP92">_xlfn.TEXTJOIN(",",TRUE,(_xlfn._xlws.FILTER($A$2:$A$501,($D$2:$D$501&gt;=AQ$7)*($D$2:$D$501&lt;AP$7)*($E$2:$E$501&gt;=$H93)*($E$2:$E$501&lt;$H92)," ")))</f>
        <v xml:space="preserve"> </v>
      </c>
      <c r="AQ92" t="str" cm="1">
        <f t="array" ref="AQ92">_xlfn.TEXTJOIN(",",TRUE,(_xlfn._xlws.FILTER($A$2:$A$501,($D$2:$D$501&gt;=AR$7)*($D$2:$D$501&lt;AQ$7)*($E$2:$E$501&gt;=$H93)*($E$2:$E$501&lt;$H92)," ")))</f>
        <v xml:space="preserve"> </v>
      </c>
      <c r="AR92" t="str" cm="1">
        <f t="array" ref="AR92">_xlfn.TEXTJOIN(",",TRUE,(_xlfn._xlws.FILTER($A$2:$A$501,($D$2:$D$501&gt;=AS$7)*($D$2:$D$501&lt;AR$7)*($E$2:$E$501&gt;=$H93)*($E$2:$E$501&lt;$H92)," ")))</f>
        <v xml:space="preserve"> </v>
      </c>
      <c r="AS92" t="str" cm="1">
        <f t="array" ref="AS92">_xlfn.TEXTJOIN(",",TRUE,(_xlfn._xlws.FILTER($A$2:$A$501,($D$2:$D$501&gt;=AT$7)*($D$2:$D$501&lt;AS$7)*($E$2:$E$501&gt;=$H93)*($E$2:$E$501&lt;$H92)," ")))</f>
        <v xml:space="preserve"> </v>
      </c>
      <c r="AT92" t="str" cm="1">
        <f t="array" ref="AT92">_xlfn.TEXTJOIN(",",TRUE,(_xlfn._xlws.FILTER($A$2:$A$501,($D$2:$D$501&gt;=AU$7)*($D$2:$D$501&lt;AT$7)*($E$2:$E$501&gt;=$H93)*($E$2:$E$501&lt;$H92)," ")))</f>
        <v xml:space="preserve"> </v>
      </c>
      <c r="AU92" t="str" cm="1">
        <f t="array" ref="AU92">_xlfn.TEXTJOIN(",",TRUE,(_xlfn._xlws.FILTER($A$2:$A$501,($D$2:$D$501&gt;=AV$7)*($D$2:$D$501&lt;AU$7)*($E$2:$E$501&gt;=$H93)*($E$2:$E$501&lt;$H92)," ")))</f>
        <v xml:space="preserve"> </v>
      </c>
      <c r="AV92" t="str" cm="1">
        <f t="array" ref="AV92">_xlfn.TEXTJOIN(",",TRUE,(_xlfn._xlws.FILTER($A$2:$A$501,($D$2:$D$501&gt;=AW$7)*($D$2:$D$501&lt;AV$7)*($E$2:$E$501&gt;=$H93)*($E$2:$E$501&lt;$H92)," ")))</f>
        <v xml:space="preserve"> </v>
      </c>
      <c r="AW92" t="str" cm="1">
        <f t="array" ref="AW92">_xlfn.TEXTJOIN(",",TRUE,(_xlfn._xlws.FILTER($A$2:$A$501,($D$2:$D$501&gt;=AX$7)*($D$2:$D$501&lt;AW$7)*($E$2:$E$501&gt;=$H93)*($E$2:$E$501&lt;$H92)," ")))</f>
        <v xml:space="preserve"> </v>
      </c>
      <c r="AX92" t="str" cm="1">
        <f t="array" ref="AX92">_xlfn.TEXTJOIN(",",TRUE,(_xlfn._xlws.FILTER($A$2:$A$501,($D$2:$D$501&gt;=AY$7)*($D$2:$D$501&lt;AX$7)*($E$2:$E$501&gt;=$H93)*($E$2:$E$501&lt;$H92)," ")))</f>
        <v xml:space="preserve"> </v>
      </c>
      <c r="AY92" t="str" cm="1">
        <f t="array" ref="AY92">_xlfn.TEXTJOIN(",",TRUE,(_xlfn._xlws.FILTER($A$2:$A$501,($D$2:$D$501&gt;=AZ$7)*($D$2:$D$501&lt;AY$7)*($E$2:$E$501&gt;=$H93)*($E$2:$E$501&lt;$H92)," ")))</f>
        <v xml:space="preserve"> </v>
      </c>
      <c r="AZ92" t="str" cm="1">
        <f t="array" ref="AZ92">_xlfn.TEXTJOIN(",",TRUE,(_xlfn._xlws.FILTER($A$2:$A$501,($D$2:$D$501&gt;=BA$7)*($D$2:$D$501&lt;AZ$7)*($E$2:$E$501&gt;=$H93)*($E$2:$E$501&lt;$H92)," ")))</f>
        <v xml:space="preserve"> </v>
      </c>
      <c r="BA92" t="str" cm="1">
        <f t="array" ref="BA92">_xlfn.TEXTJOIN(",",TRUE,(_xlfn._xlws.FILTER($A$2:$A$501,($D$2:$D$501&gt;=BB$7)*($D$2:$D$501&lt;BA$7)*($E$2:$E$501&gt;=$H93)*($E$2:$E$501&lt;$H92)," ")))</f>
        <v xml:space="preserve"> </v>
      </c>
      <c r="BB92" t="str" cm="1">
        <f t="array" ref="BB92">_xlfn.TEXTJOIN(",",TRUE,(_xlfn._xlws.FILTER($A$2:$A$501,($D$2:$D$501&gt;=BC$7)*($D$2:$D$501&lt;BB$7)*($E$2:$E$501&gt;=$H93)*($E$2:$E$501&lt;$H92)," ")))</f>
        <v xml:space="preserve"> </v>
      </c>
    </row>
    <row r="93" spans="1:54" x14ac:dyDescent="0.2">
      <c r="A93" s="3" t="s">
        <v>53</v>
      </c>
      <c r="B93" s="3" t="s">
        <v>11</v>
      </c>
      <c r="C93" s="13">
        <v>4916201.6500000004</v>
      </c>
      <c r="D93" s="15">
        <v>111719789.66</v>
      </c>
      <c r="E93" s="22">
        <f>TuitionRates3[[#This Row],[Tuition]]/D93</f>
        <v>4.4004752112061937E-2</v>
      </c>
      <c r="F93"/>
      <c r="H93" s="18">
        <v>6.4999999999999905E-2</v>
      </c>
      <c r="I93" t="str" cm="1">
        <f t="array" ref="I93">_xlfn.TEXTJOIN(",",TRUE,(_xlfn._xlws.FILTER($A$2:$A$501,($D$2:$D$501&gt;=J$7)*($D$2:$D$501&lt;I$7)*($E$2:$E$501&gt;=$H94)*($E$2:$E$501&lt;$H93)," ")))</f>
        <v xml:space="preserve"> </v>
      </c>
      <c r="J93" t="str" cm="1">
        <f t="array" ref="J93">_xlfn.TEXTJOIN(",",TRUE,(_xlfn._xlws.FILTER($A$2:$A$501,($D$2:$D$501&gt;=K$7)*($D$2:$D$501&lt;J$7)*($E$2:$E$501&gt;=$H94)*($E$2:$E$501&lt;$H93)," ")))</f>
        <v xml:space="preserve"> </v>
      </c>
      <c r="K93" t="str" cm="1">
        <f t="array" ref="K93">_xlfn.TEXTJOIN(",",TRUE,(_xlfn._xlws.FILTER($A$2:$A$501,($D$2:$D$501&gt;=L$7)*($D$2:$D$501&lt;K$7)*($E$2:$E$501&gt;=$H94)*($E$2:$E$501&lt;$H93)," ")))</f>
        <v xml:space="preserve"> </v>
      </c>
      <c r="L93" t="str" cm="1">
        <f t="array" ref="L93">_xlfn.TEXTJOIN(",",TRUE,(_xlfn._xlws.FILTER($A$2:$A$501,($D$2:$D$501&gt;=M$7)*($D$2:$D$501&lt;L$7)*($E$2:$E$501&gt;=$H94)*($E$2:$E$501&lt;$H93)," ")))</f>
        <v xml:space="preserve"> </v>
      </c>
      <c r="M93" t="str" cm="1">
        <f t="array" ref="M93">_xlfn.TEXTJOIN(",",TRUE,(_xlfn._xlws.FILTER($A$2:$A$501,($D$2:$D$501&gt;=N$7)*($D$2:$D$501&lt;M$7)*($E$2:$E$501&gt;=$H94)*($E$2:$E$501&lt;$H93)," ")))</f>
        <v xml:space="preserve"> </v>
      </c>
      <c r="N93" t="str" cm="1">
        <f t="array" ref="N93">_xlfn.TEXTJOIN(",",TRUE,(_xlfn._xlws.FILTER($A$2:$A$501,($D$2:$D$501&gt;=O$7)*($D$2:$D$501&lt;N$7)*($E$2:$E$501&gt;=$H94)*($E$2:$E$501&lt;$H93)," ")))</f>
        <v xml:space="preserve"> </v>
      </c>
      <c r="O93" t="str" cm="1">
        <f t="array" ref="O93">_xlfn.TEXTJOIN(",",TRUE,(_xlfn._xlws.FILTER($A$2:$A$501,($D$2:$D$501&gt;=P$7)*($D$2:$D$501&lt;O$7)*($E$2:$E$501&gt;=$H94)*($E$2:$E$501&lt;$H93)," ")))</f>
        <v xml:space="preserve"> </v>
      </c>
      <c r="P93" t="str" cm="1">
        <f t="array" ref="P93">_xlfn.TEXTJOIN(",",TRUE,(_xlfn._xlws.FILTER($A$2:$A$501,($D$2:$D$501&gt;=Q$7)*($D$2:$D$501&lt;P$7)*($E$2:$E$501&gt;=$H94)*($E$2:$E$501&lt;$H93)," ")))</f>
        <v xml:space="preserve"> </v>
      </c>
      <c r="Q93" t="str" cm="1">
        <f t="array" ref="Q93">_xlfn.TEXTJOIN(",",TRUE,(_xlfn._xlws.FILTER($A$2:$A$501,($D$2:$D$501&gt;=R$7)*($D$2:$D$501&lt;Q$7)*($E$2:$E$501&gt;=$H94)*($E$2:$E$501&lt;$H93)," ")))</f>
        <v xml:space="preserve"> </v>
      </c>
      <c r="R93" t="str" cm="1">
        <f t="array" ref="R93">_xlfn.TEXTJOIN(",",TRUE,(_xlfn._xlws.FILTER($A$2:$A$501,($D$2:$D$501&gt;=S$7)*($D$2:$D$501&lt;R$7)*($E$2:$E$501&gt;=$H94)*($E$2:$E$501&lt;$H93)," ")))</f>
        <v xml:space="preserve"> </v>
      </c>
      <c r="S93" t="str" cm="1">
        <f t="array" ref="S93">_xlfn.TEXTJOIN(",",TRUE,(_xlfn._xlws.FILTER($A$2:$A$501,($D$2:$D$501&gt;=T$7)*($D$2:$D$501&lt;S$7)*($E$2:$E$501&gt;=$H94)*($E$2:$E$501&lt;$H93)," ")))</f>
        <v xml:space="preserve"> </v>
      </c>
      <c r="T93" t="str" cm="1">
        <f t="array" ref="T93">_xlfn.TEXTJOIN(",",TRUE,(_xlfn._xlws.FILTER($A$2:$A$501,($D$2:$D$501&gt;=U$7)*($D$2:$D$501&lt;T$7)*($E$2:$E$501&gt;=$H94)*($E$2:$E$501&lt;$H93)," ")))</f>
        <v xml:space="preserve"> </v>
      </c>
      <c r="U93" t="str" cm="1">
        <f t="array" ref="U93">_xlfn.TEXTJOIN(",",TRUE,(_xlfn._xlws.FILTER($A$2:$A$501,($D$2:$D$501&gt;=V$7)*($D$2:$D$501&lt;U$7)*($E$2:$E$501&gt;=$H94)*($E$2:$E$501&lt;$H93)," ")))</f>
        <v xml:space="preserve"> </v>
      </c>
      <c r="V93" t="str" cm="1">
        <f t="array" ref="V93">_xlfn.TEXTJOIN(",",TRUE,(_xlfn._xlws.FILTER($A$2:$A$501,($D$2:$D$501&gt;=W$7)*($D$2:$D$501&lt;V$7)*($E$2:$E$501&gt;=$H94)*($E$2:$E$501&lt;$H93)," ")))</f>
        <v xml:space="preserve"> </v>
      </c>
      <c r="W93" t="str" cm="1">
        <f t="array" ref="W93">_xlfn.TEXTJOIN(",",TRUE,(_xlfn._xlws.FILTER($A$2:$A$501,($D$2:$D$501&gt;=X$7)*($D$2:$D$501&lt;W$7)*($E$2:$E$501&gt;=$H94)*($E$2:$E$501&lt;$H93)," ")))</f>
        <v xml:space="preserve"> </v>
      </c>
      <c r="X93" t="str" cm="1">
        <f t="array" ref="X93">_xlfn.TEXTJOIN(",",TRUE,(_xlfn._xlws.FILTER($A$2:$A$501,($D$2:$D$501&gt;=Y$7)*($D$2:$D$501&lt;X$7)*($E$2:$E$501&gt;=$H94)*($E$2:$E$501&lt;$H93)," ")))</f>
        <v xml:space="preserve"> </v>
      </c>
      <c r="Y93" t="str" cm="1">
        <f t="array" ref="Y93">_xlfn.TEXTJOIN(",",TRUE,(_xlfn._xlws.FILTER($A$2:$A$501,($D$2:$D$501&gt;=Z$7)*($D$2:$D$501&lt;Y$7)*($E$2:$E$501&gt;=$H94)*($E$2:$E$501&lt;$H93)," ")))</f>
        <v xml:space="preserve"> </v>
      </c>
      <c r="Z93" t="str" cm="1">
        <f t="array" ref="Z93">_xlfn.TEXTJOIN(",",TRUE,(_xlfn._xlws.FILTER($A$2:$A$501,($D$2:$D$501&gt;=AA$7)*($D$2:$D$501&lt;Z$7)*($E$2:$E$501&gt;=$H94)*($E$2:$E$501&lt;$H93)," ")))</f>
        <v xml:space="preserve"> </v>
      </c>
      <c r="AA93" t="str" cm="1">
        <f t="array" ref="AA93">_xlfn.TEXTJOIN(",",TRUE,(_xlfn._xlws.FILTER($A$2:$A$501,($D$2:$D$501&gt;=AB$7)*($D$2:$D$501&lt;AA$7)*($E$2:$E$501&gt;=$H94)*($E$2:$E$501&lt;$H93)," ")))</f>
        <v>East Pennsboro Area SD</v>
      </c>
      <c r="AB93" t="str" cm="1">
        <f t="array" ref="AB93">_xlfn.TEXTJOIN(",",TRUE,(_xlfn._xlws.FILTER($A$2:$A$501,($D$2:$D$501&gt;=AC$7)*($D$2:$D$501&lt;AB$7)*($E$2:$E$501&gt;=$H94)*($E$2:$E$501&lt;$H93)," ")))</f>
        <v xml:space="preserve"> </v>
      </c>
      <c r="AC93" t="str" cm="1">
        <f t="array" ref="AC93">_xlfn.TEXTJOIN(",",TRUE,(_xlfn._xlws.FILTER($A$2:$A$501,($D$2:$D$501&gt;=AD$7)*($D$2:$D$501&lt;AC$7)*($E$2:$E$501&gt;=$H94)*($E$2:$E$501&lt;$H93)," ")))</f>
        <v xml:space="preserve"> </v>
      </c>
      <c r="AD93" t="str" cm="1">
        <f t="array" ref="AD93">_xlfn.TEXTJOIN(",",TRUE,(_xlfn._xlws.FILTER($A$2:$A$501,($D$2:$D$501&gt;=AE$7)*($D$2:$D$501&lt;AD$7)*($E$2:$E$501&gt;=$H94)*($E$2:$E$501&lt;$H93)," ")))</f>
        <v>Sullivan County SD</v>
      </c>
      <c r="AE93" t="str" cm="1">
        <f t="array" ref="AE93">_xlfn.TEXTJOIN(",",TRUE,(_xlfn._xlws.FILTER($A$2:$A$501,($D$2:$D$501&gt;=AF$7)*($D$2:$D$501&lt;AE$7)*($E$2:$E$501&gt;=$H94)*($E$2:$E$501&lt;$H93)," ")))</f>
        <v xml:space="preserve"> </v>
      </c>
      <c r="AF93" t="str" cm="1">
        <f t="array" ref="AF93">_xlfn.TEXTJOIN(",",TRUE,(_xlfn._xlws.FILTER($A$2:$A$501,($D$2:$D$501&gt;=AG$7)*($D$2:$D$501&lt;AF$7)*($E$2:$E$501&gt;=$H94)*($E$2:$E$501&lt;$H93)," ")))</f>
        <v xml:space="preserve"> </v>
      </c>
      <c r="AG93" t="str" cm="1">
        <f t="array" ref="AG93">_xlfn.TEXTJOIN(",",TRUE,(_xlfn._xlws.FILTER($A$2:$A$501,($D$2:$D$501&gt;=AH$7)*($D$2:$D$501&lt;AG$7)*($E$2:$E$501&gt;=$H94)*($E$2:$E$501&lt;$H93)," ")))</f>
        <v xml:space="preserve"> </v>
      </c>
      <c r="AH93" t="str" cm="1">
        <f t="array" ref="AH93">_xlfn.TEXTJOIN(",",TRUE,(_xlfn._xlws.FILTER($A$2:$A$501,($D$2:$D$501&gt;=AI$7)*($D$2:$D$501&lt;AH$7)*($E$2:$E$501&gt;=$H94)*($E$2:$E$501&lt;$H93)," ")))</f>
        <v xml:space="preserve"> </v>
      </c>
      <c r="AI93" t="str" cm="1">
        <f t="array" ref="AI93">_xlfn.TEXTJOIN(",",TRUE,(_xlfn._xlws.FILTER($A$2:$A$501,($D$2:$D$501&gt;=AJ$7)*($D$2:$D$501&lt;AI$7)*($E$2:$E$501&gt;=$H94)*($E$2:$E$501&lt;$H93)," ")))</f>
        <v xml:space="preserve"> </v>
      </c>
      <c r="AJ93" t="str" cm="1">
        <f t="array" ref="AJ93">_xlfn.TEXTJOIN(",",TRUE,(_xlfn._xlws.FILTER($A$2:$A$501,($D$2:$D$501&gt;=AK$7)*($D$2:$D$501&lt;AJ$7)*($E$2:$E$501&gt;=$H94)*($E$2:$E$501&lt;$H93)," ")))</f>
        <v xml:space="preserve"> </v>
      </c>
      <c r="AK93" t="str" cm="1">
        <f t="array" ref="AK93">_xlfn.TEXTJOIN(",",TRUE,(_xlfn._xlws.FILTER($A$2:$A$501,($D$2:$D$501&gt;=AL$7)*($D$2:$D$501&lt;AK$7)*($E$2:$E$501&gt;=$H94)*($E$2:$E$501&lt;$H93)," ")))</f>
        <v xml:space="preserve"> </v>
      </c>
      <c r="AL93" t="str" cm="1">
        <f t="array" ref="AL93">_xlfn.TEXTJOIN(",",TRUE,(_xlfn._xlws.FILTER($A$2:$A$501,($D$2:$D$501&gt;=AM$7)*($D$2:$D$501&lt;AL$7)*($E$2:$E$501&gt;=$H94)*($E$2:$E$501&lt;$H93)," ")))</f>
        <v xml:space="preserve"> </v>
      </c>
      <c r="AM93" t="str" cm="1">
        <f t="array" ref="AM93">_xlfn.TEXTJOIN(",",TRUE,(_xlfn._xlws.FILTER($A$2:$A$501,($D$2:$D$501&gt;=AN$7)*($D$2:$D$501&lt;AM$7)*($E$2:$E$501&gt;=$H94)*($E$2:$E$501&lt;$H93)," ")))</f>
        <v xml:space="preserve"> </v>
      </c>
      <c r="AN93" t="str" cm="1">
        <f t="array" ref="AN93">_xlfn.TEXTJOIN(",",TRUE,(_xlfn._xlws.FILTER($A$2:$A$501,($D$2:$D$501&gt;=AO$7)*($D$2:$D$501&lt;AN$7)*($E$2:$E$501&gt;=$H94)*($E$2:$E$501&lt;$H93)," ")))</f>
        <v xml:space="preserve"> </v>
      </c>
      <c r="AO93" t="str" cm="1">
        <f t="array" ref="AO93">_xlfn.TEXTJOIN(",",TRUE,(_xlfn._xlws.FILTER($A$2:$A$501,($D$2:$D$501&gt;=AP$7)*($D$2:$D$501&lt;AO$7)*($E$2:$E$501&gt;=$H94)*($E$2:$E$501&lt;$H93)," ")))</f>
        <v xml:space="preserve"> </v>
      </c>
      <c r="AP93" t="str" cm="1">
        <f t="array" ref="AP93">_xlfn.TEXTJOIN(",",TRUE,(_xlfn._xlws.FILTER($A$2:$A$501,($D$2:$D$501&gt;=AQ$7)*($D$2:$D$501&lt;AP$7)*($E$2:$E$501&gt;=$H94)*($E$2:$E$501&lt;$H93)," ")))</f>
        <v xml:space="preserve"> </v>
      </c>
      <c r="AQ93" t="str" cm="1">
        <f t="array" ref="AQ93">_xlfn.TEXTJOIN(",",TRUE,(_xlfn._xlws.FILTER($A$2:$A$501,($D$2:$D$501&gt;=AR$7)*($D$2:$D$501&lt;AQ$7)*($E$2:$E$501&gt;=$H94)*($E$2:$E$501&lt;$H93)," ")))</f>
        <v xml:space="preserve"> </v>
      </c>
      <c r="AR93" t="str" cm="1">
        <f t="array" ref="AR93">_xlfn.TEXTJOIN(",",TRUE,(_xlfn._xlws.FILTER($A$2:$A$501,($D$2:$D$501&gt;=AS$7)*($D$2:$D$501&lt;AR$7)*($E$2:$E$501&gt;=$H94)*($E$2:$E$501&lt;$H93)," ")))</f>
        <v xml:space="preserve"> </v>
      </c>
      <c r="AS93" t="str" cm="1">
        <f t="array" ref="AS93">_xlfn.TEXTJOIN(",",TRUE,(_xlfn._xlws.FILTER($A$2:$A$501,($D$2:$D$501&gt;=AT$7)*($D$2:$D$501&lt;AS$7)*($E$2:$E$501&gt;=$H94)*($E$2:$E$501&lt;$H93)," ")))</f>
        <v xml:space="preserve"> </v>
      </c>
      <c r="AT93" t="str" cm="1">
        <f t="array" ref="AT93">_xlfn.TEXTJOIN(",",TRUE,(_xlfn._xlws.FILTER($A$2:$A$501,($D$2:$D$501&gt;=AU$7)*($D$2:$D$501&lt;AT$7)*($E$2:$E$501&gt;=$H94)*($E$2:$E$501&lt;$H93)," ")))</f>
        <v xml:space="preserve"> </v>
      </c>
      <c r="AU93" t="str" cm="1">
        <f t="array" ref="AU93">_xlfn.TEXTJOIN(",",TRUE,(_xlfn._xlws.FILTER($A$2:$A$501,($D$2:$D$501&gt;=AV$7)*($D$2:$D$501&lt;AU$7)*($E$2:$E$501&gt;=$H94)*($E$2:$E$501&lt;$H93)," ")))</f>
        <v xml:space="preserve"> </v>
      </c>
      <c r="AV93" t="str" cm="1">
        <f t="array" ref="AV93">_xlfn.TEXTJOIN(",",TRUE,(_xlfn._xlws.FILTER($A$2:$A$501,($D$2:$D$501&gt;=AW$7)*($D$2:$D$501&lt;AV$7)*($E$2:$E$501&gt;=$H94)*($E$2:$E$501&lt;$H93)," ")))</f>
        <v xml:space="preserve"> </v>
      </c>
      <c r="AW93" t="str" cm="1">
        <f t="array" ref="AW93">_xlfn.TEXTJOIN(",",TRUE,(_xlfn._xlws.FILTER($A$2:$A$501,($D$2:$D$501&gt;=AX$7)*($D$2:$D$501&lt;AW$7)*($E$2:$E$501&gt;=$H94)*($E$2:$E$501&lt;$H93)," ")))</f>
        <v xml:space="preserve"> </v>
      </c>
      <c r="AX93" t="str" cm="1">
        <f t="array" ref="AX93">_xlfn.TEXTJOIN(",",TRUE,(_xlfn._xlws.FILTER($A$2:$A$501,($D$2:$D$501&gt;=AY$7)*($D$2:$D$501&lt;AX$7)*($E$2:$E$501&gt;=$H94)*($E$2:$E$501&lt;$H93)," ")))</f>
        <v xml:space="preserve"> </v>
      </c>
      <c r="AY93" t="str" cm="1">
        <f t="array" ref="AY93">_xlfn.TEXTJOIN(",",TRUE,(_xlfn._xlws.FILTER($A$2:$A$501,($D$2:$D$501&gt;=AZ$7)*($D$2:$D$501&lt;AY$7)*($E$2:$E$501&gt;=$H94)*($E$2:$E$501&lt;$H93)," ")))</f>
        <v xml:space="preserve"> </v>
      </c>
      <c r="AZ93" t="str" cm="1">
        <f t="array" ref="AZ93">_xlfn.TEXTJOIN(",",TRUE,(_xlfn._xlws.FILTER($A$2:$A$501,($D$2:$D$501&gt;=BA$7)*($D$2:$D$501&lt;AZ$7)*($E$2:$E$501&gt;=$H94)*($E$2:$E$501&lt;$H93)," ")))</f>
        <v xml:space="preserve"> </v>
      </c>
      <c r="BA93" t="str" cm="1">
        <f t="array" ref="BA93">_xlfn.TEXTJOIN(",",TRUE,(_xlfn._xlws.FILTER($A$2:$A$501,($D$2:$D$501&gt;=BB$7)*($D$2:$D$501&lt;BA$7)*($E$2:$E$501&gt;=$H94)*($E$2:$E$501&lt;$H93)," ")))</f>
        <v xml:space="preserve"> </v>
      </c>
      <c r="BB93" t="str" cm="1">
        <f t="array" ref="BB93">_xlfn.TEXTJOIN(",",TRUE,(_xlfn._xlws.FILTER($A$2:$A$501,($D$2:$D$501&gt;=BC$7)*($D$2:$D$501&lt;BB$7)*($E$2:$E$501&gt;=$H94)*($E$2:$E$501&lt;$H93)," ")))</f>
        <v xml:space="preserve"> </v>
      </c>
    </row>
    <row r="94" spans="1:54" x14ac:dyDescent="0.2">
      <c r="A94" s="3" t="s">
        <v>218</v>
      </c>
      <c r="B94" s="3" t="s">
        <v>216</v>
      </c>
      <c r="C94" s="13">
        <v>984563.29</v>
      </c>
      <c r="D94" s="15">
        <v>22408291.34</v>
      </c>
      <c r="E94" s="22">
        <f>TuitionRates3[[#This Row],[Tuition]]/D94</f>
        <v>4.3937454893872331E-2</v>
      </c>
      <c r="F94"/>
      <c r="H94" s="18">
        <v>6.3999999999999904E-2</v>
      </c>
      <c r="I94" t="str" cm="1">
        <f t="array" ref="I94">_xlfn.TEXTJOIN(",",TRUE,(_xlfn._xlws.FILTER($A$2:$A$501,($D$2:$D$501&gt;=J$7)*($D$2:$D$501&lt;I$7)*($E$2:$E$501&gt;=$H95)*($E$2:$E$501&lt;$H94)," ")))</f>
        <v xml:space="preserve"> </v>
      </c>
      <c r="J94" t="str" cm="1">
        <f t="array" ref="J94">_xlfn.TEXTJOIN(",",TRUE,(_xlfn._xlws.FILTER($A$2:$A$501,($D$2:$D$501&gt;=K$7)*($D$2:$D$501&lt;J$7)*($E$2:$E$501&gt;=$H95)*($E$2:$E$501&lt;$H94)," ")))</f>
        <v xml:space="preserve"> </v>
      </c>
      <c r="K94" t="str" cm="1">
        <f t="array" ref="K94">_xlfn.TEXTJOIN(",",TRUE,(_xlfn._xlws.FILTER($A$2:$A$501,($D$2:$D$501&gt;=L$7)*($D$2:$D$501&lt;K$7)*($E$2:$E$501&gt;=$H95)*($E$2:$E$501&lt;$H94)," ")))</f>
        <v xml:space="preserve"> </v>
      </c>
      <c r="L94" t="str" cm="1">
        <f t="array" ref="L94">_xlfn.TEXTJOIN(",",TRUE,(_xlfn._xlws.FILTER($A$2:$A$501,($D$2:$D$501&gt;=M$7)*($D$2:$D$501&lt;L$7)*($E$2:$E$501&gt;=$H95)*($E$2:$E$501&lt;$H94)," ")))</f>
        <v xml:space="preserve"> </v>
      </c>
      <c r="M94" t="str" cm="1">
        <f t="array" ref="M94">_xlfn.TEXTJOIN(",",TRUE,(_xlfn._xlws.FILTER($A$2:$A$501,($D$2:$D$501&gt;=N$7)*($D$2:$D$501&lt;M$7)*($E$2:$E$501&gt;=$H95)*($E$2:$E$501&lt;$H94)," ")))</f>
        <v xml:space="preserve"> </v>
      </c>
      <c r="N94" t="str" cm="1">
        <f t="array" ref="N94">_xlfn.TEXTJOIN(",",TRUE,(_xlfn._xlws.FILTER($A$2:$A$501,($D$2:$D$501&gt;=O$7)*($D$2:$D$501&lt;N$7)*($E$2:$E$501&gt;=$H95)*($E$2:$E$501&lt;$H94)," ")))</f>
        <v xml:space="preserve"> </v>
      </c>
      <c r="O94" t="str" cm="1">
        <f t="array" ref="O94">_xlfn.TEXTJOIN(",",TRUE,(_xlfn._xlws.FILTER($A$2:$A$501,($D$2:$D$501&gt;=P$7)*($D$2:$D$501&lt;O$7)*($E$2:$E$501&gt;=$H95)*($E$2:$E$501&lt;$H94)," ")))</f>
        <v xml:space="preserve"> </v>
      </c>
      <c r="P94" t="str" cm="1">
        <f t="array" ref="P94">_xlfn.TEXTJOIN(",",TRUE,(_xlfn._xlws.FILTER($A$2:$A$501,($D$2:$D$501&gt;=Q$7)*($D$2:$D$501&lt;P$7)*($E$2:$E$501&gt;=$H95)*($E$2:$E$501&lt;$H94)," ")))</f>
        <v xml:space="preserve"> </v>
      </c>
      <c r="Q94" t="str" cm="1">
        <f t="array" ref="Q94">_xlfn.TEXTJOIN(",",TRUE,(_xlfn._xlws.FILTER($A$2:$A$501,($D$2:$D$501&gt;=R$7)*($D$2:$D$501&lt;Q$7)*($E$2:$E$501&gt;=$H95)*($E$2:$E$501&lt;$H94)," ")))</f>
        <v xml:space="preserve"> </v>
      </c>
      <c r="R94" t="str" cm="1">
        <f t="array" ref="R94">_xlfn.TEXTJOIN(",",TRUE,(_xlfn._xlws.FILTER($A$2:$A$501,($D$2:$D$501&gt;=S$7)*($D$2:$D$501&lt;R$7)*($E$2:$E$501&gt;=$H95)*($E$2:$E$501&lt;$H94)," ")))</f>
        <v xml:space="preserve"> </v>
      </c>
      <c r="S94" t="str" cm="1">
        <f t="array" ref="S94">_xlfn.TEXTJOIN(",",TRUE,(_xlfn._xlws.FILTER($A$2:$A$501,($D$2:$D$501&gt;=T$7)*($D$2:$D$501&lt;S$7)*($E$2:$E$501&gt;=$H95)*($E$2:$E$501&lt;$H94)," ")))</f>
        <v xml:space="preserve"> </v>
      </c>
      <c r="T94" t="str" cm="1">
        <f t="array" ref="T94">_xlfn.TEXTJOIN(",",TRUE,(_xlfn._xlws.FILTER($A$2:$A$501,($D$2:$D$501&gt;=U$7)*($D$2:$D$501&lt;T$7)*($E$2:$E$501&gt;=$H95)*($E$2:$E$501&lt;$H94)," ")))</f>
        <v xml:space="preserve"> </v>
      </c>
      <c r="U94" t="str" cm="1">
        <f t="array" ref="U94">_xlfn.TEXTJOIN(",",TRUE,(_xlfn._xlws.FILTER($A$2:$A$501,($D$2:$D$501&gt;=V$7)*($D$2:$D$501&lt;U$7)*($E$2:$E$501&gt;=$H95)*($E$2:$E$501&lt;$H94)," ")))</f>
        <v xml:space="preserve"> </v>
      </c>
      <c r="V94" t="str" cm="1">
        <f t="array" ref="V94">_xlfn.TEXTJOIN(",",TRUE,(_xlfn._xlws.FILTER($A$2:$A$501,($D$2:$D$501&gt;=W$7)*($D$2:$D$501&lt;V$7)*($E$2:$E$501&gt;=$H95)*($E$2:$E$501&lt;$H94)," ")))</f>
        <v xml:space="preserve"> </v>
      </c>
      <c r="W94" t="str" cm="1">
        <f t="array" ref="W94">_xlfn.TEXTJOIN(",",TRUE,(_xlfn._xlws.FILTER($A$2:$A$501,($D$2:$D$501&gt;=X$7)*($D$2:$D$501&lt;W$7)*($E$2:$E$501&gt;=$H95)*($E$2:$E$501&lt;$H94)," ")))</f>
        <v xml:space="preserve"> </v>
      </c>
      <c r="X94" t="str" cm="1">
        <f t="array" ref="X94">_xlfn.TEXTJOIN(",",TRUE,(_xlfn._xlws.FILTER($A$2:$A$501,($D$2:$D$501&gt;=Y$7)*($D$2:$D$501&lt;X$7)*($E$2:$E$501&gt;=$H95)*($E$2:$E$501&lt;$H94)," ")))</f>
        <v xml:space="preserve"> </v>
      </c>
      <c r="Y94" t="str" cm="1">
        <f t="array" ref="Y94">_xlfn.TEXTJOIN(",",TRUE,(_xlfn._xlws.FILTER($A$2:$A$501,($D$2:$D$501&gt;=Z$7)*($D$2:$D$501&lt;Y$7)*($E$2:$E$501&gt;=$H95)*($E$2:$E$501&lt;$H94)," ")))</f>
        <v xml:space="preserve"> </v>
      </c>
      <c r="Z94" t="str" cm="1">
        <f t="array" ref="Z94">_xlfn.TEXTJOIN(",",TRUE,(_xlfn._xlws.FILTER($A$2:$A$501,($D$2:$D$501&gt;=AA$7)*($D$2:$D$501&lt;Z$7)*($E$2:$E$501&gt;=$H95)*($E$2:$E$501&lt;$H94)," ")))</f>
        <v>Uniontown Area SD</v>
      </c>
      <c r="AA94" t="str" cm="1">
        <f t="array" ref="AA94">_xlfn.TEXTJOIN(",",TRUE,(_xlfn._xlws.FILTER($A$2:$A$501,($D$2:$D$501&gt;=AB$7)*($D$2:$D$501&lt;AA$7)*($E$2:$E$501&gt;=$H95)*($E$2:$E$501&lt;$H94)," ")))</f>
        <v xml:space="preserve"> </v>
      </c>
      <c r="AB94" t="str" cm="1">
        <f t="array" ref="AB94">_xlfn.TEXTJOIN(",",TRUE,(_xlfn._xlws.FILTER($A$2:$A$501,($D$2:$D$501&gt;=AC$7)*($D$2:$D$501&lt;AB$7)*($E$2:$E$501&gt;=$H95)*($E$2:$E$501&lt;$H94)," ")))</f>
        <v xml:space="preserve"> </v>
      </c>
      <c r="AC94" t="str" cm="1">
        <f t="array" ref="AC94">_xlfn.TEXTJOIN(",",TRUE,(_xlfn._xlws.FILTER($A$2:$A$501,($D$2:$D$501&gt;=AD$7)*($D$2:$D$501&lt;AC$7)*($E$2:$E$501&gt;=$H95)*($E$2:$E$501&lt;$H94)," ")))</f>
        <v xml:space="preserve"> </v>
      </c>
      <c r="AD94" t="str" cm="1">
        <f t="array" ref="AD94">_xlfn.TEXTJOIN(",",TRUE,(_xlfn._xlws.FILTER($A$2:$A$501,($D$2:$D$501&gt;=AE$7)*($D$2:$D$501&lt;AD$7)*($E$2:$E$501&gt;=$H95)*($E$2:$E$501&lt;$H94)," ")))</f>
        <v xml:space="preserve"> </v>
      </c>
      <c r="AE94" t="str" cm="1">
        <f t="array" ref="AE94">_xlfn.TEXTJOIN(",",TRUE,(_xlfn._xlws.FILTER($A$2:$A$501,($D$2:$D$501&gt;=AF$7)*($D$2:$D$501&lt;AE$7)*($E$2:$E$501&gt;=$H95)*($E$2:$E$501&lt;$H94)," ")))</f>
        <v xml:space="preserve"> </v>
      </c>
      <c r="AF94" t="str" cm="1">
        <f t="array" ref="AF94">_xlfn.TEXTJOIN(",",TRUE,(_xlfn._xlws.FILTER($A$2:$A$501,($D$2:$D$501&gt;=AG$7)*($D$2:$D$501&lt;AF$7)*($E$2:$E$501&gt;=$H95)*($E$2:$E$501&lt;$H94)," ")))</f>
        <v xml:space="preserve"> </v>
      </c>
      <c r="AG94" t="str" cm="1">
        <f t="array" ref="AG94">_xlfn.TEXTJOIN(",",TRUE,(_xlfn._xlws.FILTER($A$2:$A$501,($D$2:$D$501&gt;=AH$7)*($D$2:$D$501&lt;AG$7)*($E$2:$E$501&gt;=$H95)*($E$2:$E$501&lt;$H94)," ")))</f>
        <v xml:space="preserve"> </v>
      </c>
      <c r="AH94" t="str" cm="1">
        <f t="array" ref="AH94">_xlfn.TEXTJOIN(",",TRUE,(_xlfn._xlws.FILTER($A$2:$A$501,($D$2:$D$501&gt;=AI$7)*($D$2:$D$501&lt;AH$7)*($E$2:$E$501&gt;=$H95)*($E$2:$E$501&lt;$H94)," ")))</f>
        <v xml:space="preserve"> </v>
      </c>
      <c r="AI94" t="str" cm="1">
        <f t="array" ref="AI94">_xlfn.TEXTJOIN(",",TRUE,(_xlfn._xlws.FILTER($A$2:$A$501,($D$2:$D$501&gt;=AJ$7)*($D$2:$D$501&lt;AI$7)*($E$2:$E$501&gt;=$H95)*($E$2:$E$501&lt;$H94)," ")))</f>
        <v xml:space="preserve"> </v>
      </c>
      <c r="AJ94" t="str" cm="1">
        <f t="array" ref="AJ94">_xlfn.TEXTJOIN(",",TRUE,(_xlfn._xlws.FILTER($A$2:$A$501,($D$2:$D$501&gt;=AK$7)*($D$2:$D$501&lt;AJ$7)*($E$2:$E$501&gt;=$H95)*($E$2:$E$501&lt;$H94)," ")))</f>
        <v xml:space="preserve"> </v>
      </c>
      <c r="AK94" t="str" cm="1">
        <f t="array" ref="AK94">_xlfn.TEXTJOIN(",",TRUE,(_xlfn._xlws.FILTER($A$2:$A$501,($D$2:$D$501&gt;=AL$7)*($D$2:$D$501&lt;AK$7)*($E$2:$E$501&gt;=$H95)*($E$2:$E$501&lt;$H94)," ")))</f>
        <v xml:space="preserve"> </v>
      </c>
      <c r="AL94" t="str" cm="1">
        <f t="array" ref="AL94">_xlfn.TEXTJOIN(",",TRUE,(_xlfn._xlws.FILTER($A$2:$A$501,($D$2:$D$501&gt;=AM$7)*($D$2:$D$501&lt;AL$7)*($E$2:$E$501&gt;=$H95)*($E$2:$E$501&lt;$H94)," ")))</f>
        <v xml:space="preserve"> </v>
      </c>
      <c r="AM94" t="str" cm="1">
        <f t="array" ref="AM94">_xlfn.TEXTJOIN(",",TRUE,(_xlfn._xlws.FILTER($A$2:$A$501,($D$2:$D$501&gt;=AN$7)*($D$2:$D$501&lt;AM$7)*($E$2:$E$501&gt;=$H95)*($E$2:$E$501&lt;$H94)," ")))</f>
        <v xml:space="preserve"> </v>
      </c>
      <c r="AN94" t="str" cm="1">
        <f t="array" ref="AN94">_xlfn.TEXTJOIN(",",TRUE,(_xlfn._xlws.FILTER($A$2:$A$501,($D$2:$D$501&gt;=AO$7)*($D$2:$D$501&lt;AN$7)*($E$2:$E$501&gt;=$H95)*($E$2:$E$501&lt;$H94)," ")))</f>
        <v xml:space="preserve"> </v>
      </c>
      <c r="AO94" t="str" cm="1">
        <f t="array" ref="AO94">_xlfn.TEXTJOIN(",",TRUE,(_xlfn._xlws.FILTER($A$2:$A$501,($D$2:$D$501&gt;=AP$7)*($D$2:$D$501&lt;AO$7)*($E$2:$E$501&gt;=$H95)*($E$2:$E$501&lt;$H94)," ")))</f>
        <v xml:space="preserve"> </v>
      </c>
      <c r="AP94" t="str" cm="1">
        <f t="array" ref="AP94">_xlfn.TEXTJOIN(",",TRUE,(_xlfn._xlws.FILTER($A$2:$A$501,($D$2:$D$501&gt;=AQ$7)*($D$2:$D$501&lt;AP$7)*($E$2:$E$501&gt;=$H95)*($E$2:$E$501&lt;$H94)," ")))</f>
        <v xml:space="preserve"> </v>
      </c>
      <c r="AQ94" t="str" cm="1">
        <f t="array" ref="AQ94">_xlfn.TEXTJOIN(",",TRUE,(_xlfn._xlws.FILTER($A$2:$A$501,($D$2:$D$501&gt;=AR$7)*($D$2:$D$501&lt;AQ$7)*($E$2:$E$501&gt;=$H95)*($E$2:$E$501&lt;$H94)," ")))</f>
        <v xml:space="preserve"> </v>
      </c>
      <c r="AR94" t="str" cm="1">
        <f t="array" ref="AR94">_xlfn.TEXTJOIN(",",TRUE,(_xlfn._xlws.FILTER($A$2:$A$501,($D$2:$D$501&gt;=AS$7)*($D$2:$D$501&lt;AR$7)*($E$2:$E$501&gt;=$H95)*($E$2:$E$501&lt;$H94)," ")))</f>
        <v xml:space="preserve"> </v>
      </c>
      <c r="AS94" t="str" cm="1">
        <f t="array" ref="AS94">_xlfn.TEXTJOIN(",",TRUE,(_xlfn._xlws.FILTER($A$2:$A$501,($D$2:$D$501&gt;=AT$7)*($D$2:$D$501&lt;AS$7)*($E$2:$E$501&gt;=$H95)*($E$2:$E$501&lt;$H94)," ")))</f>
        <v xml:space="preserve"> </v>
      </c>
      <c r="AT94" t="str" cm="1">
        <f t="array" ref="AT94">_xlfn.TEXTJOIN(",",TRUE,(_xlfn._xlws.FILTER($A$2:$A$501,($D$2:$D$501&gt;=AU$7)*($D$2:$D$501&lt;AT$7)*($E$2:$E$501&gt;=$H95)*($E$2:$E$501&lt;$H94)," ")))</f>
        <v xml:space="preserve"> </v>
      </c>
      <c r="AU94" t="str" cm="1">
        <f t="array" ref="AU94">_xlfn.TEXTJOIN(",",TRUE,(_xlfn._xlws.FILTER($A$2:$A$501,($D$2:$D$501&gt;=AV$7)*($D$2:$D$501&lt;AU$7)*($E$2:$E$501&gt;=$H95)*($E$2:$E$501&lt;$H94)," ")))</f>
        <v xml:space="preserve"> </v>
      </c>
      <c r="AV94" t="str" cm="1">
        <f t="array" ref="AV94">_xlfn.TEXTJOIN(",",TRUE,(_xlfn._xlws.FILTER($A$2:$A$501,($D$2:$D$501&gt;=AW$7)*($D$2:$D$501&lt;AV$7)*($E$2:$E$501&gt;=$H95)*($E$2:$E$501&lt;$H94)," ")))</f>
        <v xml:space="preserve"> </v>
      </c>
      <c r="AW94" t="str" cm="1">
        <f t="array" ref="AW94">_xlfn.TEXTJOIN(",",TRUE,(_xlfn._xlws.FILTER($A$2:$A$501,($D$2:$D$501&gt;=AX$7)*($D$2:$D$501&lt;AW$7)*($E$2:$E$501&gt;=$H95)*($E$2:$E$501&lt;$H94)," ")))</f>
        <v xml:space="preserve"> </v>
      </c>
      <c r="AX94" t="str" cm="1">
        <f t="array" ref="AX94">_xlfn.TEXTJOIN(",",TRUE,(_xlfn._xlws.FILTER($A$2:$A$501,($D$2:$D$501&gt;=AY$7)*($D$2:$D$501&lt;AX$7)*($E$2:$E$501&gt;=$H95)*($E$2:$E$501&lt;$H94)," ")))</f>
        <v xml:space="preserve"> </v>
      </c>
      <c r="AY94" t="str" cm="1">
        <f t="array" ref="AY94">_xlfn.TEXTJOIN(",",TRUE,(_xlfn._xlws.FILTER($A$2:$A$501,($D$2:$D$501&gt;=AZ$7)*($D$2:$D$501&lt;AY$7)*($E$2:$E$501&gt;=$H95)*($E$2:$E$501&lt;$H94)," ")))</f>
        <v xml:space="preserve"> </v>
      </c>
      <c r="AZ94" t="str" cm="1">
        <f t="array" ref="AZ94">_xlfn.TEXTJOIN(",",TRUE,(_xlfn._xlws.FILTER($A$2:$A$501,($D$2:$D$501&gt;=BA$7)*($D$2:$D$501&lt;AZ$7)*($E$2:$E$501&gt;=$H95)*($E$2:$E$501&lt;$H94)," ")))</f>
        <v xml:space="preserve"> </v>
      </c>
      <c r="BA94" t="str" cm="1">
        <f t="array" ref="BA94">_xlfn.TEXTJOIN(",",TRUE,(_xlfn._xlws.FILTER($A$2:$A$501,($D$2:$D$501&gt;=BB$7)*($D$2:$D$501&lt;BA$7)*($E$2:$E$501&gt;=$H95)*($E$2:$E$501&lt;$H94)," ")))</f>
        <v xml:space="preserve"> </v>
      </c>
      <c r="BB94" t="str" cm="1">
        <f t="array" ref="BB94">_xlfn.TEXTJOIN(",",TRUE,(_xlfn._xlws.FILTER($A$2:$A$501,($D$2:$D$501&gt;=BC$7)*($D$2:$D$501&lt;BB$7)*($E$2:$E$501&gt;=$H95)*($E$2:$E$501&lt;$H94)," ")))</f>
        <v xml:space="preserve"> </v>
      </c>
    </row>
    <row r="95" spans="1:54" x14ac:dyDescent="0.2">
      <c r="A95" s="3" t="s">
        <v>179</v>
      </c>
      <c r="B95" s="3" t="s">
        <v>177</v>
      </c>
      <c r="C95" s="13">
        <v>715170.43</v>
      </c>
      <c r="D95" s="15">
        <v>16391840.35</v>
      </c>
      <c r="E95" s="22">
        <f>TuitionRates3[[#This Row],[Tuition]]/D95</f>
        <v>4.3629660534120568E-2</v>
      </c>
      <c r="F95"/>
      <c r="H95" s="18">
        <v>6.2999999999999903E-2</v>
      </c>
      <c r="I95" t="str" cm="1">
        <f t="array" ref="I95">_xlfn.TEXTJOIN(",",TRUE,(_xlfn._xlws.FILTER($A$2:$A$501,($D$2:$D$501&gt;=J$7)*($D$2:$D$501&lt;I$7)*($E$2:$E$501&gt;=$H96)*($E$2:$E$501&lt;$H95)," ")))</f>
        <v xml:space="preserve"> </v>
      </c>
      <c r="J95" t="str" cm="1">
        <f t="array" ref="J95">_xlfn.TEXTJOIN(",",TRUE,(_xlfn._xlws.FILTER($A$2:$A$501,($D$2:$D$501&gt;=K$7)*($D$2:$D$501&lt;J$7)*($E$2:$E$501&gt;=$H96)*($E$2:$E$501&lt;$H95)," ")))</f>
        <v xml:space="preserve"> </v>
      </c>
      <c r="K95" t="str" cm="1">
        <f t="array" ref="K95">_xlfn.TEXTJOIN(",",TRUE,(_xlfn._xlws.FILTER($A$2:$A$501,($D$2:$D$501&gt;=L$7)*($D$2:$D$501&lt;K$7)*($E$2:$E$501&gt;=$H96)*($E$2:$E$501&lt;$H95)," ")))</f>
        <v xml:space="preserve"> </v>
      </c>
      <c r="L95" t="str" cm="1">
        <f t="array" ref="L95">_xlfn.TEXTJOIN(",",TRUE,(_xlfn._xlws.FILTER($A$2:$A$501,($D$2:$D$501&gt;=M$7)*($D$2:$D$501&lt;L$7)*($E$2:$E$501&gt;=$H96)*($E$2:$E$501&lt;$H95)," ")))</f>
        <v xml:space="preserve"> </v>
      </c>
      <c r="M95" t="str" cm="1">
        <f t="array" ref="M95">_xlfn.TEXTJOIN(",",TRUE,(_xlfn._xlws.FILTER($A$2:$A$501,($D$2:$D$501&gt;=N$7)*($D$2:$D$501&lt;M$7)*($E$2:$E$501&gt;=$H96)*($E$2:$E$501&lt;$H95)," ")))</f>
        <v xml:space="preserve"> </v>
      </c>
      <c r="N95" t="str" cm="1">
        <f t="array" ref="N95">_xlfn.TEXTJOIN(",",TRUE,(_xlfn._xlws.FILTER($A$2:$A$501,($D$2:$D$501&gt;=O$7)*($D$2:$D$501&lt;N$7)*($E$2:$E$501&gt;=$H96)*($E$2:$E$501&lt;$H95)," ")))</f>
        <v xml:space="preserve"> </v>
      </c>
      <c r="O95" t="str" cm="1">
        <f t="array" ref="O95">_xlfn.TEXTJOIN(",",TRUE,(_xlfn._xlws.FILTER($A$2:$A$501,($D$2:$D$501&gt;=P$7)*($D$2:$D$501&lt;O$7)*($E$2:$E$501&gt;=$H96)*($E$2:$E$501&lt;$H95)," ")))</f>
        <v xml:space="preserve"> </v>
      </c>
      <c r="P95" t="str" cm="1">
        <f t="array" ref="P95">_xlfn.TEXTJOIN(",",TRUE,(_xlfn._xlws.FILTER($A$2:$A$501,($D$2:$D$501&gt;=Q$7)*($D$2:$D$501&lt;P$7)*($E$2:$E$501&gt;=$H96)*($E$2:$E$501&lt;$H95)," ")))</f>
        <v xml:space="preserve"> </v>
      </c>
      <c r="Q95" t="str" cm="1">
        <f t="array" ref="Q95">_xlfn.TEXTJOIN(",",TRUE,(_xlfn._xlws.FILTER($A$2:$A$501,($D$2:$D$501&gt;=R$7)*($D$2:$D$501&lt;Q$7)*($E$2:$E$501&gt;=$H96)*($E$2:$E$501&lt;$H95)," ")))</f>
        <v xml:space="preserve"> </v>
      </c>
      <c r="R95" t="str" cm="1">
        <f t="array" ref="R95">_xlfn.TEXTJOIN(",",TRUE,(_xlfn._xlws.FILTER($A$2:$A$501,($D$2:$D$501&gt;=S$7)*($D$2:$D$501&lt;R$7)*($E$2:$E$501&gt;=$H96)*($E$2:$E$501&lt;$H95)," ")))</f>
        <v xml:space="preserve"> </v>
      </c>
      <c r="S95" t="str" cm="1">
        <f t="array" ref="S95">_xlfn.TEXTJOIN(",",TRUE,(_xlfn._xlws.FILTER($A$2:$A$501,($D$2:$D$501&gt;=T$7)*($D$2:$D$501&lt;S$7)*($E$2:$E$501&gt;=$H96)*($E$2:$E$501&lt;$H95)," ")))</f>
        <v xml:space="preserve"> </v>
      </c>
      <c r="T95" t="str" cm="1">
        <f t="array" ref="T95">_xlfn.TEXTJOIN(",",TRUE,(_xlfn._xlws.FILTER($A$2:$A$501,($D$2:$D$501&gt;=U$7)*($D$2:$D$501&lt;T$7)*($E$2:$E$501&gt;=$H96)*($E$2:$E$501&lt;$H95)," ")))</f>
        <v xml:space="preserve"> </v>
      </c>
      <c r="U95" t="str" cm="1">
        <f t="array" ref="U95">_xlfn.TEXTJOIN(",",TRUE,(_xlfn._xlws.FILTER($A$2:$A$501,($D$2:$D$501&gt;=V$7)*($D$2:$D$501&lt;U$7)*($E$2:$E$501&gt;=$H96)*($E$2:$E$501&lt;$H95)," ")))</f>
        <v xml:space="preserve"> </v>
      </c>
      <c r="V95" t="str" cm="1">
        <f t="array" ref="V95">_xlfn.TEXTJOIN(",",TRUE,(_xlfn._xlws.FILTER($A$2:$A$501,($D$2:$D$501&gt;=W$7)*($D$2:$D$501&lt;V$7)*($E$2:$E$501&gt;=$H96)*($E$2:$E$501&lt;$H95)," ")))</f>
        <v xml:space="preserve"> </v>
      </c>
      <c r="W95" t="str" cm="1">
        <f t="array" ref="W95">_xlfn.TEXTJOIN(",",TRUE,(_xlfn._xlws.FILTER($A$2:$A$501,($D$2:$D$501&gt;=X$7)*($D$2:$D$501&lt;W$7)*($E$2:$E$501&gt;=$H96)*($E$2:$E$501&lt;$H95)," ")))</f>
        <v xml:space="preserve"> </v>
      </c>
      <c r="X95" t="str" cm="1">
        <f t="array" ref="X95">_xlfn.TEXTJOIN(",",TRUE,(_xlfn._xlws.FILTER($A$2:$A$501,($D$2:$D$501&gt;=Y$7)*($D$2:$D$501&lt;X$7)*($E$2:$E$501&gt;=$H96)*($E$2:$E$501&lt;$H95)," ")))</f>
        <v xml:space="preserve"> </v>
      </c>
      <c r="Y95" t="str" cm="1">
        <f t="array" ref="Y95">_xlfn.TEXTJOIN(",",TRUE,(_xlfn._xlws.FILTER($A$2:$A$501,($D$2:$D$501&gt;=Z$7)*($D$2:$D$501&lt;Y$7)*($E$2:$E$501&gt;=$H96)*($E$2:$E$501&lt;$H95)," ")))</f>
        <v>Big Spring SD</v>
      </c>
      <c r="Z95" t="str" cm="1">
        <f t="array" ref="Z95">_xlfn.TEXTJOIN(",",TRUE,(_xlfn._xlws.FILTER($A$2:$A$501,($D$2:$D$501&gt;=AA$7)*($D$2:$D$501&lt;Z$7)*($E$2:$E$501&gt;=$H96)*($E$2:$E$501&lt;$H95)," ")))</f>
        <v xml:space="preserve"> </v>
      </c>
      <c r="AA95" t="str" cm="1">
        <f t="array" ref="AA95">_xlfn.TEXTJOIN(",",TRUE,(_xlfn._xlws.FILTER($A$2:$A$501,($D$2:$D$501&gt;=AB$7)*($D$2:$D$501&lt;AA$7)*($E$2:$E$501&gt;=$H96)*($E$2:$E$501&lt;$H95)," ")))</f>
        <v xml:space="preserve"> </v>
      </c>
      <c r="AB95" t="str" cm="1">
        <f t="array" ref="AB95">_xlfn.TEXTJOIN(",",TRUE,(_xlfn._xlws.FILTER($A$2:$A$501,($D$2:$D$501&gt;=AC$7)*($D$2:$D$501&lt;AB$7)*($E$2:$E$501&gt;=$H96)*($E$2:$E$501&lt;$H95)," ")))</f>
        <v xml:space="preserve"> </v>
      </c>
      <c r="AC95" t="str" cm="1">
        <f t="array" ref="AC95">_xlfn.TEXTJOIN(",",TRUE,(_xlfn._xlws.FILTER($A$2:$A$501,($D$2:$D$501&gt;=AD$7)*($D$2:$D$501&lt;AC$7)*($E$2:$E$501&gt;=$H96)*($E$2:$E$501&lt;$H95)," ")))</f>
        <v>Jeannette City SD</v>
      </c>
      <c r="AD95" t="str" cm="1">
        <f t="array" ref="AD95">_xlfn.TEXTJOIN(",",TRUE,(_xlfn._xlws.FILTER($A$2:$A$501,($D$2:$D$501&gt;=AE$7)*($D$2:$D$501&lt;AD$7)*($E$2:$E$501&gt;=$H96)*($E$2:$E$501&lt;$H95)," ")))</f>
        <v xml:space="preserve"> </v>
      </c>
      <c r="AE95" t="str" cm="1">
        <f t="array" ref="AE95">_xlfn.TEXTJOIN(",",TRUE,(_xlfn._xlws.FILTER($A$2:$A$501,($D$2:$D$501&gt;=AF$7)*($D$2:$D$501&lt;AE$7)*($E$2:$E$501&gt;=$H96)*($E$2:$E$501&lt;$H95)," ")))</f>
        <v xml:space="preserve"> </v>
      </c>
      <c r="AF95" t="str" cm="1">
        <f t="array" ref="AF95">_xlfn.TEXTJOIN(",",TRUE,(_xlfn._xlws.FILTER($A$2:$A$501,($D$2:$D$501&gt;=AG$7)*($D$2:$D$501&lt;AF$7)*($E$2:$E$501&gt;=$H96)*($E$2:$E$501&lt;$H95)," ")))</f>
        <v xml:space="preserve"> </v>
      </c>
      <c r="AG95" t="str" cm="1">
        <f t="array" ref="AG95">_xlfn.TEXTJOIN(",",TRUE,(_xlfn._xlws.FILTER($A$2:$A$501,($D$2:$D$501&gt;=AH$7)*($D$2:$D$501&lt;AG$7)*($E$2:$E$501&gt;=$H96)*($E$2:$E$501&lt;$H95)," ")))</f>
        <v xml:space="preserve"> </v>
      </c>
      <c r="AH95" t="str" cm="1">
        <f t="array" ref="AH95">_xlfn.TEXTJOIN(",",TRUE,(_xlfn._xlws.FILTER($A$2:$A$501,($D$2:$D$501&gt;=AI$7)*($D$2:$D$501&lt;AH$7)*($E$2:$E$501&gt;=$H96)*($E$2:$E$501&lt;$H95)," ")))</f>
        <v xml:space="preserve"> </v>
      </c>
      <c r="AI95" t="str" cm="1">
        <f t="array" ref="AI95">_xlfn.TEXTJOIN(",",TRUE,(_xlfn._xlws.FILTER($A$2:$A$501,($D$2:$D$501&gt;=AJ$7)*($D$2:$D$501&lt;AI$7)*($E$2:$E$501&gt;=$H96)*($E$2:$E$501&lt;$H95)," ")))</f>
        <v xml:space="preserve"> </v>
      </c>
      <c r="AJ95" t="str" cm="1">
        <f t="array" ref="AJ95">_xlfn.TEXTJOIN(",",TRUE,(_xlfn._xlws.FILTER($A$2:$A$501,($D$2:$D$501&gt;=AK$7)*($D$2:$D$501&lt;AJ$7)*($E$2:$E$501&gt;=$H96)*($E$2:$E$501&lt;$H95)," ")))</f>
        <v xml:space="preserve"> </v>
      </c>
      <c r="AK95" t="str" cm="1">
        <f t="array" ref="AK95">_xlfn.TEXTJOIN(",",TRUE,(_xlfn._xlws.FILTER($A$2:$A$501,($D$2:$D$501&gt;=AL$7)*($D$2:$D$501&lt;AK$7)*($E$2:$E$501&gt;=$H96)*($E$2:$E$501&lt;$H95)," ")))</f>
        <v xml:space="preserve"> </v>
      </c>
      <c r="AL95" t="str" cm="1">
        <f t="array" ref="AL95">_xlfn.TEXTJOIN(",",TRUE,(_xlfn._xlws.FILTER($A$2:$A$501,($D$2:$D$501&gt;=AM$7)*($D$2:$D$501&lt;AL$7)*($E$2:$E$501&gt;=$H96)*($E$2:$E$501&lt;$H95)," ")))</f>
        <v xml:space="preserve"> </v>
      </c>
      <c r="AM95" t="str" cm="1">
        <f t="array" ref="AM95">_xlfn.TEXTJOIN(",",TRUE,(_xlfn._xlws.FILTER($A$2:$A$501,($D$2:$D$501&gt;=AN$7)*($D$2:$D$501&lt;AM$7)*($E$2:$E$501&gt;=$H96)*($E$2:$E$501&lt;$H95)," ")))</f>
        <v xml:space="preserve"> </v>
      </c>
      <c r="AN95" t="str" cm="1">
        <f t="array" ref="AN95">_xlfn.TEXTJOIN(",",TRUE,(_xlfn._xlws.FILTER($A$2:$A$501,($D$2:$D$501&gt;=AO$7)*($D$2:$D$501&lt;AN$7)*($E$2:$E$501&gt;=$H96)*($E$2:$E$501&lt;$H95)," ")))</f>
        <v xml:space="preserve"> </v>
      </c>
      <c r="AO95" t="str" cm="1">
        <f t="array" ref="AO95">_xlfn.TEXTJOIN(",",TRUE,(_xlfn._xlws.FILTER($A$2:$A$501,($D$2:$D$501&gt;=AP$7)*($D$2:$D$501&lt;AO$7)*($E$2:$E$501&gt;=$H96)*($E$2:$E$501&lt;$H95)," ")))</f>
        <v xml:space="preserve"> </v>
      </c>
      <c r="AP95" t="str" cm="1">
        <f t="array" ref="AP95">_xlfn.TEXTJOIN(",",TRUE,(_xlfn._xlws.FILTER($A$2:$A$501,($D$2:$D$501&gt;=AQ$7)*($D$2:$D$501&lt;AP$7)*($E$2:$E$501&gt;=$H96)*($E$2:$E$501&lt;$H95)," ")))</f>
        <v xml:space="preserve"> </v>
      </c>
      <c r="AQ95" t="str" cm="1">
        <f t="array" ref="AQ95">_xlfn.TEXTJOIN(",",TRUE,(_xlfn._xlws.FILTER($A$2:$A$501,($D$2:$D$501&gt;=AR$7)*($D$2:$D$501&lt;AQ$7)*($E$2:$E$501&gt;=$H96)*($E$2:$E$501&lt;$H95)," ")))</f>
        <v xml:space="preserve"> </v>
      </c>
      <c r="AR95" t="str" cm="1">
        <f t="array" ref="AR95">_xlfn.TEXTJOIN(",",TRUE,(_xlfn._xlws.FILTER($A$2:$A$501,($D$2:$D$501&gt;=AS$7)*($D$2:$D$501&lt;AR$7)*($E$2:$E$501&gt;=$H96)*($E$2:$E$501&lt;$H95)," ")))</f>
        <v xml:space="preserve"> </v>
      </c>
      <c r="AS95" t="str" cm="1">
        <f t="array" ref="AS95">_xlfn.TEXTJOIN(",",TRUE,(_xlfn._xlws.FILTER($A$2:$A$501,($D$2:$D$501&gt;=AT$7)*($D$2:$D$501&lt;AS$7)*($E$2:$E$501&gt;=$H96)*($E$2:$E$501&lt;$H95)," ")))</f>
        <v xml:space="preserve"> </v>
      </c>
      <c r="AT95" t="str" cm="1">
        <f t="array" ref="AT95">_xlfn.TEXTJOIN(",",TRUE,(_xlfn._xlws.FILTER($A$2:$A$501,($D$2:$D$501&gt;=AU$7)*($D$2:$D$501&lt;AT$7)*($E$2:$E$501&gt;=$H96)*($E$2:$E$501&lt;$H95)," ")))</f>
        <v xml:space="preserve"> </v>
      </c>
      <c r="AU95" t="str" cm="1">
        <f t="array" ref="AU95">_xlfn.TEXTJOIN(",",TRUE,(_xlfn._xlws.FILTER($A$2:$A$501,($D$2:$D$501&gt;=AV$7)*($D$2:$D$501&lt;AU$7)*($E$2:$E$501&gt;=$H96)*($E$2:$E$501&lt;$H95)," ")))</f>
        <v xml:space="preserve"> </v>
      </c>
      <c r="AV95" t="str" cm="1">
        <f t="array" ref="AV95">_xlfn.TEXTJOIN(",",TRUE,(_xlfn._xlws.FILTER($A$2:$A$501,($D$2:$D$501&gt;=AW$7)*($D$2:$D$501&lt;AV$7)*($E$2:$E$501&gt;=$H96)*($E$2:$E$501&lt;$H95)," ")))</f>
        <v xml:space="preserve"> </v>
      </c>
      <c r="AW95" t="str" cm="1">
        <f t="array" ref="AW95">_xlfn.TEXTJOIN(",",TRUE,(_xlfn._xlws.FILTER($A$2:$A$501,($D$2:$D$501&gt;=AX$7)*($D$2:$D$501&lt;AW$7)*($E$2:$E$501&gt;=$H96)*($E$2:$E$501&lt;$H95)," ")))</f>
        <v xml:space="preserve"> </v>
      </c>
      <c r="AX95" t="str" cm="1">
        <f t="array" ref="AX95">_xlfn.TEXTJOIN(",",TRUE,(_xlfn._xlws.FILTER($A$2:$A$501,($D$2:$D$501&gt;=AY$7)*($D$2:$D$501&lt;AX$7)*($E$2:$E$501&gt;=$H96)*($E$2:$E$501&lt;$H95)," ")))</f>
        <v xml:space="preserve"> </v>
      </c>
      <c r="AY95" t="str" cm="1">
        <f t="array" ref="AY95">_xlfn.TEXTJOIN(",",TRUE,(_xlfn._xlws.FILTER($A$2:$A$501,($D$2:$D$501&gt;=AZ$7)*($D$2:$D$501&lt;AY$7)*($E$2:$E$501&gt;=$H96)*($E$2:$E$501&lt;$H95)," ")))</f>
        <v xml:space="preserve"> </v>
      </c>
      <c r="AZ95" t="str" cm="1">
        <f t="array" ref="AZ95">_xlfn.TEXTJOIN(",",TRUE,(_xlfn._xlws.FILTER($A$2:$A$501,($D$2:$D$501&gt;=BA$7)*($D$2:$D$501&lt;AZ$7)*($E$2:$E$501&gt;=$H96)*($E$2:$E$501&lt;$H95)," ")))</f>
        <v xml:space="preserve"> </v>
      </c>
      <c r="BA95" t="str" cm="1">
        <f t="array" ref="BA95">_xlfn.TEXTJOIN(",",TRUE,(_xlfn._xlws.FILTER($A$2:$A$501,($D$2:$D$501&gt;=BB$7)*($D$2:$D$501&lt;BA$7)*($E$2:$E$501&gt;=$H96)*($E$2:$E$501&lt;$H95)," ")))</f>
        <v xml:space="preserve"> </v>
      </c>
      <c r="BB95" t="str" cm="1">
        <f t="array" ref="BB95">_xlfn.TEXTJOIN(",",TRUE,(_xlfn._xlws.FILTER($A$2:$A$501,($D$2:$D$501&gt;=BC$7)*($D$2:$D$501&lt;BB$7)*($E$2:$E$501&gt;=$H96)*($E$2:$E$501&lt;$H95)," ")))</f>
        <v xml:space="preserve"> </v>
      </c>
    </row>
    <row r="96" spans="1:54" x14ac:dyDescent="0.2">
      <c r="A96" s="3" t="s">
        <v>302</v>
      </c>
      <c r="B96" s="3" t="s">
        <v>303</v>
      </c>
      <c r="C96" s="13">
        <v>2214591.4700000002</v>
      </c>
      <c r="D96" s="15">
        <v>50976626.539999999</v>
      </c>
      <c r="E96" s="22">
        <f>TuitionRates3[[#This Row],[Tuition]]/D96</f>
        <v>4.3443272344871026E-2</v>
      </c>
      <c r="F96"/>
      <c r="H96" s="18">
        <v>6.1999999999999902E-2</v>
      </c>
      <c r="I96" t="str" cm="1">
        <f t="array" ref="I96">_xlfn.TEXTJOIN(",",TRUE,(_xlfn._xlws.FILTER($A$2:$A$501,($D$2:$D$501&gt;=J$7)*($D$2:$D$501&lt;I$7)*($E$2:$E$501&gt;=$H97)*($E$2:$E$501&lt;$H96)," ")))</f>
        <v xml:space="preserve"> </v>
      </c>
      <c r="J96" t="str" cm="1">
        <f t="array" ref="J96">_xlfn.TEXTJOIN(",",TRUE,(_xlfn._xlws.FILTER($A$2:$A$501,($D$2:$D$501&gt;=K$7)*($D$2:$D$501&lt;J$7)*($E$2:$E$501&gt;=$H97)*($E$2:$E$501&lt;$H96)," ")))</f>
        <v xml:space="preserve"> </v>
      </c>
      <c r="K96" t="str" cm="1">
        <f t="array" ref="K96">_xlfn.TEXTJOIN(",",TRUE,(_xlfn._xlws.FILTER($A$2:$A$501,($D$2:$D$501&gt;=L$7)*($D$2:$D$501&lt;K$7)*($E$2:$E$501&gt;=$H97)*($E$2:$E$501&lt;$H96)," ")))</f>
        <v xml:space="preserve"> </v>
      </c>
      <c r="L96" t="str" cm="1">
        <f t="array" ref="L96">_xlfn.TEXTJOIN(",",TRUE,(_xlfn._xlws.FILTER($A$2:$A$501,($D$2:$D$501&gt;=M$7)*($D$2:$D$501&lt;L$7)*($E$2:$E$501&gt;=$H97)*($E$2:$E$501&lt;$H96)," ")))</f>
        <v xml:space="preserve"> </v>
      </c>
      <c r="M96" t="str" cm="1">
        <f t="array" ref="M96">_xlfn.TEXTJOIN(",",TRUE,(_xlfn._xlws.FILTER($A$2:$A$501,($D$2:$D$501&gt;=N$7)*($D$2:$D$501&lt;M$7)*($E$2:$E$501&gt;=$H97)*($E$2:$E$501&lt;$H96)," ")))</f>
        <v xml:space="preserve"> </v>
      </c>
      <c r="N96" t="str" cm="1">
        <f t="array" ref="N96">_xlfn.TEXTJOIN(",",TRUE,(_xlfn._xlws.FILTER($A$2:$A$501,($D$2:$D$501&gt;=O$7)*($D$2:$D$501&lt;N$7)*($E$2:$E$501&gt;=$H97)*($E$2:$E$501&lt;$H96)," ")))</f>
        <v xml:space="preserve"> </v>
      </c>
      <c r="O96" t="str" cm="1">
        <f t="array" ref="O96">_xlfn.TEXTJOIN(",",TRUE,(_xlfn._xlws.FILTER($A$2:$A$501,($D$2:$D$501&gt;=P$7)*($D$2:$D$501&lt;O$7)*($E$2:$E$501&gt;=$H97)*($E$2:$E$501&lt;$H96)," ")))</f>
        <v xml:space="preserve"> </v>
      </c>
      <c r="P96" t="str" cm="1">
        <f t="array" ref="P96">_xlfn.TEXTJOIN(",",TRUE,(_xlfn._xlws.FILTER($A$2:$A$501,($D$2:$D$501&gt;=Q$7)*($D$2:$D$501&lt;P$7)*($E$2:$E$501&gt;=$H97)*($E$2:$E$501&lt;$H96)," ")))</f>
        <v xml:space="preserve"> </v>
      </c>
      <c r="Q96" t="str" cm="1">
        <f t="array" ref="Q96">_xlfn.TEXTJOIN(",",TRUE,(_xlfn._xlws.FILTER($A$2:$A$501,($D$2:$D$501&gt;=R$7)*($D$2:$D$501&lt;Q$7)*($E$2:$E$501&gt;=$H97)*($E$2:$E$501&lt;$H96)," ")))</f>
        <v xml:space="preserve"> </v>
      </c>
      <c r="R96" t="str" cm="1">
        <f t="array" ref="R96">_xlfn.TEXTJOIN(",",TRUE,(_xlfn._xlws.FILTER($A$2:$A$501,($D$2:$D$501&gt;=S$7)*($D$2:$D$501&lt;R$7)*($E$2:$E$501&gt;=$H97)*($E$2:$E$501&lt;$H96)," ")))</f>
        <v xml:space="preserve"> </v>
      </c>
      <c r="S96" t="str" cm="1">
        <f t="array" ref="S96">_xlfn.TEXTJOIN(",",TRUE,(_xlfn._xlws.FILTER($A$2:$A$501,($D$2:$D$501&gt;=T$7)*($D$2:$D$501&lt;S$7)*($E$2:$E$501&gt;=$H97)*($E$2:$E$501&lt;$H96)," ")))</f>
        <v xml:space="preserve"> </v>
      </c>
      <c r="T96" t="str" cm="1">
        <f t="array" ref="T96">_xlfn.TEXTJOIN(",",TRUE,(_xlfn._xlws.FILTER($A$2:$A$501,($D$2:$D$501&gt;=U$7)*($D$2:$D$501&lt;T$7)*($E$2:$E$501&gt;=$H97)*($E$2:$E$501&lt;$H96)," ")))</f>
        <v xml:space="preserve"> </v>
      </c>
      <c r="U96" t="str" cm="1">
        <f t="array" ref="U96">_xlfn.TEXTJOIN(",",TRUE,(_xlfn._xlws.FILTER($A$2:$A$501,($D$2:$D$501&gt;=V$7)*($D$2:$D$501&lt;U$7)*($E$2:$E$501&gt;=$H97)*($E$2:$E$501&lt;$H96)," ")))</f>
        <v xml:space="preserve"> </v>
      </c>
      <c r="V96" t="str" cm="1">
        <f t="array" ref="V96">_xlfn.TEXTJOIN(",",TRUE,(_xlfn._xlws.FILTER($A$2:$A$501,($D$2:$D$501&gt;=W$7)*($D$2:$D$501&lt;V$7)*($E$2:$E$501&gt;=$H97)*($E$2:$E$501&lt;$H96)," ")))</f>
        <v xml:space="preserve"> </v>
      </c>
      <c r="W96" t="str" cm="1">
        <f t="array" ref="W96">_xlfn.TEXTJOIN(",",TRUE,(_xlfn._xlws.FILTER($A$2:$A$501,($D$2:$D$501&gt;=X$7)*($D$2:$D$501&lt;W$7)*($E$2:$E$501&gt;=$H97)*($E$2:$E$501&lt;$H96)," ")))</f>
        <v xml:space="preserve"> </v>
      </c>
      <c r="X96" t="str" cm="1">
        <f t="array" ref="X96">_xlfn.TEXTJOIN(",",TRUE,(_xlfn._xlws.FILTER($A$2:$A$501,($D$2:$D$501&gt;=Y$7)*($D$2:$D$501&lt;X$7)*($E$2:$E$501&gt;=$H97)*($E$2:$E$501&lt;$H96)," ")))</f>
        <v xml:space="preserve"> </v>
      </c>
      <c r="Y96" t="str" cm="1">
        <f t="array" ref="Y96">_xlfn.TEXTJOIN(",",TRUE,(_xlfn._xlws.FILTER($A$2:$A$501,($D$2:$D$501&gt;=Z$7)*($D$2:$D$501&lt;Y$7)*($E$2:$E$501&gt;=$H97)*($E$2:$E$501&lt;$H96)," ")))</f>
        <v xml:space="preserve"> </v>
      </c>
      <c r="Z96" t="str" cm="1">
        <f t="array" ref="Z96">_xlfn.TEXTJOIN(",",TRUE,(_xlfn._xlws.FILTER($A$2:$A$501,($D$2:$D$501&gt;=AA$7)*($D$2:$D$501&lt;Z$7)*($E$2:$E$501&gt;=$H97)*($E$2:$E$501&lt;$H96)," ")))</f>
        <v xml:space="preserve"> </v>
      </c>
      <c r="AA96" t="str" cm="1">
        <f t="array" ref="AA96">_xlfn.TEXTJOIN(",",TRUE,(_xlfn._xlws.FILTER($A$2:$A$501,($D$2:$D$501&gt;=AB$7)*($D$2:$D$501&lt;AA$7)*($E$2:$E$501&gt;=$H97)*($E$2:$E$501&lt;$H96)," ")))</f>
        <v xml:space="preserve"> </v>
      </c>
      <c r="AB96" t="str" cm="1">
        <f t="array" ref="AB96">_xlfn.TEXTJOIN(",",TRUE,(_xlfn._xlws.FILTER($A$2:$A$501,($D$2:$D$501&gt;=AC$7)*($D$2:$D$501&lt;AB$7)*($E$2:$E$501&gt;=$H97)*($E$2:$E$501&lt;$H96)," ")))</f>
        <v xml:space="preserve"> </v>
      </c>
      <c r="AC96" t="str" cm="1">
        <f t="array" ref="AC96">_xlfn.TEXTJOIN(",",TRUE,(_xlfn._xlws.FILTER($A$2:$A$501,($D$2:$D$501&gt;=AD$7)*($D$2:$D$501&lt;AC$7)*($E$2:$E$501&gt;=$H97)*($E$2:$E$501&lt;$H96)," ")))</f>
        <v xml:space="preserve"> </v>
      </c>
      <c r="AD96" t="str" cm="1">
        <f t="array" ref="AD96">_xlfn.TEXTJOIN(",",TRUE,(_xlfn._xlws.FILTER($A$2:$A$501,($D$2:$D$501&gt;=AE$7)*($D$2:$D$501&lt;AD$7)*($E$2:$E$501&gt;=$H97)*($E$2:$E$501&lt;$H96)," ")))</f>
        <v xml:space="preserve"> </v>
      </c>
      <c r="AE96" t="str" cm="1">
        <f t="array" ref="AE96">_xlfn.TEXTJOIN(",",TRUE,(_xlfn._xlws.FILTER($A$2:$A$501,($D$2:$D$501&gt;=AF$7)*($D$2:$D$501&lt;AE$7)*($E$2:$E$501&gt;=$H97)*($E$2:$E$501&lt;$H96)," ")))</f>
        <v xml:space="preserve"> </v>
      </c>
      <c r="AF96" t="str" cm="1">
        <f t="array" ref="AF96">_xlfn.TEXTJOIN(",",TRUE,(_xlfn._xlws.FILTER($A$2:$A$501,($D$2:$D$501&gt;=AG$7)*($D$2:$D$501&lt;AF$7)*($E$2:$E$501&gt;=$H97)*($E$2:$E$501&lt;$H96)," ")))</f>
        <v xml:space="preserve"> </v>
      </c>
      <c r="AG96" t="str" cm="1">
        <f t="array" ref="AG96">_xlfn.TEXTJOIN(",",TRUE,(_xlfn._xlws.FILTER($A$2:$A$501,($D$2:$D$501&gt;=AH$7)*($D$2:$D$501&lt;AG$7)*($E$2:$E$501&gt;=$H97)*($E$2:$E$501&lt;$H96)," ")))</f>
        <v xml:space="preserve"> </v>
      </c>
      <c r="AH96" t="str" cm="1">
        <f t="array" ref="AH96">_xlfn.TEXTJOIN(",",TRUE,(_xlfn._xlws.FILTER($A$2:$A$501,($D$2:$D$501&gt;=AI$7)*($D$2:$D$501&lt;AH$7)*($E$2:$E$501&gt;=$H97)*($E$2:$E$501&lt;$H96)," ")))</f>
        <v xml:space="preserve"> </v>
      </c>
      <c r="AI96" t="str" cm="1">
        <f t="array" ref="AI96">_xlfn.TEXTJOIN(",",TRUE,(_xlfn._xlws.FILTER($A$2:$A$501,($D$2:$D$501&gt;=AJ$7)*($D$2:$D$501&lt;AI$7)*($E$2:$E$501&gt;=$H97)*($E$2:$E$501&lt;$H96)," ")))</f>
        <v xml:space="preserve"> </v>
      </c>
      <c r="AJ96" t="str" cm="1">
        <f t="array" ref="AJ96">_xlfn.TEXTJOIN(",",TRUE,(_xlfn._xlws.FILTER($A$2:$A$501,($D$2:$D$501&gt;=AK$7)*($D$2:$D$501&lt;AJ$7)*($E$2:$E$501&gt;=$H97)*($E$2:$E$501&lt;$H96)," ")))</f>
        <v xml:space="preserve"> </v>
      </c>
      <c r="AK96" t="str" cm="1">
        <f t="array" ref="AK96">_xlfn.TEXTJOIN(",",TRUE,(_xlfn._xlws.FILTER($A$2:$A$501,($D$2:$D$501&gt;=AL$7)*($D$2:$D$501&lt;AK$7)*($E$2:$E$501&gt;=$H97)*($E$2:$E$501&lt;$H96)," ")))</f>
        <v xml:space="preserve"> </v>
      </c>
      <c r="AL96" t="str" cm="1">
        <f t="array" ref="AL96">_xlfn.TEXTJOIN(",",TRUE,(_xlfn._xlws.FILTER($A$2:$A$501,($D$2:$D$501&gt;=AM$7)*($D$2:$D$501&lt;AL$7)*($E$2:$E$501&gt;=$H97)*($E$2:$E$501&lt;$H96)," ")))</f>
        <v xml:space="preserve"> </v>
      </c>
      <c r="AM96" t="str" cm="1">
        <f t="array" ref="AM96">_xlfn.TEXTJOIN(",",TRUE,(_xlfn._xlws.FILTER($A$2:$A$501,($D$2:$D$501&gt;=AN$7)*($D$2:$D$501&lt;AM$7)*($E$2:$E$501&gt;=$H97)*($E$2:$E$501&lt;$H96)," ")))</f>
        <v xml:space="preserve"> </v>
      </c>
      <c r="AN96" t="str" cm="1">
        <f t="array" ref="AN96">_xlfn.TEXTJOIN(",",TRUE,(_xlfn._xlws.FILTER($A$2:$A$501,($D$2:$D$501&gt;=AO$7)*($D$2:$D$501&lt;AN$7)*($E$2:$E$501&gt;=$H97)*($E$2:$E$501&lt;$H96)," ")))</f>
        <v xml:space="preserve"> </v>
      </c>
      <c r="AO96" t="str" cm="1">
        <f t="array" ref="AO96">_xlfn.TEXTJOIN(",",TRUE,(_xlfn._xlws.FILTER($A$2:$A$501,($D$2:$D$501&gt;=AP$7)*($D$2:$D$501&lt;AO$7)*($E$2:$E$501&gt;=$H97)*($E$2:$E$501&lt;$H96)," ")))</f>
        <v xml:space="preserve"> </v>
      </c>
      <c r="AP96" t="str" cm="1">
        <f t="array" ref="AP96">_xlfn.TEXTJOIN(",",TRUE,(_xlfn._xlws.FILTER($A$2:$A$501,($D$2:$D$501&gt;=AQ$7)*($D$2:$D$501&lt;AP$7)*($E$2:$E$501&gt;=$H97)*($E$2:$E$501&lt;$H96)," ")))</f>
        <v xml:space="preserve"> </v>
      </c>
      <c r="AQ96" t="str" cm="1">
        <f t="array" ref="AQ96">_xlfn.TEXTJOIN(",",TRUE,(_xlfn._xlws.FILTER($A$2:$A$501,($D$2:$D$501&gt;=AR$7)*($D$2:$D$501&lt;AQ$7)*($E$2:$E$501&gt;=$H97)*($E$2:$E$501&lt;$H96)," ")))</f>
        <v xml:space="preserve"> </v>
      </c>
      <c r="AR96" t="str" cm="1">
        <f t="array" ref="AR96">_xlfn.TEXTJOIN(",",TRUE,(_xlfn._xlws.FILTER($A$2:$A$501,($D$2:$D$501&gt;=AS$7)*($D$2:$D$501&lt;AR$7)*($E$2:$E$501&gt;=$H97)*($E$2:$E$501&lt;$H96)," ")))</f>
        <v xml:space="preserve"> </v>
      </c>
      <c r="AS96" t="str" cm="1">
        <f t="array" ref="AS96">_xlfn.TEXTJOIN(",",TRUE,(_xlfn._xlws.FILTER($A$2:$A$501,($D$2:$D$501&gt;=AT$7)*($D$2:$D$501&lt;AS$7)*($E$2:$E$501&gt;=$H97)*($E$2:$E$501&lt;$H96)," ")))</f>
        <v xml:space="preserve"> </v>
      </c>
      <c r="AT96" t="str" cm="1">
        <f t="array" ref="AT96">_xlfn.TEXTJOIN(",",TRUE,(_xlfn._xlws.FILTER($A$2:$A$501,($D$2:$D$501&gt;=AU$7)*($D$2:$D$501&lt;AT$7)*($E$2:$E$501&gt;=$H97)*($E$2:$E$501&lt;$H96)," ")))</f>
        <v xml:space="preserve"> </v>
      </c>
      <c r="AU96" t="str" cm="1">
        <f t="array" ref="AU96">_xlfn.TEXTJOIN(",",TRUE,(_xlfn._xlws.FILTER($A$2:$A$501,($D$2:$D$501&gt;=AV$7)*($D$2:$D$501&lt;AU$7)*($E$2:$E$501&gt;=$H97)*($E$2:$E$501&lt;$H96)," ")))</f>
        <v xml:space="preserve"> </v>
      </c>
      <c r="AV96" t="str" cm="1">
        <f t="array" ref="AV96">_xlfn.TEXTJOIN(",",TRUE,(_xlfn._xlws.FILTER($A$2:$A$501,($D$2:$D$501&gt;=AW$7)*($D$2:$D$501&lt;AV$7)*($E$2:$E$501&gt;=$H97)*($E$2:$E$501&lt;$H96)," ")))</f>
        <v xml:space="preserve"> </v>
      </c>
      <c r="AW96" t="str" cm="1">
        <f t="array" ref="AW96">_xlfn.TEXTJOIN(",",TRUE,(_xlfn._xlws.FILTER($A$2:$A$501,($D$2:$D$501&gt;=AX$7)*($D$2:$D$501&lt;AW$7)*($E$2:$E$501&gt;=$H97)*($E$2:$E$501&lt;$H96)," ")))</f>
        <v xml:space="preserve"> </v>
      </c>
      <c r="AX96" t="str" cm="1">
        <f t="array" ref="AX96">_xlfn.TEXTJOIN(",",TRUE,(_xlfn._xlws.FILTER($A$2:$A$501,($D$2:$D$501&gt;=AY$7)*($D$2:$D$501&lt;AX$7)*($E$2:$E$501&gt;=$H97)*($E$2:$E$501&lt;$H96)," ")))</f>
        <v xml:space="preserve"> </v>
      </c>
      <c r="AY96" t="str" cm="1">
        <f t="array" ref="AY96">_xlfn.TEXTJOIN(",",TRUE,(_xlfn._xlws.FILTER($A$2:$A$501,($D$2:$D$501&gt;=AZ$7)*($D$2:$D$501&lt;AY$7)*($E$2:$E$501&gt;=$H97)*($E$2:$E$501&lt;$H96)," ")))</f>
        <v xml:space="preserve"> </v>
      </c>
      <c r="AZ96" t="str" cm="1">
        <f t="array" ref="AZ96">_xlfn.TEXTJOIN(",",TRUE,(_xlfn._xlws.FILTER($A$2:$A$501,($D$2:$D$501&gt;=BA$7)*($D$2:$D$501&lt;AZ$7)*($E$2:$E$501&gt;=$H97)*($E$2:$E$501&lt;$H96)," ")))</f>
        <v xml:space="preserve"> </v>
      </c>
      <c r="BA96" t="str" cm="1">
        <f t="array" ref="BA96">_xlfn.TEXTJOIN(",",TRUE,(_xlfn._xlws.FILTER($A$2:$A$501,($D$2:$D$501&gt;=BB$7)*($D$2:$D$501&lt;BA$7)*($E$2:$E$501&gt;=$H97)*($E$2:$E$501&lt;$H96)," ")))</f>
        <v xml:space="preserve"> </v>
      </c>
      <c r="BB96" t="str" cm="1">
        <f t="array" ref="BB96">_xlfn.TEXTJOIN(",",TRUE,(_xlfn._xlws.FILTER($A$2:$A$501,($D$2:$D$501&gt;=BC$7)*($D$2:$D$501&lt;BB$7)*($E$2:$E$501&gt;=$H97)*($E$2:$E$501&lt;$H96)," ")))</f>
        <v xml:space="preserve"> </v>
      </c>
    </row>
    <row r="97" spans="1:54" x14ac:dyDescent="0.2">
      <c r="A97" s="3" t="s">
        <v>531</v>
      </c>
      <c r="B97" s="3" t="s">
        <v>530</v>
      </c>
      <c r="C97" s="13">
        <v>2274515.73</v>
      </c>
      <c r="D97" s="15">
        <v>52450106.649999999</v>
      </c>
      <c r="E97" s="22">
        <f>TuitionRates3[[#This Row],[Tuition]]/D97</f>
        <v>4.3365321355357055E-2</v>
      </c>
      <c r="F97"/>
      <c r="H97" s="18">
        <v>6.0999999999999902E-2</v>
      </c>
      <c r="I97" t="str" cm="1">
        <f t="array" ref="I97">_xlfn.TEXTJOIN(",",TRUE,(_xlfn._xlws.FILTER($A$2:$A$501,($D$2:$D$501&gt;=J$7)*($D$2:$D$501&lt;I$7)*($E$2:$E$501&gt;=$H98)*($E$2:$E$501&lt;$H97)," ")))</f>
        <v xml:space="preserve"> </v>
      </c>
      <c r="J97" t="str" cm="1">
        <f t="array" ref="J97">_xlfn.TEXTJOIN(",",TRUE,(_xlfn._xlws.FILTER($A$2:$A$501,($D$2:$D$501&gt;=K$7)*($D$2:$D$501&lt;J$7)*($E$2:$E$501&gt;=$H98)*($E$2:$E$501&lt;$H97)," ")))</f>
        <v xml:space="preserve"> </v>
      </c>
      <c r="K97" t="str" cm="1">
        <f t="array" ref="K97">_xlfn.TEXTJOIN(",",TRUE,(_xlfn._xlws.FILTER($A$2:$A$501,($D$2:$D$501&gt;=L$7)*($D$2:$D$501&lt;K$7)*($E$2:$E$501&gt;=$H98)*($E$2:$E$501&lt;$H97)," ")))</f>
        <v xml:space="preserve"> </v>
      </c>
      <c r="L97" t="str" cm="1">
        <f t="array" ref="L97">_xlfn.TEXTJOIN(",",TRUE,(_xlfn._xlws.FILTER($A$2:$A$501,($D$2:$D$501&gt;=M$7)*($D$2:$D$501&lt;L$7)*($E$2:$E$501&gt;=$H98)*($E$2:$E$501&lt;$H97)," ")))</f>
        <v xml:space="preserve"> </v>
      </c>
      <c r="M97" t="str" cm="1">
        <f t="array" ref="M97">_xlfn.TEXTJOIN(",",TRUE,(_xlfn._xlws.FILTER($A$2:$A$501,($D$2:$D$501&gt;=N$7)*($D$2:$D$501&lt;M$7)*($E$2:$E$501&gt;=$H98)*($E$2:$E$501&lt;$H97)," ")))</f>
        <v xml:space="preserve"> </v>
      </c>
      <c r="N97" t="str" cm="1">
        <f t="array" ref="N97">_xlfn.TEXTJOIN(",",TRUE,(_xlfn._xlws.FILTER($A$2:$A$501,($D$2:$D$501&gt;=O$7)*($D$2:$D$501&lt;N$7)*($E$2:$E$501&gt;=$H98)*($E$2:$E$501&lt;$H97)," ")))</f>
        <v xml:space="preserve"> </v>
      </c>
      <c r="O97" t="str" cm="1">
        <f t="array" ref="O97">_xlfn.TEXTJOIN(",",TRUE,(_xlfn._xlws.FILTER($A$2:$A$501,($D$2:$D$501&gt;=P$7)*($D$2:$D$501&lt;O$7)*($E$2:$E$501&gt;=$H98)*($E$2:$E$501&lt;$H97)," ")))</f>
        <v xml:space="preserve"> </v>
      </c>
      <c r="P97" t="str" cm="1">
        <f t="array" ref="P97">_xlfn.TEXTJOIN(",",TRUE,(_xlfn._xlws.FILTER($A$2:$A$501,($D$2:$D$501&gt;=Q$7)*($D$2:$D$501&lt;P$7)*($E$2:$E$501&gt;=$H98)*($E$2:$E$501&lt;$H97)," ")))</f>
        <v xml:space="preserve"> </v>
      </c>
      <c r="Q97" t="str" cm="1">
        <f t="array" ref="Q97">_xlfn.TEXTJOIN(",",TRUE,(_xlfn._xlws.FILTER($A$2:$A$501,($D$2:$D$501&gt;=R$7)*($D$2:$D$501&lt;Q$7)*($E$2:$E$501&gt;=$H98)*($E$2:$E$501&lt;$H97)," ")))</f>
        <v xml:space="preserve"> </v>
      </c>
      <c r="R97" t="str" cm="1">
        <f t="array" ref="R97">_xlfn.TEXTJOIN(",",TRUE,(_xlfn._xlws.FILTER($A$2:$A$501,($D$2:$D$501&gt;=S$7)*($D$2:$D$501&lt;R$7)*($E$2:$E$501&gt;=$H98)*($E$2:$E$501&lt;$H97)," ")))</f>
        <v xml:space="preserve"> </v>
      </c>
      <c r="S97" t="str" cm="1">
        <f t="array" ref="S97">_xlfn.TEXTJOIN(",",TRUE,(_xlfn._xlws.FILTER($A$2:$A$501,($D$2:$D$501&gt;=T$7)*($D$2:$D$501&lt;S$7)*($E$2:$E$501&gt;=$H98)*($E$2:$E$501&lt;$H97)," ")))</f>
        <v xml:space="preserve"> </v>
      </c>
      <c r="T97" t="str" cm="1">
        <f t="array" ref="T97">_xlfn.TEXTJOIN(",",TRUE,(_xlfn._xlws.FILTER($A$2:$A$501,($D$2:$D$501&gt;=U$7)*($D$2:$D$501&lt;T$7)*($E$2:$E$501&gt;=$H98)*($E$2:$E$501&lt;$H97)," ")))</f>
        <v xml:space="preserve"> </v>
      </c>
      <c r="U97" t="str" cm="1">
        <f t="array" ref="U97">_xlfn.TEXTJOIN(",",TRUE,(_xlfn._xlws.FILTER($A$2:$A$501,($D$2:$D$501&gt;=V$7)*($D$2:$D$501&lt;U$7)*($E$2:$E$501&gt;=$H98)*($E$2:$E$501&lt;$H97)," ")))</f>
        <v xml:space="preserve"> </v>
      </c>
      <c r="V97" t="str" cm="1">
        <f t="array" ref="V97">_xlfn.TEXTJOIN(",",TRUE,(_xlfn._xlws.FILTER($A$2:$A$501,($D$2:$D$501&gt;=W$7)*($D$2:$D$501&lt;V$7)*($E$2:$E$501&gt;=$H98)*($E$2:$E$501&lt;$H97)," ")))</f>
        <v xml:space="preserve"> </v>
      </c>
      <c r="W97" t="str" cm="1">
        <f t="array" ref="W97">_xlfn.TEXTJOIN(",",TRUE,(_xlfn._xlws.FILTER($A$2:$A$501,($D$2:$D$501&gt;=X$7)*($D$2:$D$501&lt;W$7)*($E$2:$E$501&gt;=$H98)*($E$2:$E$501&lt;$H97)," ")))</f>
        <v xml:space="preserve"> </v>
      </c>
      <c r="X97" t="str" cm="1">
        <f t="array" ref="X97">_xlfn.TEXTJOIN(",",TRUE,(_xlfn._xlws.FILTER($A$2:$A$501,($D$2:$D$501&gt;=Y$7)*($D$2:$D$501&lt;X$7)*($E$2:$E$501&gt;=$H98)*($E$2:$E$501&lt;$H97)," ")))</f>
        <v xml:space="preserve"> </v>
      </c>
      <c r="Y97" t="str" cm="1">
        <f t="array" ref="Y97">_xlfn.TEXTJOIN(",",TRUE,(_xlfn._xlws.FILTER($A$2:$A$501,($D$2:$D$501&gt;=Z$7)*($D$2:$D$501&lt;Y$7)*($E$2:$E$501&gt;=$H98)*($E$2:$E$501&lt;$H97)," ")))</f>
        <v xml:space="preserve"> </v>
      </c>
      <c r="Z97" t="str" cm="1">
        <f t="array" ref="Z97">_xlfn.TEXTJOIN(",",TRUE,(_xlfn._xlws.FILTER($A$2:$A$501,($D$2:$D$501&gt;=AA$7)*($D$2:$D$501&lt;Z$7)*($E$2:$E$501&gt;=$H98)*($E$2:$E$501&lt;$H97)," ")))</f>
        <v xml:space="preserve"> </v>
      </c>
      <c r="AA97" t="str" cm="1">
        <f t="array" ref="AA97">_xlfn.TEXTJOIN(",",TRUE,(_xlfn._xlws.FILTER($A$2:$A$501,($D$2:$D$501&gt;=AB$7)*($D$2:$D$501&lt;AA$7)*($E$2:$E$501&gt;=$H98)*($E$2:$E$501&lt;$H97)," ")))</f>
        <v xml:space="preserve"> </v>
      </c>
      <c r="AB97" t="str" cm="1">
        <f t="array" ref="AB97">_xlfn.TEXTJOIN(",",TRUE,(_xlfn._xlws.FILTER($A$2:$A$501,($D$2:$D$501&gt;=AC$7)*($D$2:$D$501&lt;AB$7)*($E$2:$E$501&gt;=$H98)*($E$2:$E$501&lt;$H97)," ")))</f>
        <v xml:space="preserve"> </v>
      </c>
      <c r="AC97" t="str" cm="1">
        <f t="array" ref="AC97">_xlfn.TEXTJOIN(",",TRUE,(_xlfn._xlws.FILTER($A$2:$A$501,($D$2:$D$501&gt;=AD$7)*($D$2:$D$501&lt;AC$7)*($E$2:$E$501&gt;=$H98)*($E$2:$E$501&lt;$H97)," ")))</f>
        <v xml:space="preserve"> </v>
      </c>
      <c r="AD97" t="str" cm="1">
        <f t="array" ref="AD97">_xlfn.TEXTJOIN(",",TRUE,(_xlfn._xlws.FILTER($A$2:$A$501,($D$2:$D$501&gt;=AE$7)*($D$2:$D$501&lt;AD$7)*($E$2:$E$501&gt;=$H98)*($E$2:$E$501&lt;$H97)," ")))</f>
        <v xml:space="preserve"> </v>
      </c>
      <c r="AE97" t="str" cm="1">
        <f t="array" ref="AE97">_xlfn.TEXTJOIN(",",TRUE,(_xlfn._xlws.FILTER($A$2:$A$501,($D$2:$D$501&gt;=AF$7)*($D$2:$D$501&lt;AE$7)*($E$2:$E$501&gt;=$H98)*($E$2:$E$501&lt;$H97)," ")))</f>
        <v xml:space="preserve"> </v>
      </c>
      <c r="AF97" t="str" cm="1">
        <f t="array" ref="AF97">_xlfn.TEXTJOIN(",",TRUE,(_xlfn._xlws.FILTER($A$2:$A$501,($D$2:$D$501&gt;=AG$7)*($D$2:$D$501&lt;AF$7)*($E$2:$E$501&gt;=$H98)*($E$2:$E$501&lt;$H97)," ")))</f>
        <v xml:space="preserve"> </v>
      </c>
      <c r="AG97" t="str" cm="1">
        <f t="array" ref="AG97">_xlfn.TEXTJOIN(",",TRUE,(_xlfn._xlws.FILTER($A$2:$A$501,($D$2:$D$501&gt;=AH$7)*($D$2:$D$501&lt;AG$7)*($E$2:$E$501&gt;=$H98)*($E$2:$E$501&lt;$H97)," ")))</f>
        <v xml:space="preserve"> </v>
      </c>
      <c r="AH97" t="str" cm="1">
        <f t="array" ref="AH97">_xlfn.TEXTJOIN(",",TRUE,(_xlfn._xlws.FILTER($A$2:$A$501,($D$2:$D$501&gt;=AI$7)*($D$2:$D$501&lt;AH$7)*($E$2:$E$501&gt;=$H98)*($E$2:$E$501&lt;$H97)," ")))</f>
        <v xml:space="preserve"> </v>
      </c>
      <c r="AI97" t="str" cm="1">
        <f t="array" ref="AI97">_xlfn.TEXTJOIN(",",TRUE,(_xlfn._xlws.FILTER($A$2:$A$501,($D$2:$D$501&gt;=AJ$7)*($D$2:$D$501&lt;AI$7)*($E$2:$E$501&gt;=$H98)*($E$2:$E$501&lt;$H97)," ")))</f>
        <v xml:space="preserve"> </v>
      </c>
      <c r="AJ97" t="str" cm="1">
        <f t="array" ref="AJ97">_xlfn.TEXTJOIN(",",TRUE,(_xlfn._xlws.FILTER($A$2:$A$501,($D$2:$D$501&gt;=AK$7)*($D$2:$D$501&lt;AJ$7)*($E$2:$E$501&gt;=$H98)*($E$2:$E$501&lt;$H97)," ")))</f>
        <v xml:space="preserve"> </v>
      </c>
      <c r="AK97" t="str" cm="1">
        <f t="array" ref="AK97">_xlfn.TEXTJOIN(",",TRUE,(_xlfn._xlws.FILTER($A$2:$A$501,($D$2:$D$501&gt;=AL$7)*($D$2:$D$501&lt;AK$7)*($E$2:$E$501&gt;=$H98)*($E$2:$E$501&lt;$H97)," ")))</f>
        <v xml:space="preserve"> </v>
      </c>
      <c r="AL97" t="str" cm="1">
        <f t="array" ref="AL97">_xlfn.TEXTJOIN(",",TRUE,(_xlfn._xlws.FILTER($A$2:$A$501,($D$2:$D$501&gt;=AM$7)*($D$2:$D$501&lt;AL$7)*($E$2:$E$501&gt;=$H98)*($E$2:$E$501&lt;$H97)," ")))</f>
        <v xml:space="preserve"> </v>
      </c>
      <c r="AM97" t="str" cm="1">
        <f t="array" ref="AM97">_xlfn.TEXTJOIN(",",TRUE,(_xlfn._xlws.FILTER($A$2:$A$501,($D$2:$D$501&gt;=AN$7)*($D$2:$D$501&lt;AM$7)*($E$2:$E$501&gt;=$H98)*($E$2:$E$501&lt;$H97)," ")))</f>
        <v xml:space="preserve"> </v>
      </c>
      <c r="AN97" t="str" cm="1">
        <f t="array" ref="AN97">_xlfn.TEXTJOIN(",",TRUE,(_xlfn._xlws.FILTER($A$2:$A$501,($D$2:$D$501&gt;=AO$7)*($D$2:$D$501&lt;AN$7)*($E$2:$E$501&gt;=$H98)*($E$2:$E$501&lt;$H97)," ")))</f>
        <v xml:space="preserve"> </v>
      </c>
      <c r="AO97" t="str" cm="1">
        <f t="array" ref="AO97">_xlfn.TEXTJOIN(",",TRUE,(_xlfn._xlws.FILTER($A$2:$A$501,($D$2:$D$501&gt;=AP$7)*($D$2:$D$501&lt;AO$7)*($E$2:$E$501&gt;=$H98)*($E$2:$E$501&lt;$H97)," ")))</f>
        <v xml:space="preserve"> </v>
      </c>
      <c r="AP97" t="str" cm="1">
        <f t="array" ref="AP97">_xlfn.TEXTJOIN(",",TRUE,(_xlfn._xlws.FILTER($A$2:$A$501,($D$2:$D$501&gt;=AQ$7)*($D$2:$D$501&lt;AP$7)*($E$2:$E$501&gt;=$H98)*($E$2:$E$501&lt;$H97)," ")))</f>
        <v xml:space="preserve"> </v>
      </c>
      <c r="AQ97" t="str" cm="1">
        <f t="array" ref="AQ97">_xlfn.TEXTJOIN(",",TRUE,(_xlfn._xlws.FILTER($A$2:$A$501,($D$2:$D$501&gt;=AR$7)*($D$2:$D$501&lt;AQ$7)*($E$2:$E$501&gt;=$H98)*($E$2:$E$501&lt;$H97)," ")))</f>
        <v xml:space="preserve"> </v>
      </c>
      <c r="AR97" t="str" cm="1">
        <f t="array" ref="AR97">_xlfn.TEXTJOIN(",",TRUE,(_xlfn._xlws.FILTER($A$2:$A$501,($D$2:$D$501&gt;=AS$7)*($D$2:$D$501&lt;AR$7)*($E$2:$E$501&gt;=$H98)*($E$2:$E$501&lt;$H97)," ")))</f>
        <v xml:space="preserve"> </v>
      </c>
      <c r="AS97" t="str" cm="1">
        <f t="array" ref="AS97">_xlfn.TEXTJOIN(",",TRUE,(_xlfn._xlws.FILTER($A$2:$A$501,($D$2:$D$501&gt;=AT$7)*($D$2:$D$501&lt;AS$7)*($E$2:$E$501&gt;=$H98)*($E$2:$E$501&lt;$H97)," ")))</f>
        <v xml:space="preserve"> </v>
      </c>
      <c r="AT97" t="str" cm="1">
        <f t="array" ref="AT97">_xlfn.TEXTJOIN(",",TRUE,(_xlfn._xlws.FILTER($A$2:$A$501,($D$2:$D$501&gt;=AU$7)*($D$2:$D$501&lt;AT$7)*($E$2:$E$501&gt;=$H98)*($E$2:$E$501&lt;$H97)," ")))</f>
        <v xml:space="preserve"> </v>
      </c>
      <c r="AU97" t="str" cm="1">
        <f t="array" ref="AU97">_xlfn.TEXTJOIN(",",TRUE,(_xlfn._xlws.FILTER($A$2:$A$501,($D$2:$D$501&gt;=AV$7)*($D$2:$D$501&lt;AU$7)*($E$2:$E$501&gt;=$H98)*($E$2:$E$501&lt;$H97)," ")))</f>
        <v xml:space="preserve"> </v>
      </c>
      <c r="AV97" t="str" cm="1">
        <f t="array" ref="AV97">_xlfn.TEXTJOIN(",",TRUE,(_xlfn._xlws.FILTER($A$2:$A$501,($D$2:$D$501&gt;=AW$7)*($D$2:$D$501&lt;AV$7)*($E$2:$E$501&gt;=$H98)*($E$2:$E$501&lt;$H97)," ")))</f>
        <v xml:space="preserve"> </v>
      </c>
      <c r="AW97" t="str" cm="1">
        <f t="array" ref="AW97">_xlfn.TEXTJOIN(",",TRUE,(_xlfn._xlws.FILTER($A$2:$A$501,($D$2:$D$501&gt;=AX$7)*($D$2:$D$501&lt;AW$7)*($E$2:$E$501&gt;=$H98)*($E$2:$E$501&lt;$H97)," ")))</f>
        <v xml:space="preserve"> </v>
      </c>
      <c r="AX97" t="str" cm="1">
        <f t="array" ref="AX97">_xlfn.TEXTJOIN(",",TRUE,(_xlfn._xlws.FILTER($A$2:$A$501,($D$2:$D$501&gt;=AY$7)*($D$2:$D$501&lt;AX$7)*($E$2:$E$501&gt;=$H98)*($E$2:$E$501&lt;$H97)," ")))</f>
        <v xml:space="preserve"> </v>
      </c>
      <c r="AY97" t="str" cm="1">
        <f t="array" ref="AY97">_xlfn.TEXTJOIN(",",TRUE,(_xlfn._xlws.FILTER($A$2:$A$501,($D$2:$D$501&gt;=AZ$7)*($D$2:$D$501&lt;AY$7)*($E$2:$E$501&gt;=$H98)*($E$2:$E$501&lt;$H97)," ")))</f>
        <v xml:space="preserve"> </v>
      </c>
      <c r="AZ97" t="str" cm="1">
        <f t="array" ref="AZ97">_xlfn.TEXTJOIN(",",TRUE,(_xlfn._xlws.FILTER($A$2:$A$501,($D$2:$D$501&gt;=BA$7)*($D$2:$D$501&lt;AZ$7)*($E$2:$E$501&gt;=$H98)*($E$2:$E$501&lt;$H97)," ")))</f>
        <v xml:space="preserve"> </v>
      </c>
      <c r="BA97" t="str" cm="1">
        <f t="array" ref="BA97">_xlfn.TEXTJOIN(",",TRUE,(_xlfn._xlws.FILTER($A$2:$A$501,($D$2:$D$501&gt;=BB$7)*($D$2:$D$501&lt;BA$7)*($E$2:$E$501&gt;=$H98)*($E$2:$E$501&lt;$H97)," ")))</f>
        <v xml:space="preserve"> </v>
      </c>
      <c r="BB97" t="str" cm="1">
        <f t="array" ref="BB97">_xlfn.TEXTJOIN(",",TRUE,(_xlfn._xlws.FILTER($A$2:$A$501,($D$2:$D$501&gt;=BC$7)*($D$2:$D$501&lt;BB$7)*($E$2:$E$501&gt;=$H98)*($E$2:$E$501&lt;$H97)," ")))</f>
        <v xml:space="preserve"> </v>
      </c>
    </row>
    <row r="98" spans="1:54" x14ac:dyDescent="0.2">
      <c r="A98" s="3" t="s">
        <v>190</v>
      </c>
      <c r="B98" s="3" t="s">
        <v>185</v>
      </c>
      <c r="C98" s="13">
        <v>769332.73</v>
      </c>
      <c r="D98" s="15">
        <v>17770468.190000001</v>
      </c>
      <c r="E98" s="22">
        <f>TuitionRates3[[#This Row],[Tuition]]/D98</f>
        <v>4.3292766503075453E-2</v>
      </c>
      <c r="F98"/>
      <c r="H98" s="18">
        <v>5.9999999999999901E-2</v>
      </c>
      <c r="I98" t="str" cm="1">
        <f t="array" ref="I98">_xlfn.TEXTJOIN(",",TRUE,(_xlfn._xlws.FILTER($A$2:$A$501,($D$2:$D$501&gt;=J$7)*($D$2:$D$501&lt;I$7)*($E$2:$E$501&gt;=$H99)*($E$2:$E$501&lt;$H98)," ")))</f>
        <v xml:space="preserve"> </v>
      </c>
      <c r="J98" t="str" cm="1">
        <f t="array" ref="J98">_xlfn.TEXTJOIN(",",TRUE,(_xlfn._xlws.FILTER($A$2:$A$501,($D$2:$D$501&gt;=K$7)*($D$2:$D$501&lt;J$7)*($E$2:$E$501&gt;=$H99)*($E$2:$E$501&lt;$H98)," ")))</f>
        <v xml:space="preserve"> </v>
      </c>
      <c r="K98" t="str" cm="1">
        <f t="array" ref="K98">_xlfn.TEXTJOIN(",",TRUE,(_xlfn._xlws.FILTER($A$2:$A$501,($D$2:$D$501&gt;=L$7)*($D$2:$D$501&lt;K$7)*($E$2:$E$501&gt;=$H99)*($E$2:$E$501&lt;$H98)," ")))</f>
        <v xml:space="preserve"> </v>
      </c>
      <c r="L98" t="str" cm="1">
        <f t="array" ref="L98">_xlfn.TEXTJOIN(",",TRUE,(_xlfn._xlws.FILTER($A$2:$A$501,($D$2:$D$501&gt;=M$7)*($D$2:$D$501&lt;L$7)*($E$2:$E$501&gt;=$H99)*($E$2:$E$501&lt;$H98)," ")))</f>
        <v xml:space="preserve"> </v>
      </c>
      <c r="M98" t="str" cm="1">
        <f t="array" ref="M98">_xlfn.TEXTJOIN(",",TRUE,(_xlfn._xlws.FILTER($A$2:$A$501,($D$2:$D$501&gt;=N$7)*($D$2:$D$501&lt;M$7)*($E$2:$E$501&gt;=$H99)*($E$2:$E$501&lt;$H98)," ")))</f>
        <v xml:space="preserve"> </v>
      </c>
      <c r="N98" t="str" cm="1">
        <f t="array" ref="N98">_xlfn.TEXTJOIN(",",TRUE,(_xlfn._xlws.FILTER($A$2:$A$501,($D$2:$D$501&gt;=O$7)*($D$2:$D$501&lt;N$7)*($E$2:$E$501&gt;=$H99)*($E$2:$E$501&lt;$H98)," ")))</f>
        <v xml:space="preserve"> </v>
      </c>
      <c r="O98" t="str" cm="1">
        <f t="array" ref="O98">_xlfn.TEXTJOIN(",",TRUE,(_xlfn._xlws.FILTER($A$2:$A$501,($D$2:$D$501&gt;=P$7)*($D$2:$D$501&lt;O$7)*($E$2:$E$501&gt;=$H99)*($E$2:$E$501&lt;$H98)," ")))</f>
        <v xml:space="preserve"> </v>
      </c>
      <c r="P98" t="str" cm="1">
        <f t="array" ref="P98">_xlfn.TEXTJOIN(",",TRUE,(_xlfn._xlws.FILTER($A$2:$A$501,($D$2:$D$501&gt;=Q$7)*($D$2:$D$501&lt;P$7)*($E$2:$E$501&gt;=$H99)*($E$2:$E$501&lt;$H98)," ")))</f>
        <v xml:space="preserve"> </v>
      </c>
      <c r="Q98" t="str" cm="1">
        <f t="array" ref="Q98">_xlfn.TEXTJOIN(",",TRUE,(_xlfn._xlws.FILTER($A$2:$A$501,($D$2:$D$501&gt;=R$7)*($D$2:$D$501&lt;Q$7)*($E$2:$E$501&gt;=$H99)*($E$2:$E$501&lt;$H98)," ")))</f>
        <v xml:space="preserve"> </v>
      </c>
      <c r="R98" t="str" cm="1">
        <f t="array" ref="R98">_xlfn.TEXTJOIN(",",TRUE,(_xlfn._xlws.FILTER($A$2:$A$501,($D$2:$D$501&gt;=S$7)*($D$2:$D$501&lt;R$7)*($E$2:$E$501&gt;=$H99)*($E$2:$E$501&lt;$H98)," ")))</f>
        <v xml:space="preserve"> </v>
      </c>
      <c r="S98" t="str" cm="1">
        <f t="array" ref="S98">_xlfn.TEXTJOIN(",",TRUE,(_xlfn._xlws.FILTER($A$2:$A$501,($D$2:$D$501&gt;=T$7)*($D$2:$D$501&lt;S$7)*($E$2:$E$501&gt;=$H99)*($E$2:$E$501&lt;$H98)," ")))</f>
        <v xml:space="preserve"> </v>
      </c>
      <c r="T98" t="str" cm="1">
        <f t="array" ref="T98">_xlfn.TEXTJOIN(",",TRUE,(_xlfn._xlws.FILTER($A$2:$A$501,($D$2:$D$501&gt;=U$7)*($D$2:$D$501&lt;T$7)*($E$2:$E$501&gt;=$H99)*($E$2:$E$501&lt;$H98)," ")))</f>
        <v xml:space="preserve"> </v>
      </c>
      <c r="U98" t="str" cm="1">
        <f t="array" ref="U98">_xlfn.TEXTJOIN(",",TRUE,(_xlfn._xlws.FILTER($A$2:$A$501,($D$2:$D$501&gt;=V$7)*($D$2:$D$501&lt;U$7)*($E$2:$E$501&gt;=$H99)*($E$2:$E$501&lt;$H98)," ")))</f>
        <v>West Shore SD</v>
      </c>
      <c r="V98" t="str" cm="1">
        <f t="array" ref="V98">_xlfn.TEXTJOIN(",",TRUE,(_xlfn._xlws.FILTER($A$2:$A$501,($D$2:$D$501&gt;=W$7)*($D$2:$D$501&lt;V$7)*($E$2:$E$501&gt;=$H99)*($E$2:$E$501&lt;$H98)," ")))</f>
        <v xml:space="preserve"> </v>
      </c>
      <c r="W98" t="str" cm="1">
        <f t="array" ref="W98">_xlfn.TEXTJOIN(",",TRUE,(_xlfn._xlws.FILTER($A$2:$A$501,($D$2:$D$501&gt;=X$7)*($D$2:$D$501&lt;W$7)*($E$2:$E$501&gt;=$H99)*($E$2:$E$501&lt;$H98)," ")))</f>
        <v xml:space="preserve"> </v>
      </c>
      <c r="X98" t="str" cm="1">
        <f t="array" ref="X98">_xlfn.TEXTJOIN(",",TRUE,(_xlfn._xlws.FILTER($A$2:$A$501,($D$2:$D$501&gt;=Y$7)*($D$2:$D$501&lt;X$7)*($E$2:$E$501&gt;=$H99)*($E$2:$E$501&lt;$H98)," ")))</f>
        <v xml:space="preserve"> </v>
      </c>
      <c r="Y98" t="str" cm="1">
        <f t="array" ref="Y98">_xlfn.TEXTJOIN(",",TRUE,(_xlfn._xlws.FILTER($A$2:$A$501,($D$2:$D$501&gt;=Z$7)*($D$2:$D$501&lt;Y$7)*($E$2:$E$501&gt;=$H99)*($E$2:$E$501&lt;$H98)," ")))</f>
        <v xml:space="preserve"> </v>
      </c>
      <c r="Z98" t="str" cm="1">
        <f t="array" ref="Z98">_xlfn.TEXTJOIN(",",TRUE,(_xlfn._xlws.FILTER($A$2:$A$501,($D$2:$D$501&gt;=AA$7)*($D$2:$D$501&lt;Z$7)*($E$2:$E$501&gt;=$H99)*($E$2:$E$501&lt;$H98)," ")))</f>
        <v xml:space="preserve"> </v>
      </c>
      <c r="AA98" t="str" cm="1">
        <f t="array" ref="AA98">_xlfn.TEXTJOIN(",",TRUE,(_xlfn._xlws.FILTER($A$2:$A$501,($D$2:$D$501&gt;=AB$7)*($D$2:$D$501&lt;AA$7)*($E$2:$E$501&gt;=$H99)*($E$2:$E$501&lt;$H98)," ")))</f>
        <v xml:space="preserve"> </v>
      </c>
      <c r="AB98" t="str" cm="1">
        <f t="array" ref="AB98">_xlfn.TEXTJOIN(",",TRUE,(_xlfn._xlws.FILTER($A$2:$A$501,($D$2:$D$501&gt;=AC$7)*($D$2:$D$501&lt;AB$7)*($E$2:$E$501&gt;=$H99)*($E$2:$E$501&lt;$H98)," ")))</f>
        <v xml:space="preserve"> </v>
      </c>
      <c r="AC98" t="str" cm="1">
        <f t="array" ref="AC98">_xlfn.TEXTJOIN(",",TRUE,(_xlfn._xlws.FILTER($A$2:$A$501,($D$2:$D$501&gt;=AD$7)*($D$2:$D$501&lt;AC$7)*($E$2:$E$501&gt;=$H99)*($E$2:$E$501&lt;$H98)," ")))</f>
        <v>Upper Dauphin Area SD,Lakeland SD,Newport SD</v>
      </c>
      <c r="AD98" t="str" cm="1">
        <f t="array" ref="AD98">_xlfn.TEXTJOIN(",",TRUE,(_xlfn._xlws.FILTER($A$2:$A$501,($D$2:$D$501&gt;=AE$7)*($D$2:$D$501&lt;AD$7)*($E$2:$E$501&gt;=$H99)*($E$2:$E$501&lt;$H98)," ")))</f>
        <v xml:space="preserve"> </v>
      </c>
      <c r="AE98" t="str" cm="1">
        <f t="array" ref="AE98">_xlfn.TEXTJOIN(",",TRUE,(_xlfn._xlws.FILTER($A$2:$A$501,($D$2:$D$501&gt;=AF$7)*($D$2:$D$501&lt;AE$7)*($E$2:$E$501&gt;=$H99)*($E$2:$E$501&lt;$H98)," ")))</f>
        <v xml:space="preserve"> </v>
      </c>
      <c r="AF98" t="str" cm="1">
        <f t="array" ref="AF98">_xlfn.TEXTJOIN(",",TRUE,(_xlfn._xlws.FILTER($A$2:$A$501,($D$2:$D$501&gt;=AG$7)*($D$2:$D$501&lt;AF$7)*($E$2:$E$501&gt;=$H99)*($E$2:$E$501&lt;$H98)," ")))</f>
        <v xml:space="preserve"> </v>
      </c>
      <c r="AG98" t="str" cm="1">
        <f t="array" ref="AG98">_xlfn.TEXTJOIN(",",TRUE,(_xlfn._xlws.FILTER($A$2:$A$501,($D$2:$D$501&gt;=AH$7)*($D$2:$D$501&lt;AG$7)*($E$2:$E$501&gt;=$H99)*($E$2:$E$501&lt;$H98)," ")))</f>
        <v xml:space="preserve"> </v>
      </c>
      <c r="AH98" t="str" cm="1">
        <f t="array" ref="AH98">_xlfn.TEXTJOIN(",",TRUE,(_xlfn._xlws.FILTER($A$2:$A$501,($D$2:$D$501&gt;=AI$7)*($D$2:$D$501&lt;AH$7)*($E$2:$E$501&gt;=$H99)*($E$2:$E$501&lt;$H98)," ")))</f>
        <v xml:space="preserve"> </v>
      </c>
      <c r="AI98" t="str" cm="1">
        <f t="array" ref="AI98">_xlfn.TEXTJOIN(",",TRUE,(_xlfn._xlws.FILTER($A$2:$A$501,($D$2:$D$501&gt;=AJ$7)*($D$2:$D$501&lt;AI$7)*($E$2:$E$501&gt;=$H99)*($E$2:$E$501&lt;$H98)," ")))</f>
        <v xml:space="preserve"> </v>
      </c>
      <c r="AJ98" t="str" cm="1">
        <f t="array" ref="AJ98">_xlfn.TEXTJOIN(",",TRUE,(_xlfn._xlws.FILTER($A$2:$A$501,($D$2:$D$501&gt;=AK$7)*($D$2:$D$501&lt;AJ$7)*($E$2:$E$501&gt;=$H99)*($E$2:$E$501&lt;$H98)," ")))</f>
        <v xml:space="preserve"> </v>
      </c>
      <c r="AK98" t="str" cm="1">
        <f t="array" ref="AK98">_xlfn.TEXTJOIN(",",TRUE,(_xlfn._xlws.FILTER($A$2:$A$501,($D$2:$D$501&gt;=AL$7)*($D$2:$D$501&lt;AK$7)*($E$2:$E$501&gt;=$H99)*($E$2:$E$501&lt;$H98)," ")))</f>
        <v xml:space="preserve"> </v>
      </c>
      <c r="AL98" t="str" cm="1">
        <f t="array" ref="AL98">_xlfn.TEXTJOIN(",",TRUE,(_xlfn._xlws.FILTER($A$2:$A$501,($D$2:$D$501&gt;=AM$7)*($D$2:$D$501&lt;AL$7)*($E$2:$E$501&gt;=$H99)*($E$2:$E$501&lt;$H98)," ")))</f>
        <v xml:space="preserve"> </v>
      </c>
      <c r="AM98" t="str" cm="1">
        <f t="array" ref="AM98">_xlfn.TEXTJOIN(",",TRUE,(_xlfn._xlws.FILTER($A$2:$A$501,($D$2:$D$501&gt;=AN$7)*($D$2:$D$501&lt;AM$7)*($E$2:$E$501&gt;=$H99)*($E$2:$E$501&lt;$H98)," ")))</f>
        <v xml:space="preserve"> </v>
      </c>
      <c r="AN98" t="str" cm="1">
        <f t="array" ref="AN98">_xlfn.TEXTJOIN(",",TRUE,(_xlfn._xlws.FILTER($A$2:$A$501,($D$2:$D$501&gt;=AO$7)*($D$2:$D$501&lt;AN$7)*($E$2:$E$501&gt;=$H99)*($E$2:$E$501&lt;$H98)," ")))</f>
        <v xml:space="preserve"> </v>
      </c>
      <c r="AO98" t="str" cm="1">
        <f t="array" ref="AO98">_xlfn.TEXTJOIN(",",TRUE,(_xlfn._xlws.FILTER($A$2:$A$501,($D$2:$D$501&gt;=AP$7)*($D$2:$D$501&lt;AO$7)*($E$2:$E$501&gt;=$H99)*($E$2:$E$501&lt;$H98)," ")))</f>
        <v xml:space="preserve"> </v>
      </c>
      <c r="AP98" t="str" cm="1">
        <f t="array" ref="AP98">_xlfn.TEXTJOIN(",",TRUE,(_xlfn._xlws.FILTER($A$2:$A$501,($D$2:$D$501&gt;=AQ$7)*($D$2:$D$501&lt;AP$7)*($E$2:$E$501&gt;=$H99)*($E$2:$E$501&lt;$H98)," ")))</f>
        <v xml:space="preserve"> </v>
      </c>
      <c r="AQ98" t="str" cm="1">
        <f t="array" ref="AQ98">_xlfn.TEXTJOIN(",",TRUE,(_xlfn._xlws.FILTER($A$2:$A$501,($D$2:$D$501&gt;=AR$7)*($D$2:$D$501&lt;AQ$7)*($E$2:$E$501&gt;=$H99)*($E$2:$E$501&lt;$H98)," ")))</f>
        <v xml:space="preserve"> </v>
      </c>
      <c r="AR98" t="str" cm="1">
        <f t="array" ref="AR98">_xlfn.TEXTJOIN(",",TRUE,(_xlfn._xlws.FILTER($A$2:$A$501,($D$2:$D$501&gt;=AS$7)*($D$2:$D$501&lt;AR$7)*($E$2:$E$501&gt;=$H99)*($E$2:$E$501&lt;$H98)," ")))</f>
        <v xml:space="preserve"> </v>
      </c>
      <c r="AS98" t="str" cm="1">
        <f t="array" ref="AS98">_xlfn.TEXTJOIN(",",TRUE,(_xlfn._xlws.FILTER($A$2:$A$501,($D$2:$D$501&gt;=AT$7)*($D$2:$D$501&lt;AS$7)*($E$2:$E$501&gt;=$H99)*($E$2:$E$501&lt;$H98)," ")))</f>
        <v xml:space="preserve"> </v>
      </c>
      <c r="AT98" t="str" cm="1">
        <f t="array" ref="AT98">_xlfn.TEXTJOIN(",",TRUE,(_xlfn._xlws.FILTER($A$2:$A$501,($D$2:$D$501&gt;=AU$7)*($D$2:$D$501&lt;AT$7)*($E$2:$E$501&gt;=$H99)*($E$2:$E$501&lt;$H98)," ")))</f>
        <v xml:space="preserve"> </v>
      </c>
      <c r="AU98" t="str" cm="1">
        <f t="array" ref="AU98">_xlfn.TEXTJOIN(",",TRUE,(_xlfn._xlws.FILTER($A$2:$A$501,($D$2:$D$501&gt;=AV$7)*($D$2:$D$501&lt;AU$7)*($E$2:$E$501&gt;=$H99)*($E$2:$E$501&lt;$H98)," ")))</f>
        <v xml:space="preserve"> </v>
      </c>
      <c r="AV98" t="str" cm="1">
        <f t="array" ref="AV98">_xlfn.TEXTJOIN(",",TRUE,(_xlfn._xlws.FILTER($A$2:$A$501,($D$2:$D$501&gt;=AW$7)*($D$2:$D$501&lt;AV$7)*($E$2:$E$501&gt;=$H99)*($E$2:$E$501&lt;$H98)," ")))</f>
        <v xml:space="preserve"> </v>
      </c>
      <c r="AW98" t="str" cm="1">
        <f t="array" ref="AW98">_xlfn.TEXTJOIN(",",TRUE,(_xlfn._xlws.FILTER($A$2:$A$501,($D$2:$D$501&gt;=AX$7)*($D$2:$D$501&lt;AW$7)*($E$2:$E$501&gt;=$H99)*($E$2:$E$501&lt;$H98)," ")))</f>
        <v xml:space="preserve"> </v>
      </c>
      <c r="AX98" t="str" cm="1">
        <f t="array" ref="AX98">_xlfn.TEXTJOIN(",",TRUE,(_xlfn._xlws.FILTER($A$2:$A$501,($D$2:$D$501&gt;=AY$7)*($D$2:$D$501&lt;AX$7)*($E$2:$E$501&gt;=$H99)*($E$2:$E$501&lt;$H98)," ")))</f>
        <v xml:space="preserve"> </v>
      </c>
      <c r="AY98" t="str" cm="1">
        <f t="array" ref="AY98">_xlfn.TEXTJOIN(",",TRUE,(_xlfn._xlws.FILTER($A$2:$A$501,($D$2:$D$501&gt;=AZ$7)*($D$2:$D$501&lt;AY$7)*($E$2:$E$501&gt;=$H99)*($E$2:$E$501&lt;$H98)," ")))</f>
        <v xml:space="preserve"> </v>
      </c>
      <c r="AZ98" t="str" cm="1">
        <f t="array" ref="AZ98">_xlfn.TEXTJOIN(",",TRUE,(_xlfn._xlws.FILTER($A$2:$A$501,($D$2:$D$501&gt;=BA$7)*($D$2:$D$501&lt;AZ$7)*($E$2:$E$501&gt;=$H99)*($E$2:$E$501&lt;$H98)," ")))</f>
        <v xml:space="preserve"> </v>
      </c>
      <c r="BA98" t="str" cm="1">
        <f t="array" ref="BA98">_xlfn.TEXTJOIN(",",TRUE,(_xlfn._xlws.FILTER($A$2:$A$501,($D$2:$D$501&gt;=BB$7)*($D$2:$D$501&lt;BA$7)*($E$2:$E$501&gt;=$H99)*($E$2:$E$501&lt;$H98)," ")))</f>
        <v xml:space="preserve"> </v>
      </c>
      <c r="BB98" t="str" cm="1">
        <f t="array" ref="BB98">_xlfn.TEXTJOIN(",",TRUE,(_xlfn._xlws.FILTER($A$2:$A$501,($D$2:$D$501&gt;=BC$7)*($D$2:$D$501&lt;BB$7)*($E$2:$E$501&gt;=$H99)*($E$2:$E$501&lt;$H98)," ")))</f>
        <v xml:space="preserve"> </v>
      </c>
    </row>
    <row r="99" spans="1:54" x14ac:dyDescent="0.2">
      <c r="A99" s="3" t="s">
        <v>93</v>
      </c>
      <c r="B99" s="3" t="s">
        <v>81</v>
      </c>
      <c r="C99" s="13">
        <v>15092204</v>
      </c>
      <c r="D99" s="15">
        <v>353056600.10000002</v>
      </c>
      <c r="E99" s="22">
        <f>TuitionRates3[[#This Row],[Tuition]]/D99</f>
        <v>4.2747264874032298E-2</v>
      </c>
      <c r="F99"/>
      <c r="H99" s="18">
        <v>5.89999999999999E-2</v>
      </c>
      <c r="I99" t="str" cm="1">
        <f t="array" ref="I99">_xlfn.TEXTJOIN(",",TRUE,(_xlfn._xlws.FILTER($A$2:$A$501,($D$2:$D$501&gt;=J$7)*($D$2:$D$501&lt;I$7)*($E$2:$E$501&gt;=$H100)*($E$2:$E$501&lt;$H99)," ")))</f>
        <v xml:space="preserve"> </v>
      </c>
      <c r="J99" t="str" cm="1">
        <f t="array" ref="J99">_xlfn.TEXTJOIN(",",TRUE,(_xlfn._xlws.FILTER($A$2:$A$501,($D$2:$D$501&gt;=K$7)*($D$2:$D$501&lt;J$7)*($E$2:$E$501&gt;=$H100)*($E$2:$E$501&lt;$H99)," ")))</f>
        <v xml:space="preserve"> </v>
      </c>
      <c r="K99" t="str" cm="1">
        <f t="array" ref="K99">_xlfn.TEXTJOIN(",",TRUE,(_xlfn._xlws.FILTER($A$2:$A$501,($D$2:$D$501&gt;=L$7)*($D$2:$D$501&lt;K$7)*($E$2:$E$501&gt;=$H100)*($E$2:$E$501&lt;$H99)," ")))</f>
        <v xml:space="preserve"> </v>
      </c>
      <c r="L99" t="str" cm="1">
        <f t="array" ref="L99">_xlfn.TEXTJOIN(",",TRUE,(_xlfn._xlws.FILTER($A$2:$A$501,($D$2:$D$501&gt;=M$7)*($D$2:$D$501&lt;L$7)*($E$2:$E$501&gt;=$H100)*($E$2:$E$501&lt;$H99)," ")))</f>
        <v xml:space="preserve"> </v>
      </c>
      <c r="M99" t="str" cm="1">
        <f t="array" ref="M99">_xlfn.TEXTJOIN(",",TRUE,(_xlfn._xlws.FILTER($A$2:$A$501,($D$2:$D$501&gt;=N$7)*($D$2:$D$501&lt;M$7)*($E$2:$E$501&gt;=$H100)*($E$2:$E$501&lt;$H99)," ")))</f>
        <v xml:space="preserve"> </v>
      </c>
      <c r="N99" t="str" cm="1">
        <f t="array" ref="N99">_xlfn.TEXTJOIN(",",TRUE,(_xlfn._xlws.FILTER($A$2:$A$501,($D$2:$D$501&gt;=O$7)*($D$2:$D$501&lt;N$7)*($E$2:$E$501&gt;=$H100)*($E$2:$E$501&lt;$H99)," ")))</f>
        <v xml:space="preserve"> </v>
      </c>
      <c r="O99" t="str" cm="1">
        <f t="array" ref="O99">_xlfn.TEXTJOIN(",",TRUE,(_xlfn._xlws.FILTER($A$2:$A$501,($D$2:$D$501&gt;=P$7)*($D$2:$D$501&lt;O$7)*($E$2:$E$501&gt;=$H100)*($E$2:$E$501&lt;$H99)," ")))</f>
        <v xml:space="preserve"> </v>
      </c>
      <c r="P99" t="str" cm="1">
        <f t="array" ref="P99">_xlfn.TEXTJOIN(",",TRUE,(_xlfn._xlws.FILTER($A$2:$A$501,($D$2:$D$501&gt;=Q$7)*($D$2:$D$501&lt;P$7)*($E$2:$E$501&gt;=$H100)*($E$2:$E$501&lt;$H99)," ")))</f>
        <v xml:space="preserve"> </v>
      </c>
      <c r="Q99" t="str" cm="1">
        <f t="array" ref="Q99">_xlfn.TEXTJOIN(",",TRUE,(_xlfn._xlws.FILTER($A$2:$A$501,($D$2:$D$501&gt;=R$7)*($D$2:$D$501&lt;Q$7)*($E$2:$E$501&gt;=$H100)*($E$2:$E$501&lt;$H99)," ")))</f>
        <v xml:space="preserve"> </v>
      </c>
      <c r="R99" t="str" cm="1">
        <f t="array" ref="R99">_xlfn.TEXTJOIN(",",TRUE,(_xlfn._xlws.FILTER($A$2:$A$501,($D$2:$D$501&gt;=S$7)*($D$2:$D$501&lt;R$7)*($E$2:$E$501&gt;=$H100)*($E$2:$E$501&lt;$H99)," ")))</f>
        <v xml:space="preserve"> </v>
      </c>
      <c r="S99" t="str" cm="1">
        <f t="array" ref="S99">_xlfn.TEXTJOIN(",",TRUE,(_xlfn._xlws.FILTER($A$2:$A$501,($D$2:$D$501&gt;=T$7)*($D$2:$D$501&lt;S$7)*($E$2:$E$501&gt;=$H100)*($E$2:$E$501&lt;$H99)," ")))</f>
        <v xml:space="preserve"> </v>
      </c>
      <c r="T99" t="str" cm="1">
        <f t="array" ref="T99">_xlfn.TEXTJOIN(",",TRUE,(_xlfn._xlws.FILTER($A$2:$A$501,($D$2:$D$501&gt;=U$7)*($D$2:$D$501&lt;T$7)*($E$2:$E$501&gt;=$H100)*($E$2:$E$501&lt;$H99)," ")))</f>
        <v xml:space="preserve"> </v>
      </c>
      <c r="U99" t="str" cm="1">
        <f t="array" ref="U99">_xlfn.TEXTJOIN(",",TRUE,(_xlfn._xlws.FILTER($A$2:$A$501,($D$2:$D$501&gt;=V$7)*($D$2:$D$501&lt;U$7)*($E$2:$E$501&gt;=$H100)*($E$2:$E$501&lt;$H99)," ")))</f>
        <v xml:space="preserve"> </v>
      </c>
      <c r="V99" t="str" cm="1">
        <f t="array" ref="V99">_xlfn.TEXTJOIN(",",TRUE,(_xlfn._xlws.FILTER($A$2:$A$501,($D$2:$D$501&gt;=W$7)*($D$2:$D$501&lt;V$7)*($E$2:$E$501&gt;=$H100)*($E$2:$E$501&lt;$H99)," ")))</f>
        <v xml:space="preserve"> </v>
      </c>
      <c r="W99" t="str" cm="1">
        <f t="array" ref="W99">_xlfn.TEXTJOIN(",",TRUE,(_xlfn._xlws.FILTER($A$2:$A$501,($D$2:$D$501&gt;=X$7)*($D$2:$D$501&lt;W$7)*($E$2:$E$501&gt;=$H100)*($E$2:$E$501&lt;$H99)," ")))</f>
        <v xml:space="preserve"> </v>
      </c>
      <c r="X99" t="str" cm="1">
        <f t="array" ref="X99">_xlfn.TEXTJOIN(",",TRUE,(_xlfn._xlws.FILTER($A$2:$A$501,($D$2:$D$501&gt;=Y$7)*($D$2:$D$501&lt;X$7)*($E$2:$E$501&gt;=$H100)*($E$2:$E$501&lt;$H99)," ")))</f>
        <v xml:space="preserve"> </v>
      </c>
      <c r="Y99" t="str" cm="1">
        <f t="array" ref="Y99">_xlfn.TEXTJOIN(",",TRUE,(_xlfn._xlws.FILTER($A$2:$A$501,($D$2:$D$501&gt;=Z$7)*($D$2:$D$501&lt;Y$7)*($E$2:$E$501&gt;=$H100)*($E$2:$E$501&lt;$H99)," ")))</f>
        <v xml:space="preserve"> </v>
      </c>
      <c r="Z99" t="str" cm="1">
        <f t="array" ref="Z99">_xlfn.TEXTJOIN(",",TRUE,(_xlfn._xlws.FILTER($A$2:$A$501,($D$2:$D$501&gt;=AA$7)*($D$2:$D$501&lt;Z$7)*($E$2:$E$501&gt;=$H100)*($E$2:$E$501&lt;$H99)," ")))</f>
        <v xml:space="preserve"> </v>
      </c>
      <c r="AA99" t="str" cm="1">
        <f t="array" ref="AA99">_xlfn.TEXTJOIN(",",TRUE,(_xlfn._xlws.FILTER($A$2:$A$501,($D$2:$D$501&gt;=AB$7)*($D$2:$D$501&lt;AA$7)*($E$2:$E$501&gt;=$H100)*($E$2:$E$501&lt;$H99)," ")))</f>
        <v xml:space="preserve"> </v>
      </c>
      <c r="AB99" t="str" cm="1">
        <f t="array" ref="AB99">_xlfn.TEXTJOIN(",",TRUE,(_xlfn._xlws.FILTER($A$2:$A$501,($D$2:$D$501&gt;=AC$7)*($D$2:$D$501&lt;AB$7)*($E$2:$E$501&gt;=$H100)*($E$2:$E$501&lt;$H99)," ")))</f>
        <v>Hanover Area SD</v>
      </c>
      <c r="AC99" t="str" cm="1">
        <f t="array" ref="AC99">_xlfn.TEXTJOIN(",",TRUE,(_xlfn._xlws.FILTER($A$2:$A$501,($D$2:$D$501&gt;=AD$7)*($D$2:$D$501&lt;AC$7)*($E$2:$E$501&gt;=$H100)*($E$2:$E$501&lt;$H99)," ")))</f>
        <v xml:space="preserve"> </v>
      </c>
      <c r="AD99" t="str" cm="1">
        <f t="array" ref="AD99">_xlfn.TEXTJOIN(",",TRUE,(_xlfn._xlws.FILTER($A$2:$A$501,($D$2:$D$501&gt;=AE$7)*($D$2:$D$501&lt;AD$7)*($E$2:$E$501&gt;=$H100)*($E$2:$E$501&lt;$H99)," ")))</f>
        <v>Central Fulton SD</v>
      </c>
      <c r="AE99" t="str" cm="1">
        <f t="array" ref="AE99">_xlfn.TEXTJOIN(",",TRUE,(_xlfn._xlws.FILTER($A$2:$A$501,($D$2:$D$501&gt;=AF$7)*($D$2:$D$501&lt;AE$7)*($E$2:$E$501&gt;=$H100)*($E$2:$E$501&lt;$H99)," ")))</f>
        <v xml:space="preserve"> </v>
      </c>
      <c r="AF99" t="str" cm="1">
        <f t="array" ref="AF99">_xlfn.TEXTJOIN(",",TRUE,(_xlfn._xlws.FILTER($A$2:$A$501,($D$2:$D$501&gt;=AG$7)*($D$2:$D$501&lt;AF$7)*($E$2:$E$501&gt;=$H100)*($E$2:$E$501&lt;$H99)," ")))</f>
        <v xml:space="preserve"> </v>
      </c>
      <c r="AG99" t="str" cm="1">
        <f t="array" ref="AG99">_xlfn.TEXTJOIN(",",TRUE,(_xlfn._xlws.FILTER($A$2:$A$501,($D$2:$D$501&gt;=AH$7)*($D$2:$D$501&lt;AG$7)*($E$2:$E$501&gt;=$H100)*($E$2:$E$501&lt;$H99)," ")))</f>
        <v xml:space="preserve"> </v>
      </c>
      <c r="AH99" t="str" cm="1">
        <f t="array" ref="AH99">_xlfn.TEXTJOIN(",",TRUE,(_xlfn._xlws.FILTER($A$2:$A$501,($D$2:$D$501&gt;=AI$7)*($D$2:$D$501&lt;AH$7)*($E$2:$E$501&gt;=$H100)*($E$2:$E$501&lt;$H99)," ")))</f>
        <v xml:space="preserve"> </v>
      </c>
      <c r="AI99" t="str" cm="1">
        <f t="array" ref="AI99">_xlfn.TEXTJOIN(",",TRUE,(_xlfn._xlws.FILTER($A$2:$A$501,($D$2:$D$501&gt;=AJ$7)*($D$2:$D$501&lt;AI$7)*($E$2:$E$501&gt;=$H100)*($E$2:$E$501&lt;$H99)," ")))</f>
        <v xml:space="preserve"> </v>
      </c>
      <c r="AJ99" t="str" cm="1">
        <f t="array" ref="AJ99">_xlfn.TEXTJOIN(",",TRUE,(_xlfn._xlws.FILTER($A$2:$A$501,($D$2:$D$501&gt;=AK$7)*($D$2:$D$501&lt;AJ$7)*($E$2:$E$501&gt;=$H100)*($E$2:$E$501&lt;$H99)," ")))</f>
        <v xml:space="preserve"> </v>
      </c>
      <c r="AK99" t="str" cm="1">
        <f t="array" ref="AK99">_xlfn.TEXTJOIN(",",TRUE,(_xlfn._xlws.FILTER($A$2:$A$501,($D$2:$D$501&gt;=AL$7)*($D$2:$D$501&lt;AK$7)*($E$2:$E$501&gt;=$H100)*($E$2:$E$501&lt;$H99)," ")))</f>
        <v xml:space="preserve"> </v>
      </c>
      <c r="AL99" t="str" cm="1">
        <f t="array" ref="AL99">_xlfn.TEXTJOIN(",",TRUE,(_xlfn._xlws.FILTER($A$2:$A$501,($D$2:$D$501&gt;=AM$7)*($D$2:$D$501&lt;AL$7)*($E$2:$E$501&gt;=$H100)*($E$2:$E$501&lt;$H99)," ")))</f>
        <v xml:space="preserve"> </v>
      </c>
      <c r="AM99" t="str" cm="1">
        <f t="array" ref="AM99">_xlfn.TEXTJOIN(",",TRUE,(_xlfn._xlws.FILTER($A$2:$A$501,($D$2:$D$501&gt;=AN$7)*($D$2:$D$501&lt;AM$7)*($E$2:$E$501&gt;=$H100)*($E$2:$E$501&lt;$H99)," ")))</f>
        <v xml:space="preserve"> </v>
      </c>
      <c r="AN99" t="str" cm="1">
        <f t="array" ref="AN99">_xlfn.TEXTJOIN(",",TRUE,(_xlfn._xlws.FILTER($A$2:$A$501,($D$2:$D$501&gt;=AO$7)*($D$2:$D$501&lt;AN$7)*($E$2:$E$501&gt;=$H100)*($E$2:$E$501&lt;$H99)," ")))</f>
        <v xml:space="preserve"> </v>
      </c>
      <c r="AO99" t="str" cm="1">
        <f t="array" ref="AO99">_xlfn.TEXTJOIN(",",TRUE,(_xlfn._xlws.FILTER($A$2:$A$501,($D$2:$D$501&gt;=AP$7)*($D$2:$D$501&lt;AO$7)*($E$2:$E$501&gt;=$H100)*($E$2:$E$501&lt;$H99)," ")))</f>
        <v xml:space="preserve"> </v>
      </c>
      <c r="AP99" t="str" cm="1">
        <f t="array" ref="AP99">_xlfn.TEXTJOIN(",",TRUE,(_xlfn._xlws.FILTER($A$2:$A$501,($D$2:$D$501&gt;=AQ$7)*($D$2:$D$501&lt;AP$7)*($E$2:$E$501&gt;=$H100)*($E$2:$E$501&lt;$H99)," ")))</f>
        <v xml:space="preserve"> </v>
      </c>
      <c r="AQ99" t="str" cm="1">
        <f t="array" ref="AQ99">_xlfn.TEXTJOIN(",",TRUE,(_xlfn._xlws.FILTER($A$2:$A$501,($D$2:$D$501&gt;=AR$7)*($D$2:$D$501&lt;AQ$7)*($E$2:$E$501&gt;=$H100)*($E$2:$E$501&lt;$H99)," ")))</f>
        <v xml:space="preserve"> </v>
      </c>
      <c r="AR99" t="str" cm="1">
        <f t="array" ref="AR99">_xlfn.TEXTJOIN(",",TRUE,(_xlfn._xlws.FILTER($A$2:$A$501,($D$2:$D$501&gt;=AS$7)*($D$2:$D$501&lt;AR$7)*($E$2:$E$501&gt;=$H100)*($E$2:$E$501&lt;$H99)," ")))</f>
        <v xml:space="preserve"> </v>
      </c>
      <c r="AS99" t="str" cm="1">
        <f t="array" ref="AS99">_xlfn.TEXTJOIN(",",TRUE,(_xlfn._xlws.FILTER($A$2:$A$501,($D$2:$D$501&gt;=AT$7)*($D$2:$D$501&lt;AS$7)*($E$2:$E$501&gt;=$H100)*($E$2:$E$501&lt;$H99)," ")))</f>
        <v xml:space="preserve"> </v>
      </c>
      <c r="AT99" t="str" cm="1">
        <f t="array" ref="AT99">_xlfn.TEXTJOIN(",",TRUE,(_xlfn._xlws.FILTER($A$2:$A$501,($D$2:$D$501&gt;=AU$7)*($D$2:$D$501&lt;AT$7)*($E$2:$E$501&gt;=$H100)*($E$2:$E$501&lt;$H99)," ")))</f>
        <v xml:space="preserve"> </v>
      </c>
      <c r="AU99" t="str" cm="1">
        <f t="array" ref="AU99">_xlfn.TEXTJOIN(",",TRUE,(_xlfn._xlws.FILTER($A$2:$A$501,($D$2:$D$501&gt;=AV$7)*($D$2:$D$501&lt;AU$7)*($E$2:$E$501&gt;=$H100)*($E$2:$E$501&lt;$H99)," ")))</f>
        <v xml:space="preserve"> </v>
      </c>
      <c r="AV99" t="str" cm="1">
        <f t="array" ref="AV99">_xlfn.TEXTJOIN(",",TRUE,(_xlfn._xlws.FILTER($A$2:$A$501,($D$2:$D$501&gt;=AW$7)*($D$2:$D$501&lt;AV$7)*($E$2:$E$501&gt;=$H100)*($E$2:$E$501&lt;$H99)," ")))</f>
        <v xml:space="preserve"> </v>
      </c>
      <c r="AW99" t="str" cm="1">
        <f t="array" ref="AW99">_xlfn.TEXTJOIN(",",TRUE,(_xlfn._xlws.FILTER($A$2:$A$501,($D$2:$D$501&gt;=AX$7)*($D$2:$D$501&lt;AW$7)*($E$2:$E$501&gt;=$H100)*($E$2:$E$501&lt;$H99)," ")))</f>
        <v xml:space="preserve"> </v>
      </c>
      <c r="AX99" t="str" cm="1">
        <f t="array" ref="AX99">_xlfn.TEXTJOIN(",",TRUE,(_xlfn._xlws.FILTER($A$2:$A$501,($D$2:$D$501&gt;=AY$7)*($D$2:$D$501&lt;AX$7)*($E$2:$E$501&gt;=$H100)*($E$2:$E$501&lt;$H99)," ")))</f>
        <v xml:space="preserve"> </v>
      </c>
      <c r="AY99" t="str" cm="1">
        <f t="array" ref="AY99">_xlfn.TEXTJOIN(",",TRUE,(_xlfn._xlws.FILTER($A$2:$A$501,($D$2:$D$501&gt;=AZ$7)*($D$2:$D$501&lt;AY$7)*($E$2:$E$501&gt;=$H100)*($E$2:$E$501&lt;$H99)," ")))</f>
        <v xml:space="preserve"> </v>
      </c>
      <c r="AZ99" t="str" cm="1">
        <f t="array" ref="AZ99">_xlfn.TEXTJOIN(",",TRUE,(_xlfn._xlws.FILTER($A$2:$A$501,($D$2:$D$501&gt;=BA$7)*($D$2:$D$501&lt;AZ$7)*($E$2:$E$501&gt;=$H100)*($E$2:$E$501&lt;$H99)," ")))</f>
        <v xml:space="preserve"> </v>
      </c>
      <c r="BA99" t="str" cm="1">
        <f t="array" ref="BA99">_xlfn.TEXTJOIN(",",TRUE,(_xlfn._xlws.FILTER($A$2:$A$501,($D$2:$D$501&gt;=BB$7)*($D$2:$D$501&lt;BA$7)*($E$2:$E$501&gt;=$H100)*($E$2:$E$501&lt;$H99)," ")))</f>
        <v xml:space="preserve"> </v>
      </c>
      <c r="BB99" t="str" cm="1">
        <f t="array" ref="BB99">_xlfn.TEXTJOIN(",",TRUE,(_xlfn._xlws.FILTER($A$2:$A$501,($D$2:$D$501&gt;=BC$7)*($D$2:$D$501&lt;BB$7)*($E$2:$E$501&gt;=$H100)*($E$2:$E$501&lt;$H99)," ")))</f>
        <v xml:space="preserve"> </v>
      </c>
    </row>
    <row r="100" spans="1:54" x14ac:dyDescent="0.2">
      <c r="A100" s="3" t="s">
        <v>544</v>
      </c>
      <c r="B100" s="3" t="s">
        <v>533</v>
      </c>
      <c r="C100" s="13">
        <v>1636833.13</v>
      </c>
      <c r="D100" s="15">
        <v>38546293.43</v>
      </c>
      <c r="E100" s="22">
        <f>TuitionRates3[[#This Row],[Tuition]]/D100</f>
        <v>4.2464086280370537E-2</v>
      </c>
      <c r="F100"/>
      <c r="H100" s="18">
        <v>5.7999999999999899E-2</v>
      </c>
      <c r="I100" t="str" cm="1">
        <f t="array" ref="I100">_xlfn.TEXTJOIN(",",TRUE,(_xlfn._xlws.FILTER($A$2:$A$501,($D$2:$D$501&gt;=J$7)*($D$2:$D$501&lt;I$7)*($E$2:$E$501&gt;=$H101)*($E$2:$E$501&lt;$H100)," ")))</f>
        <v xml:space="preserve"> </v>
      </c>
      <c r="J100" t="str" cm="1">
        <f t="array" ref="J100">_xlfn.TEXTJOIN(",",TRUE,(_xlfn._xlws.FILTER($A$2:$A$501,($D$2:$D$501&gt;=K$7)*($D$2:$D$501&lt;J$7)*($E$2:$E$501&gt;=$H101)*($E$2:$E$501&lt;$H100)," ")))</f>
        <v xml:space="preserve"> </v>
      </c>
      <c r="K100" t="str" cm="1">
        <f t="array" ref="K100">_xlfn.TEXTJOIN(",",TRUE,(_xlfn._xlws.FILTER($A$2:$A$501,($D$2:$D$501&gt;=L$7)*($D$2:$D$501&lt;K$7)*($E$2:$E$501&gt;=$H101)*($E$2:$E$501&lt;$H100)," ")))</f>
        <v xml:space="preserve"> </v>
      </c>
      <c r="L100" t="str" cm="1">
        <f t="array" ref="L100">_xlfn.TEXTJOIN(",",TRUE,(_xlfn._xlws.FILTER($A$2:$A$501,($D$2:$D$501&gt;=M$7)*($D$2:$D$501&lt;L$7)*($E$2:$E$501&gt;=$H101)*($E$2:$E$501&lt;$H100)," ")))</f>
        <v xml:space="preserve"> </v>
      </c>
      <c r="M100" t="str" cm="1">
        <f t="array" ref="M100">_xlfn.TEXTJOIN(",",TRUE,(_xlfn._xlws.FILTER($A$2:$A$501,($D$2:$D$501&gt;=N$7)*($D$2:$D$501&lt;M$7)*($E$2:$E$501&gt;=$H101)*($E$2:$E$501&lt;$H100)," ")))</f>
        <v xml:space="preserve"> </v>
      </c>
      <c r="N100" t="str" cm="1">
        <f t="array" ref="N100">_xlfn.TEXTJOIN(",",TRUE,(_xlfn._xlws.FILTER($A$2:$A$501,($D$2:$D$501&gt;=O$7)*($D$2:$D$501&lt;N$7)*($E$2:$E$501&gt;=$H101)*($E$2:$E$501&lt;$H100)," ")))</f>
        <v xml:space="preserve"> </v>
      </c>
      <c r="O100" t="str" cm="1">
        <f t="array" ref="O100">_xlfn.TEXTJOIN(",",TRUE,(_xlfn._xlws.FILTER($A$2:$A$501,($D$2:$D$501&gt;=P$7)*($D$2:$D$501&lt;O$7)*($E$2:$E$501&gt;=$H101)*($E$2:$E$501&lt;$H100)," ")))</f>
        <v xml:space="preserve"> </v>
      </c>
      <c r="P100" t="str" cm="1">
        <f t="array" ref="P100">_xlfn.TEXTJOIN(",",TRUE,(_xlfn._xlws.FILTER($A$2:$A$501,($D$2:$D$501&gt;=Q$7)*($D$2:$D$501&lt;P$7)*($E$2:$E$501&gt;=$H101)*($E$2:$E$501&lt;$H100)," ")))</f>
        <v xml:space="preserve"> </v>
      </c>
      <c r="Q100" t="str" cm="1">
        <f t="array" ref="Q100">_xlfn.TEXTJOIN(",",TRUE,(_xlfn._xlws.FILTER($A$2:$A$501,($D$2:$D$501&gt;=R$7)*($D$2:$D$501&lt;Q$7)*($E$2:$E$501&gt;=$H101)*($E$2:$E$501&lt;$H100)," ")))</f>
        <v xml:space="preserve"> </v>
      </c>
      <c r="R100" t="str" cm="1">
        <f t="array" ref="R100">_xlfn.TEXTJOIN(",",TRUE,(_xlfn._xlws.FILTER($A$2:$A$501,($D$2:$D$501&gt;=S$7)*($D$2:$D$501&lt;R$7)*($E$2:$E$501&gt;=$H101)*($E$2:$E$501&lt;$H100)," ")))</f>
        <v xml:space="preserve"> </v>
      </c>
      <c r="S100" t="str" cm="1">
        <f t="array" ref="S100">_xlfn.TEXTJOIN(",",TRUE,(_xlfn._xlws.FILTER($A$2:$A$501,($D$2:$D$501&gt;=T$7)*($D$2:$D$501&lt;S$7)*($E$2:$E$501&gt;=$H101)*($E$2:$E$501&lt;$H100)," ")))</f>
        <v xml:space="preserve"> </v>
      </c>
      <c r="T100" t="str" cm="1">
        <f t="array" ref="T100">_xlfn.TEXTJOIN(",",TRUE,(_xlfn._xlws.FILTER($A$2:$A$501,($D$2:$D$501&gt;=U$7)*($D$2:$D$501&lt;T$7)*($E$2:$E$501&gt;=$H101)*($E$2:$E$501&lt;$H100)," ")))</f>
        <v xml:space="preserve"> </v>
      </c>
      <c r="U100" t="str" cm="1">
        <f t="array" ref="U100">_xlfn.TEXTJOIN(",",TRUE,(_xlfn._xlws.FILTER($A$2:$A$501,($D$2:$D$501&gt;=V$7)*($D$2:$D$501&lt;U$7)*($E$2:$E$501&gt;=$H101)*($E$2:$E$501&lt;$H100)," ")))</f>
        <v xml:space="preserve"> </v>
      </c>
      <c r="V100" t="str" cm="1">
        <f t="array" ref="V100">_xlfn.TEXTJOIN(",",TRUE,(_xlfn._xlws.FILTER($A$2:$A$501,($D$2:$D$501&gt;=W$7)*($D$2:$D$501&lt;V$7)*($E$2:$E$501&gt;=$H101)*($E$2:$E$501&lt;$H100)," ")))</f>
        <v xml:space="preserve"> </v>
      </c>
      <c r="W100" t="str" cm="1">
        <f t="array" ref="W100">_xlfn.TEXTJOIN(",",TRUE,(_xlfn._xlws.FILTER($A$2:$A$501,($D$2:$D$501&gt;=X$7)*($D$2:$D$501&lt;W$7)*($E$2:$E$501&gt;=$H101)*($E$2:$E$501&lt;$H100)," ")))</f>
        <v xml:space="preserve"> </v>
      </c>
      <c r="X100" t="str" cm="1">
        <f t="array" ref="X100">_xlfn.TEXTJOIN(",",TRUE,(_xlfn._xlws.FILTER($A$2:$A$501,($D$2:$D$501&gt;=Y$7)*($D$2:$D$501&lt;X$7)*($E$2:$E$501&gt;=$H101)*($E$2:$E$501&lt;$H100)," ")))</f>
        <v xml:space="preserve"> </v>
      </c>
      <c r="Y100" t="str" cm="1">
        <f t="array" ref="Y100">_xlfn.TEXTJOIN(",",TRUE,(_xlfn._xlws.FILTER($A$2:$A$501,($D$2:$D$501&gt;=Z$7)*($D$2:$D$501&lt;Y$7)*($E$2:$E$501&gt;=$H101)*($E$2:$E$501&lt;$H100)," ")))</f>
        <v xml:space="preserve"> </v>
      </c>
      <c r="Z100" t="str" cm="1">
        <f t="array" ref="Z100">_xlfn.TEXTJOIN(",",TRUE,(_xlfn._xlws.FILTER($A$2:$A$501,($D$2:$D$501&gt;=AA$7)*($D$2:$D$501&lt;Z$7)*($E$2:$E$501&gt;=$H101)*($E$2:$E$501&lt;$H100)," ")))</f>
        <v xml:space="preserve"> </v>
      </c>
      <c r="AA100" t="str" cm="1">
        <f t="array" ref="AA100">_xlfn.TEXTJOIN(",",TRUE,(_xlfn._xlws.FILTER($A$2:$A$501,($D$2:$D$501&gt;=AB$7)*($D$2:$D$501&lt;AA$7)*($E$2:$E$501&gt;=$H101)*($E$2:$E$501&lt;$H100)," ")))</f>
        <v>Punxsutawney Area SD,Lehighton Area SD</v>
      </c>
      <c r="AB100" t="str" cm="1">
        <f t="array" ref="AB100">_xlfn.TEXTJOIN(",",TRUE,(_xlfn._xlws.FILTER($A$2:$A$501,($D$2:$D$501&gt;=AC$7)*($D$2:$D$501&lt;AB$7)*($E$2:$E$501&gt;=$H101)*($E$2:$E$501&lt;$H100)," ")))</f>
        <v xml:space="preserve"> </v>
      </c>
      <c r="AC100" t="str" cm="1">
        <f t="array" ref="AC100">_xlfn.TEXTJOIN(",",TRUE,(_xlfn._xlws.FILTER($A$2:$A$501,($D$2:$D$501&gt;=AD$7)*($D$2:$D$501&lt;AC$7)*($E$2:$E$501&gt;=$H101)*($E$2:$E$501&lt;$H100)," ")))</f>
        <v>Rochester Area SD,Mahanoy Area SD</v>
      </c>
      <c r="AD100" t="str" cm="1">
        <f t="array" ref="AD100">_xlfn.TEXTJOIN(",",TRUE,(_xlfn._xlws.FILTER($A$2:$A$501,($D$2:$D$501&gt;=AE$7)*($D$2:$D$501&lt;AD$7)*($E$2:$E$501&gt;=$H101)*($E$2:$E$501&lt;$H100)," ")))</f>
        <v xml:space="preserve"> </v>
      </c>
      <c r="AE100" t="str" cm="1">
        <f t="array" ref="AE100">_xlfn.TEXTJOIN(",",TRUE,(_xlfn._xlws.FILTER($A$2:$A$501,($D$2:$D$501&gt;=AF$7)*($D$2:$D$501&lt;AE$7)*($E$2:$E$501&gt;=$H101)*($E$2:$E$501&lt;$H100)," ")))</f>
        <v xml:space="preserve"> </v>
      </c>
      <c r="AF100" t="str" cm="1">
        <f t="array" ref="AF100">_xlfn.TEXTJOIN(",",TRUE,(_xlfn._xlws.FILTER($A$2:$A$501,($D$2:$D$501&gt;=AG$7)*($D$2:$D$501&lt;AF$7)*($E$2:$E$501&gt;=$H101)*($E$2:$E$501&lt;$H100)," ")))</f>
        <v xml:space="preserve"> </v>
      </c>
      <c r="AG100" t="str" cm="1">
        <f t="array" ref="AG100">_xlfn.TEXTJOIN(",",TRUE,(_xlfn._xlws.FILTER($A$2:$A$501,($D$2:$D$501&gt;=AH$7)*($D$2:$D$501&lt;AG$7)*($E$2:$E$501&gt;=$H101)*($E$2:$E$501&lt;$H100)," ")))</f>
        <v xml:space="preserve"> </v>
      </c>
      <c r="AH100" t="str" cm="1">
        <f t="array" ref="AH100">_xlfn.TEXTJOIN(",",TRUE,(_xlfn._xlws.FILTER($A$2:$A$501,($D$2:$D$501&gt;=AI$7)*($D$2:$D$501&lt;AH$7)*($E$2:$E$501&gt;=$H101)*($E$2:$E$501&lt;$H100)," ")))</f>
        <v xml:space="preserve"> </v>
      </c>
      <c r="AI100" t="str" cm="1">
        <f t="array" ref="AI100">_xlfn.TEXTJOIN(",",TRUE,(_xlfn._xlws.FILTER($A$2:$A$501,($D$2:$D$501&gt;=AJ$7)*($D$2:$D$501&lt;AI$7)*($E$2:$E$501&gt;=$H101)*($E$2:$E$501&lt;$H100)," ")))</f>
        <v xml:space="preserve"> </v>
      </c>
      <c r="AJ100" t="str" cm="1">
        <f t="array" ref="AJ100">_xlfn.TEXTJOIN(",",TRUE,(_xlfn._xlws.FILTER($A$2:$A$501,($D$2:$D$501&gt;=AK$7)*($D$2:$D$501&lt;AJ$7)*($E$2:$E$501&gt;=$H101)*($E$2:$E$501&lt;$H100)," ")))</f>
        <v xml:space="preserve"> </v>
      </c>
      <c r="AK100" t="str" cm="1">
        <f t="array" ref="AK100">_xlfn.TEXTJOIN(",",TRUE,(_xlfn._xlws.FILTER($A$2:$A$501,($D$2:$D$501&gt;=AL$7)*($D$2:$D$501&lt;AK$7)*($E$2:$E$501&gt;=$H101)*($E$2:$E$501&lt;$H100)," ")))</f>
        <v xml:space="preserve"> </v>
      </c>
      <c r="AL100" t="str" cm="1">
        <f t="array" ref="AL100">_xlfn.TEXTJOIN(",",TRUE,(_xlfn._xlws.FILTER($A$2:$A$501,($D$2:$D$501&gt;=AM$7)*($D$2:$D$501&lt;AL$7)*($E$2:$E$501&gt;=$H101)*($E$2:$E$501&lt;$H100)," ")))</f>
        <v xml:space="preserve"> </v>
      </c>
      <c r="AM100" t="str" cm="1">
        <f t="array" ref="AM100">_xlfn.TEXTJOIN(",",TRUE,(_xlfn._xlws.FILTER($A$2:$A$501,($D$2:$D$501&gt;=AN$7)*($D$2:$D$501&lt;AM$7)*($E$2:$E$501&gt;=$H101)*($E$2:$E$501&lt;$H100)," ")))</f>
        <v xml:space="preserve"> </v>
      </c>
      <c r="AN100" t="str" cm="1">
        <f t="array" ref="AN100">_xlfn.TEXTJOIN(",",TRUE,(_xlfn._xlws.FILTER($A$2:$A$501,($D$2:$D$501&gt;=AO$7)*($D$2:$D$501&lt;AN$7)*($E$2:$E$501&gt;=$H101)*($E$2:$E$501&lt;$H100)," ")))</f>
        <v xml:space="preserve"> </v>
      </c>
      <c r="AO100" t="str" cm="1">
        <f t="array" ref="AO100">_xlfn.TEXTJOIN(",",TRUE,(_xlfn._xlws.FILTER($A$2:$A$501,($D$2:$D$501&gt;=AP$7)*($D$2:$D$501&lt;AO$7)*($E$2:$E$501&gt;=$H101)*($E$2:$E$501&lt;$H100)," ")))</f>
        <v xml:space="preserve"> </v>
      </c>
      <c r="AP100" t="str" cm="1">
        <f t="array" ref="AP100">_xlfn.TEXTJOIN(",",TRUE,(_xlfn._xlws.FILTER($A$2:$A$501,($D$2:$D$501&gt;=AQ$7)*($D$2:$D$501&lt;AP$7)*($E$2:$E$501&gt;=$H101)*($E$2:$E$501&lt;$H100)," ")))</f>
        <v xml:space="preserve"> </v>
      </c>
      <c r="AQ100" t="str" cm="1">
        <f t="array" ref="AQ100">_xlfn.TEXTJOIN(",",TRUE,(_xlfn._xlws.FILTER($A$2:$A$501,($D$2:$D$501&gt;=AR$7)*($D$2:$D$501&lt;AQ$7)*($E$2:$E$501&gt;=$H101)*($E$2:$E$501&lt;$H100)," ")))</f>
        <v xml:space="preserve"> </v>
      </c>
      <c r="AR100" t="str" cm="1">
        <f t="array" ref="AR100">_xlfn.TEXTJOIN(",",TRUE,(_xlfn._xlws.FILTER($A$2:$A$501,($D$2:$D$501&gt;=AS$7)*($D$2:$D$501&lt;AR$7)*($E$2:$E$501&gt;=$H101)*($E$2:$E$501&lt;$H100)," ")))</f>
        <v xml:space="preserve"> </v>
      </c>
      <c r="AS100" t="str" cm="1">
        <f t="array" ref="AS100">_xlfn.TEXTJOIN(",",TRUE,(_xlfn._xlws.FILTER($A$2:$A$501,($D$2:$D$501&gt;=AT$7)*($D$2:$D$501&lt;AS$7)*($E$2:$E$501&gt;=$H101)*($E$2:$E$501&lt;$H100)," ")))</f>
        <v xml:space="preserve"> </v>
      </c>
      <c r="AT100" t="str" cm="1">
        <f t="array" ref="AT100">_xlfn.TEXTJOIN(",",TRUE,(_xlfn._xlws.FILTER($A$2:$A$501,($D$2:$D$501&gt;=AU$7)*($D$2:$D$501&lt;AT$7)*($E$2:$E$501&gt;=$H101)*($E$2:$E$501&lt;$H100)," ")))</f>
        <v xml:space="preserve"> </v>
      </c>
      <c r="AU100" t="str" cm="1">
        <f t="array" ref="AU100">_xlfn.TEXTJOIN(",",TRUE,(_xlfn._xlws.FILTER($A$2:$A$501,($D$2:$D$501&gt;=AV$7)*($D$2:$D$501&lt;AU$7)*($E$2:$E$501&gt;=$H101)*($E$2:$E$501&lt;$H100)," ")))</f>
        <v xml:space="preserve"> </v>
      </c>
      <c r="AV100" t="str" cm="1">
        <f t="array" ref="AV100">_xlfn.TEXTJOIN(",",TRUE,(_xlfn._xlws.FILTER($A$2:$A$501,($D$2:$D$501&gt;=AW$7)*($D$2:$D$501&lt;AV$7)*($E$2:$E$501&gt;=$H101)*($E$2:$E$501&lt;$H100)," ")))</f>
        <v xml:space="preserve"> </v>
      </c>
      <c r="AW100" t="str" cm="1">
        <f t="array" ref="AW100">_xlfn.TEXTJOIN(",",TRUE,(_xlfn._xlws.FILTER($A$2:$A$501,($D$2:$D$501&gt;=AX$7)*($D$2:$D$501&lt;AW$7)*($E$2:$E$501&gt;=$H101)*($E$2:$E$501&lt;$H100)," ")))</f>
        <v xml:space="preserve"> </v>
      </c>
      <c r="AX100" t="str" cm="1">
        <f t="array" ref="AX100">_xlfn.TEXTJOIN(",",TRUE,(_xlfn._xlws.FILTER($A$2:$A$501,($D$2:$D$501&gt;=AY$7)*($D$2:$D$501&lt;AX$7)*($E$2:$E$501&gt;=$H101)*($E$2:$E$501&lt;$H100)," ")))</f>
        <v xml:space="preserve"> </v>
      </c>
      <c r="AY100" t="str" cm="1">
        <f t="array" ref="AY100">_xlfn.TEXTJOIN(",",TRUE,(_xlfn._xlws.FILTER($A$2:$A$501,($D$2:$D$501&gt;=AZ$7)*($D$2:$D$501&lt;AY$7)*($E$2:$E$501&gt;=$H101)*($E$2:$E$501&lt;$H100)," ")))</f>
        <v xml:space="preserve"> </v>
      </c>
      <c r="AZ100" t="str" cm="1">
        <f t="array" ref="AZ100">_xlfn.TEXTJOIN(",",TRUE,(_xlfn._xlws.FILTER($A$2:$A$501,($D$2:$D$501&gt;=BA$7)*($D$2:$D$501&lt;AZ$7)*($E$2:$E$501&gt;=$H101)*($E$2:$E$501&lt;$H100)," ")))</f>
        <v xml:space="preserve"> </v>
      </c>
      <c r="BA100" t="str" cm="1">
        <f t="array" ref="BA100">_xlfn.TEXTJOIN(",",TRUE,(_xlfn._xlws.FILTER($A$2:$A$501,($D$2:$D$501&gt;=BB$7)*($D$2:$D$501&lt;BA$7)*($E$2:$E$501&gt;=$H101)*($E$2:$E$501&lt;$H100)," ")))</f>
        <v xml:space="preserve"> </v>
      </c>
      <c r="BB100" t="str" cm="1">
        <f t="array" ref="BB100">_xlfn.TEXTJOIN(",",TRUE,(_xlfn._xlws.FILTER($A$2:$A$501,($D$2:$D$501&gt;=BC$7)*($D$2:$D$501&lt;BB$7)*($E$2:$E$501&gt;=$H101)*($E$2:$E$501&lt;$H100)," ")))</f>
        <v xml:space="preserve"> </v>
      </c>
    </row>
    <row r="101" spans="1:54" x14ac:dyDescent="0.2">
      <c r="A101" s="3" t="s">
        <v>538</v>
      </c>
      <c r="B101" s="3" t="s">
        <v>533</v>
      </c>
      <c r="C101" s="13">
        <v>2184578.16</v>
      </c>
      <c r="D101" s="15">
        <v>51725131.659999996</v>
      </c>
      <c r="E101" s="22">
        <f>TuitionRates3[[#This Row],[Tuition]]/D101</f>
        <v>4.2234366349411828E-2</v>
      </c>
      <c r="F101"/>
      <c r="H101" s="18">
        <v>5.6999999999999898E-2</v>
      </c>
      <c r="I101" t="str" cm="1">
        <f t="array" ref="I101">_xlfn.TEXTJOIN(",",TRUE,(_xlfn._xlws.FILTER($A$2:$A$501,($D$2:$D$501&gt;=J$7)*($D$2:$D$501&lt;I$7)*($E$2:$E$501&gt;=$H102)*($E$2:$E$501&lt;$H101)," ")))</f>
        <v xml:space="preserve"> </v>
      </c>
      <c r="J101" t="str" cm="1">
        <f t="array" ref="J101">_xlfn.TEXTJOIN(",",TRUE,(_xlfn._xlws.FILTER($A$2:$A$501,($D$2:$D$501&gt;=K$7)*($D$2:$D$501&lt;J$7)*($E$2:$E$501&gt;=$H102)*($E$2:$E$501&lt;$H101)," ")))</f>
        <v xml:space="preserve"> </v>
      </c>
      <c r="K101" t="str" cm="1">
        <f t="array" ref="K101">_xlfn.TEXTJOIN(",",TRUE,(_xlfn._xlws.FILTER($A$2:$A$501,($D$2:$D$501&gt;=L$7)*($D$2:$D$501&lt;K$7)*($E$2:$E$501&gt;=$H102)*($E$2:$E$501&lt;$H101)," ")))</f>
        <v xml:space="preserve"> </v>
      </c>
      <c r="L101" t="str" cm="1">
        <f t="array" ref="L101">_xlfn.TEXTJOIN(",",TRUE,(_xlfn._xlws.FILTER($A$2:$A$501,($D$2:$D$501&gt;=M$7)*($D$2:$D$501&lt;L$7)*($E$2:$E$501&gt;=$H102)*($E$2:$E$501&lt;$H101)," ")))</f>
        <v xml:space="preserve"> </v>
      </c>
      <c r="M101" t="str" cm="1">
        <f t="array" ref="M101">_xlfn.TEXTJOIN(",",TRUE,(_xlfn._xlws.FILTER($A$2:$A$501,($D$2:$D$501&gt;=N$7)*($D$2:$D$501&lt;M$7)*($E$2:$E$501&gt;=$H102)*($E$2:$E$501&lt;$H101)," ")))</f>
        <v xml:space="preserve"> </v>
      </c>
      <c r="N101" t="str" cm="1">
        <f t="array" ref="N101">_xlfn.TEXTJOIN(",",TRUE,(_xlfn._xlws.FILTER($A$2:$A$501,($D$2:$D$501&gt;=O$7)*($D$2:$D$501&lt;N$7)*($E$2:$E$501&gt;=$H102)*($E$2:$E$501&lt;$H101)," ")))</f>
        <v xml:space="preserve"> </v>
      </c>
      <c r="O101" t="str" cm="1">
        <f t="array" ref="O101">_xlfn.TEXTJOIN(",",TRUE,(_xlfn._xlws.FILTER($A$2:$A$501,($D$2:$D$501&gt;=P$7)*($D$2:$D$501&lt;O$7)*($E$2:$E$501&gt;=$H102)*($E$2:$E$501&lt;$H101)," ")))</f>
        <v xml:space="preserve"> </v>
      </c>
      <c r="P101" t="str" cm="1">
        <f t="array" ref="P101">_xlfn.TEXTJOIN(",",TRUE,(_xlfn._xlws.FILTER($A$2:$A$501,($D$2:$D$501&gt;=Q$7)*($D$2:$D$501&lt;P$7)*($E$2:$E$501&gt;=$H102)*($E$2:$E$501&lt;$H101)," ")))</f>
        <v xml:space="preserve"> </v>
      </c>
      <c r="Q101" t="str" cm="1">
        <f t="array" ref="Q101">_xlfn.TEXTJOIN(",",TRUE,(_xlfn._xlws.FILTER($A$2:$A$501,($D$2:$D$501&gt;=R$7)*($D$2:$D$501&lt;Q$7)*($E$2:$E$501&gt;=$H102)*($E$2:$E$501&lt;$H101)," ")))</f>
        <v xml:space="preserve"> </v>
      </c>
      <c r="R101" t="str" cm="1">
        <f t="array" ref="R101">_xlfn.TEXTJOIN(",",TRUE,(_xlfn._xlws.FILTER($A$2:$A$501,($D$2:$D$501&gt;=S$7)*($D$2:$D$501&lt;R$7)*($E$2:$E$501&gt;=$H102)*($E$2:$E$501&lt;$H101)," ")))</f>
        <v xml:space="preserve"> </v>
      </c>
      <c r="S101" t="str" cm="1">
        <f t="array" ref="S101">_xlfn.TEXTJOIN(",",TRUE,(_xlfn._xlws.FILTER($A$2:$A$501,($D$2:$D$501&gt;=T$7)*($D$2:$D$501&lt;S$7)*($E$2:$E$501&gt;=$H102)*($E$2:$E$501&lt;$H101)," ")))</f>
        <v xml:space="preserve"> </v>
      </c>
      <c r="T101" t="str" cm="1">
        <f t="array" ref="T101">_xlfn.TEXTJOIN(",",TRUE,(_xlfn._xlws.FILTER($A$2:$A$501,($D$2:$D$501&gt;=U$7)*($D$2:$D$501&lt;T$7)*($E$2:$E$501&gt;=$H102)*($E$2:$E$501&lt;$H101)," ")))</f>
        <v>Harrisburg City SD</v>
      </c>
      <c r="U101" t="str" cm="1">
        <f t="array" ref="U101">_xlfn.TEXTJOIN(",",TRUE,(_xlfn._xlws.FILTER($A$2:$A$501,($D$2:$D$501&gt;=V$7)*($D$2:$D$501&lt;U$7)*($E$2:$E$501&gt;=$H102)*($E$2:$E$501&lt;$H101)," ")))</f>
        <v xml:space="preserve"> </v>
      </c>
      <c r="V101" t="str" cm="1">
        <f t="array" ref="V101">_xlfn.TEXTJOIN(",",TRUE,(_xlfn._xlws.FILTER($A$2:$A$501,($D$2:$D$501&gt;=W$7)*($D$2:$D$501&lt;V$7)*($E$2:$E$501&gt;=$H102)*($E$2:$E$501&lt;$H101)," ")))</f>
        <v xml:space="preserve"> </v>
      </c>
      <c r="W101" t="str" cm="1">
        <f t="array" ref="W101">_xlfn.TEXTJOIN(",",TRUE,(_xlfn._xlws.FILTER($A$2:$A$501,($D$2:$D$501&gt;=X$7)*($D$2:$D$501&lt;W$7)*($E$2:$E$501&gt;=$H102)*($E$2:$E$501&lt;$H101)," ")))</f>
        <v xml:space="preserve"> </v>
      </c>
      <c r="X101" t="str" cm="1">
        <f t="array" ref="X101">_xlfn.TEXTJOIN(",",TRUE,(_xlfn._xlws.FILTER($A$2:$A$501,($D$2:$D$501&gt;=Y$7)*($D$2:$D$501&lt;X$7)*($E$2:$E$501&gt;=$H102)*($E$2:$E$501&lt;$H101)," ")))</f>
        <v xml:space="preserve"> </v>
      </c>
      <c r="Y101" t="str" cm="1">
        <f t="array" ref="Y101">_xlfn.TEXTJOIN(",",TRUE,(_xlfn._xlws.FILTER($A$2:$A$501,($D$2:$D$501&gt;=Z$7)*($D$2:$D$501&lt;Y$7)*($E$2:$E$501&gt;=$H102)*($E$2:$E$501&lt;$H101)," ")))</f>
        <v xml:space="preserve"> </v>
      </c>
      <c r="Z101" t="str" cm="1">
        <f t="array" ref="Z101">_xlfn.TEXTJOIN(",",TRUE,(_xlfn._xlws.FILTER($A$2:$A$501,($D$2:$D$501&gt;=AA$7)*($D$2:$D$501&lt;Z$7)*($E$2:$E$501&gt;=$H102)*($E$2:$E$501&lt;$H101)," ")))</f>
        <v xml:space="preserve"> </v>
      </c>
      <c r="AA101" t="str" cm="1">
        <f t="array" ref="AA101">_xlfn.TEXTJOIN(",",TRUE,(_xlfn._xlws.FILTER($A$2:$A$501,($D$2:$D$501&gt;=AB$7)*($D$2:$D$501&lt;AA$7)*($E$2:$E$501&gt;=$H102)*($E$2:$E$501&lt;$H101)," ")))</f>
        <v xml:space="preserve"> </v>
      </c>
      <c r="AB101" t="str" cm="1">
        <f t="array" ref="AB101">_xlfn.TEXTJOIN(",",TRUE,(_xlfn._xlws.FILTER($A$2:$A$501,($D$2:$D$501&gt;=AC$7)*($D$2:$D$501&lt;AB$7)*($E$2:$E$501&gt;=$H102)*($E$2:$E$501&lt;$H101)," ")))</f>
        <v>Montrose Area SD</v>
      </c>
      <c r="AC101" t="str" cm="1">
        <f t="array" ref="AC101">_xlfn.TEXTJOIN(",",TRUE,(_xlfn._xlws.FILTER($A$2:$A$501,($D$2:$D$501&gt;=AD$7)*($D$2:$D$501&lt;AC$7)*($E$2:$E$501&gt;=$H102)*($E$2:$E$501&lt;$H101)," ")))</f>
        <v>Bethlehem-Center SD,Redbank Valley SD</v>
      </c>
      <c r="AD101" t="str" cm="1">
        <f t="array" ref="AD101">_xlfn.TEXTJOIN(",",TRUE,(_xlfn._xlws.FILTER($A$2:$A$501,($D$2:$D$501&gt;=AE$7)*($D$2:$D$501&lt;AD$7)*($E$2:$E$501&gt;=$H102)*($E$2:$E$501&lt;$H101)," ")))</f>
        <v xml:space="preserve"> </v>
      </c>
      <c r="AE101" t="str" cm="1">
        <f t="array" ref="AE101">_xlfn.TEXTJOIN(",",TRUE,(_xlfn._xlws.FILTER($A$2:$A$501,($D$2:$D$501&gt;=AF$7)*($D$2:$D$501&lt;AE$7)*($E$2:$E$501&gt;=$H102)*($E$2:$E$501&lt;$H101)," ")))</f>
        <v xml:space="preserve"> </v>
      </c>
      <c r="AF101" t="str" cm="1">
        <f t="array" ref="AF101">_xlfn.TEXTJOIN(",",TRUE,(_xlfn._xlws.FILTER($A$2:$A$501,($D$2:$D$501&gt;=AG$7)*($D$2:$D$501&lt;AF$7)*($E$2:$E$501&gt;=$H102)*($E$2:$E$501&lt;$H101)," ")))</f>
        <v xml:space="preserve"> </v>
      </c>
      <c r="AG101" t="str" cm="1">
        <f t="array" ref="AG101">_xlfn.TEXTJOIN(",",TRUE,(_xlfn._xlws.FILTER($A$2:$A$501,($D$2:$D$501&gt;=AH$7)*($D$2:$D$501&lt;AG$7)*($E$2:$E$501&gt;=$H102)*($E$2:$E$501&lt;$H101)," ")))</f>
        <v xml:space="preserve"> </v>
      </c>
      <c r="AH101" t="str" cm="1">
        <f t="array" ref="AH101">_xlfn.TEXTJOIN(",",TRUE,(_xlfn._xlws.FILTER($A$2:$A$501,($D$2:$D$501&gt;=AI$7)*($D$2:$D$501&lt;AH$7)*($E$2:$E$501&gt;=$H102)*($E$2:$E$501&lt;$H101)," ")))</f>
        <v xml:space="preserve"> </v>
      </c>
      <c r="AI101" t="str" cm="1">
        <f t="array" ref="AI101">_xlfn.TEXTJOIN(",",TRUE,(_xlfn._xlws.FILTER($A$2:$A$501,($D$2:$D$501&gt;=AJ$7)*($D$2:$D$501&lt;AI$7)*($E$2:$E$501&gt;=$H102)*($E$2:$E$501&lt;$H101)," ")))</f>
        <v xml:space="preserve"> </v>
      </c>
      <c r="AJ101" t="str" cm="1">
        <f t="array" ref="AJ101">_xlfn.TEXTJOIN(",",TRUE,(_xlfn._xlws.FILTER($A$2:$A$501,($D$2:$D$501&gt;=AK$7)*($D$2:$D$501&lt;AJ$7)*($E$2:$E$501&gt;=$H102)*($E$2:$E$501&lt;$H101)," ")))</f>
        <v xml:space="preserve"> </v>
      </c>
      <c r="AK101" t="str" cm="1">
        <f t="array" ref="AK101">_xlfn.TEXTJOIN(",",TRUE,(_xlfn._xlws.FILTER($A$2:$A$501,($D$2:$D$501&gt;=AL$7)*($D$2:$D$501&lt;AK$7)*($E$2:$E$501&gt;=$H102)*($E$2:$E$501&lt;$H101)," ")))</f>
        <v xml:space="preserve"> </v>
      </c>
      <c r="AL101" t="str" cm="1">
        <f t="array" ref="AL101">_xlfn.TEXTJOIN(",",TRUE,(_xlfn._xlws.FILTER($A$2:$A$501,($D$2:$D$501&gt;=AM$7)*($D$2:$D$501&lt;AL$7)*($E$2:$E$501&gt;=$H102)*($E$2:$E$501&lt;$H101)," ")))</f>
        <v xml:space="preserve"> </v>
      </c>
      <c r="AM101" t="str" cm="1">
        <f t="array" ref="AM101">_xlfn.TEXTJOIN(",",TRUE,(_xlfn._xlws.FILTER($A$2:$A$501,($D$2:$D$501&gt;=AN$7)*($D$2:$D$501&lt;AM$7)*($E$2:$E$501&gt;=$H102)*($E$2:$E$501&lt;$H101)," ")))</f>
        <v xml:space="preserve"> </v>
      </c>
      <c r="AN101" t="str" cm="1">
        <f t="array" ref="AN101">_xlfn.TEXTJOIN(",",TRUE,(_xlfn._xlws.FILTER($A$2:$A$501,($D$2:$D$501&gt;=AO$7)*($D$2:$D$501&lt;AN$7)*($E$2:$E$501&gt;=$H102)*($E$2:$E$501&lt;$H101)," ")))</f>
        <v xml:space="preserve"> </v>
      </c>
      <c r="AO101" t="str" cm="1">
        <f t="array" ref="AO101">_xlfn.TEXTJOIN(",",TRUE,(_xlfn._xlws.FILTER($A$2:$A$501,($D$2:$D$501&gt;=AP$7)*($D$2:$D$501&lt;AO$7)*($E$2:$E$501&gt;=$H102)*($E$2:$E$501&lt;$H101)," ")))</f>
        <v xml:space="preserve"> </v>
      </c>
      <c r="AP101" t="str" cm="1">
        <f t="array" ref="AP101">_xlfn.TEXTJOIN(",",TRUE,(_xlfn._xlws.FILTER($A$2:$A$501,($D$2:$D$501&gt;=AQ$7)*($D$2:$D$501&lt;AP$7)*($E$2:$E$501&gt;=$H102)*($E$2:$E$501&lt;$H101)," ")))</f>
        <v xml:space="preserve"> </v>
      </c>
      <c r="AQ101" t="str" cm="1">
        <f t="array" ref="AQ101">_xlfn.TEXTJOIN(",",TRUE,(_xlfn._xlws.FILTER($A$2:$A$501,($D$2:$D$501&gt;=AR$7)*($D$2:$D$501&lt;AQ$7)*($E$2:$E$501&gt;=$H102)*($E$2:$E$501&lt;$H101)," ")))</f>
        <v xml:space="preserve"> </v>
      </c>
      <c r="AR101" t="str" cm="1">
        <f t="array" ref="AR101">_xlfn.TEXTJOIN(",",TRUE,(_xlfn._xlws.FILTER($A$2:$A$501,($D$2:$D$501&gt;=AS$7)*($D$2:$D$501&lt;AR$7)*($E$2:$E$501&gt;=$H102)*($E$2:$E$501&lt;$H101)," ")))</f>
        <v xml:space="preserve"> </v>
      </c>
      <c r="AS101" t="str" cm="1">
        <f t="array" ref="AS101">_xlfn.TEXTJOIN(",",TRUE,(_xlfn._xlws.FILTER($A$2:$A$501,($D$2:$D$501&gt;=AT$7)*($D$2:$D$501&lt;AS$7)*($E$2:$E$501&gt;=$H102)*($E$2:$E$501&lt;$H101)," ")))</f>
        <v xml:space="preserve"> </v>
      </c>
      <c r="AT101" t="str" cm="1">
        <f t="array" ref="AT101">_xlfn.TEXTJOIN(",",TRUE,(_xlfn._xlws.FILTER($A$2:$A$501,($D$2:$D$501&gt;=AU$7)*($D$2:$D$501&lt;AT$7)*($E$2:$E$501&gt;=$H102)*($E$2:$E$501&lt;$H101)," ")))</f>
        <v xml:space="preserve"> </v>
      </c>
      <c r="AU101" t="str" cm="1">
        <f t="array" ref="AU101">_xlfn.TEXTJOIN(",",TRUE,(_xlfn._xlws.FILTER($A$2:$A$501,($D$2:$D$501&gt;=AV$7)*($D$2:$D$501&lt;AU$7)*($E$2:$E$501&gt;=$H102)*($E$2:$E$501&lt;$H101)," ")))</f>
        <v xml:space="preserve"> </v>
      </c>
      <c r="AV101" t="str" cm="1">
        <f t="array" ref="AV101">_xlfn.TEXTJOIN(",",TRUE,(_xlfn._xlws.FILTER($A$2:$A$501,($D$2:$D$501&gt;=AW$7)*($D$2:$D$501&lt;AV$7)*($E$2:$E$501&gt;=$H102)*($E$2:$E$501&lt;$H101)," ")))</f>
        <v xml:space="preserve"> </v>
      </c>
      <c r="AW101" t="str" cm="1">
        <f t="array" ref="AW101">_xlfn.TEXTJOIN(",",TRUE,(_xlfn._xlws.FILTER($A$2:$A$501,($D$2:$D$501&gt;=AX$7)*($D$2:$D$501&lt;AW$7)*($E$2:$E$501&gt;=$H102)*($E$2:$E$501&lt;$H101)," ")))</f>
        <v xml:space="preserve"> </v>
      </c>
      <c r="AX101" t="str" cm="1">
        <f t="array" ref="AX101">_xlfn.TEXTJOIN(",",TRUE,(_xlfn._xlws.FILTER($A$2:$A$501,($D$2:$D$501&gt;=AY$7)*($D$2:$D$501&lt;AX$7)*($E$2:$E$501&gt;=$H102)*($E$2:$E$501&lt;$H101)," ")))</f>
        <v xml:space="preserve"> </v>
      </c>
      <c r="AY101" t="str" cm="1">
        <f t="array" ref="AY101">_xlfn.TEXTJOIN(",",TRUE,(_xlfn._xlws.FILTER($A$2:$A$501,($D$2:$D$501&gt;=AZ$7)*($D$2:$D$501&lt;AY$7)*($E$2:$E$501&gt;=$H102)*($E$2:$E$501&lt;$H101)," ")))</f>
        <v xml:space="preserve"> </v>
      </c>
      <c r="AZ101" t="str" cm="1">
        <f t="array" ref="AZ101">_xlfn.TEXTJOIN(",",TRUE,(_xlfn._xlws.FILTER($A$2:$A$501,($D$2:$D$501&gt;=BA$7)*($D$2:$D$501&lt;AZ$7)*($E$2:$E$501&gt;=$H102)*($E$2:$E$501&lt;$H101)," ")))</f>
        <v xml:space="preserve"> </v>
      </c>
      <c r="BA101" t="str" cm="1">
        <f t="array" ref="BA101">_xlfn.TEXTJOIN(",",TRUE,(_xlfn._xlws.FILTER($A$2:$A$501,($D$2:$D$501&gt;=BB$7)*($D$2:$D$501&lt;BA$7)*($E$2:$E$501&gt;=$H102)*($E$2:$E$501&lt;$H101)," ")))</f>
        <v xml:space="preserve"> </v>
      </c>
      <c r="BB101" t="str" cm="1">
        <f t="array" ref="BB101">_xlfn.TEXTJOIN(",",TRUE,(_xlfn._xlws.FILTER($A$2:$A$501,($D$2:$D$501&gt;=BC$7)*($D$2:$D$501&lt;BB$7)*($E$2:$E$501&gt;=$H102)*($E$2:$E$501&lt;$H101)," ")))</f>
        <v xml:space="preserve"> </v>
      </c>
    </row>
    <row r="102" spans="1:54" x14ac:dyDescent="0.2">
      <c r="A102" s="3" t="s">
        <v>481</v>
      </c>
      <c r="B102" s="3" t="s">
        <v>479</v>
      </c>
      <c r="C102" s="13">
        <v>736525.11</v>
      </c>
      <c r="D102" s="15">
        <v>17500070.809999999</v>
      </c>
      <c r="E102" s="22">
        <f>TuitionRates3[[#This Row],[Tuition]]/D102</f>
        <v>4.2086978846915882E-2</v>
      </c>
      <c r="F102"/>
      <c r="H102" s="18">
        <v>5.5999999999999897E-2</v>
      </c>
      <c r="I102" t="str" cm="1">
        <f t="array" ref="I102">_xlfn.TEXTJOIN(",",TRUE,(_xlfn._xlws.FILTER($A$2:$A$501,($D$2:$D$501&gt;=J$7)*($D$2:$D$501&lt;I$7)*($E$2:$E$501&gt;=$H103)*($E$2:$E$501&lt;$H102)," ")))</f>
        <v xml:space="preserve"> </v>
      </c>
      <c r="J102" t="str" cm="1">
        <f t="array" ref="J102">_xlfn.TEXTJOIN(",",TRUE,(_xlfn._xlws.FILTER($A$2:$A$501,($D$2:$D$501&gt;=K$7)*($D$2:$D$501&lt;J$7)*($E$2:$E$501&gt;=$H103)*($E$2:$E$501&lt;$H102)," ")))</f>
        <v xml:space="preserve"> </v>
      </c>
      <c r="K102" t="str" cm="1">
        <f t="array" ref="K102">_xlfn.TEXTJOIN(",",TRUE,(_xlfn._xlws.FILTER($A$2:$A$501,($D$2:$D$501&gt;=L$7)*($D$2:$D$501&lt;K$7)*($E$2:$E$501&gt;=$H103)*($E$2:$E$501&lt;$H102)," ")))</f>
        <v xml:space="preserve"> </v>
      </c>
      <c r="L102" t="str" cm="1">
        <f t="array" ref="L102">_xlfn.TEXTJOIN(",",TRUE,(_xlfn._xlws.FILTER($A$2:$A$501,($D$2:$D$501&gt;=M$7)*($D$2:$D$501&lt;L$7)*($E$2:$E$501&gt;=$H103)*($E$2:$E$501&lt;$H102)," ")))</f>
        <v xml:space="preserve"> </v>
      </c>
      <c r="M102" t="str" cm="1">
        <f t="array" ref="M102">_xlfn.TEXTJOIN(",",TRUE,(_xlfn._xlws.FILTER($A$2:$A$501,($D$2:$D$501&gt;=N$7)*($D$2:$D$501&lt;M$7)*($E$2:$E$501&gt;=$H103)*($E$2:$E$501&lt;$H102)," ")))</f>
        <v xml:space="preserve"> </v>
      </c>
      <c r="N102" t="str" cm="1">
        <f t="array" ref="N102">_xlfn.TEXTJOIN(",",TRUE,(_xlfn._xlws.FILTER($A$2:$A$501,($D$2:$D$501&gt;=O$7)*($D$2:$D$501&lt;N$7)*($E$2:$E$501&gt;=$H103)*($E$2:$E$501&lt;$H102)," ")))</f>
        <v xml:space="preserve"> </v>
      </c>
      <c r="O102" t="str" cm="1">
        <f t="array" ref="O102">_xlfn.TEXTJOIN(",",TRUE,(_xlfn._xlws.FILTER($A$2:$A$501,($D$2:$D$501&gt;=P$7)*($D$2:$D$501&lt;O$7)*($E$2:$E$501&gt;=$H103)*($E$2:$E$501&lt;$H102)," ")))</f>
        <v xml:space="preserve"> </v>
      </c>
      <c r="P102" t="str" cm="1">
        <f t="array" ref="P102">_xlfn.TEXTJOIN(",",TRUE,(_xlfn._xlws.FILTER($A$2:$A$501,($D$2:$D$501&gt;=Q$7)*($D$2:$D$501&lt;P$7)*($E$2:$E$501&gt;=$H103)*($E$2:$E$501&lt;$H102)," ")))</f>
        <v xml:space="preserve"> </v>
      </c>
      <c r="Q102" t="str" cm="1">
        <f t="array" ref="Q102">_xlfn.TEXTJOIN(",",TRUE,(_xlfn._xlws.FILTER($A$2:$A$501,($D$2:$D$501&gt;=R$7)*($D$2:$D$501&lt;Q$7)*($E$2:$E$501&gt;=$H103)*($E$2:$E$501&lt;$H102)," ")))</f>
        <v xml:space="preserve"> </v>
      </c>
      <c r="R102" t="str" cm="1">
        <f t="array" ref="R102">_xlfn.TEXTJOIN(",",TRUE,(_xlfn._xlws.FILTER($A$2:$A$501,($D$2:$D$501&gt;=S$7)*($D$2:$D$501&lt;R$7)*($E$2:$E$501&gt;=$H103)*($E$2:$E$501&lt;$H102)," ")))</f>
        <v xml:space="preserve"> </v>
      </c>
      <c r="S102" t="str" cm="1">
        <f t="array" ref="S102">_xlfn.TEXTJOIN(",",TRUE,(_xlfn._xlws.FILTER($A$2:$A$501,($D$2:$D$501&gt;=T$7)*($D$2:$D$501&lt;S$7)*($E$2:$E$501&gt;=$H103)*($E$2:$E$501&lt;$H102)," ")))</f>
        <v xml:space="preserve"> </v>
      </c>
      <c r="T102" t="str" cm="1">
        <f t="array" ref="T102">_xlfn.TEXTJOIN(",",TRUE,(_xlfn._xlws.FILTER($A$2:$A$501,($D$2:$D$501&gt;=U$7)*($D$2:$D$501&lt;T$7)*($E$2:$E$501&gt;=$H103)*($E$2:$E$501&lt;$H102)," ")))</f>
        <v xml:space="preserve"> </v>
      </c>
      <c r="U102" t="str" cm="1">
        <f t="array" ref="U102">_xlfn.TEXTJOIN(",",TRUE,(_xlfn._xlws.FILTER($A$2:$A$501,($D$2:$D$501&gt;=V$7)*($D$2:$D$501&lt;U$7)*($E$2:$E$501&gt;=$H103)*($E$2:$E$501&lt;$H102)," ")))</f>
        <v>Southeast Delco SD</v>
      </c>
      <c r="V102" t="str" cm="1">
        <f t="array" ref="V102">_xlfn.TEXTJOIN(",",TRUE,(_xlfn._xlws.FILTER($A$2:$A$501,($D$2:$D$501&gt;=W$7)*($D$2:$D$501&lt;V$7)*($E$2:$E$501&gt;=$H103)*($E$2:$E$501&lt;$H102)," ")))</f>
        <v xml:space="preserve"> </v>
      </c>
      <c r="W102" t="str" cm="1">
        <f t="array" ref="W102">_xlfn.TEXTJOIN(",",TRUE,(_xlfn._xlws.FILTER($A$2:$A$501,($D$2:$D$501&gt;=X$7)*($D$2:$D$501&lt;W$7)*($E$2:$E$501&gt;=$H103)*($E$2:$E$501&lt;$H102)," ")))</f>
        <v xml:space="preserve"> </v>
      </c>
      <c r="X102" t="str" cm="1">
        <f t="array" ref="X102">_xlfn.TEXTJOIN(",",TRUE,(_xlfn._xlws.FILTER($A$2:$A$501,($D$2:$D$501&gt;=Y$7)*($D$2:$D$501&lt;X$7)*($E$2:$E$501&gt;=$H103)*($E$2:$E$501&lt;$H102)," ")))</f>
        <v xml:space="preserve"> </v>
      </c>
      <c r="Y102" t="str" cm="1">
        <f t="array" ref="Y102">_xlfn.TEXTJOIN(",",TRUE,(_xlfn._xlws.FILTER($A$2:$A$501,($D$2:$D$501&gt;=Z$7)*($D$2:$D$501&lt;Y$7)*($E$2:$E$501&gt;=$H103)*($E$2:$E$501&lt;$H102)," ")))</f>
        <v>Crawford Central SD</v>
      </c>
      <c r="Z102" t="str" cm="1">
        <f t="array" ref="Z102">_xlfn.TEXTJOIN(",",TRUE,(_xlfn._xlws.FILTER($A$2:$A$501,($D$2:$D$501&gt;=AA$7)*($D$2:$D$501&lt;Z$7)*($E$2:$E$501&gt;=$H103)*($E$2:$E$501&lt;$H102)," ")))</f>
        <v xml:space="preserve"> </v>
      </c>
      <c r="AA102" t="str" cm="1">
        <f t="array" ref="AA102">_xlfn.TEXTJOIN(",",TRUE,(_xlfn._xlws.FILTER($A$2:$A$501,($D$2:$D$501&gt;=AB$7)*($D$2:$D$501&lt;AA$7)*($E$2:$E$501&gt;=$H103)*($E$2:$E$501&lt;$H102)," ")))</f>
        <v xml:space="preserve"> </v>
      </c>
      <c r="AB102" t="str" cm="1">
        <f t="array" ref="AB102">_xlfn.TEXTJOIN(",",TRUE,(_xlfn._xlws.FILTER($A$2:$A$501,($D$2:$D$501&gt;=AC$7)*($D$2:$D$501&lt;AB$7)*($E$2:$E$501&gt;=$H103)*($E$2:$E$501&lt;$H102)," ")))</f>
        <v>Brownsville Area SD,Palmerton Area SD</v>
      </c>
      <c r="AC102" t="str" cm="1">
        <f t="array" ref="AC102">_xlfn.TEXTJOIN(",",TRUE,(_xlfn._xlws.FILTER($A$2:$A$501,($D$2:$D$501&gt;=AD$7)*($D$2:$D$501&lt;AC$7)*($E$2:$E$501&gt;=$H103)*($E$2:$E$501&lt;$H102)," ")))</f>
        <v>North Star SD</v>
      </c>
      <c r="AD102" t="str" cm="1">
        <f t="array" ref="AD102">_xlfn.TEXTJOIN(",",TRUE,(_xlfn._xlws.FILTER($A$2:$A$501,($D$2:$D$501&gt;=AE$7)*($D$2:$D$501&lt;AD$7)*($E$2:$E$501&gt;=$H103)*($E$2:$E$501&lt;$H102)," ")))</f>
        <v xml:space="preserve"> </v>
      </c>
      <c r="AE102" t="str" cm="1">
        <f t="array" ref="AE102">_xlfn.TEXTJOIN(",",TRUE,(_xlfn._xlws.FILTER($A$2:$A$501,($D$2:$D$501&gt;=AF$7)*($D$2:$D$501&lt;AE$7)*($E$2:$E$501&gt;=$H103)*($E$2:$E$501&lt;$H102)," ")))</f>
        <v xml:space="preserve"> </v>
      </c>
      <c r="AF102" t="str" cm="1">
        <f t="array" ref="AF102">_xlfn.TEXTJOIN(",",TRUE,(_xlfn._xlws.FILTER($A$2:$A$501,($D$2:$D$501&gt;=AG$7)*($D$2:$D$501&lt;AF$7)*($E$2:$E$501&gt;=$H103)*($E$2:$E$501&lt;$H102)," ")))</f>
        <v xml:space="preserve"> </v>
      </c>
      <c r="AG102" t="str" cm="1">
        <f t="array" ref="AG102">_xlfn.TEXTJOIN(",",TRUE,(_xlfn._xlws.FILTER($A$2:$A$501,($D$2:$D$501&gt;=AH$7)*($D$2:$D$501&lt;AG$7)*($E$2:$E$501&gt;=$H103)*($E$2:$E$501&lt;$H102)," ")))</f>
        <v xml:space="preserve"> </v>
      </c>
      <c r="AH102" t="str" cm="1">
        <f t="array" ref="AH102">_xlfn.TEXTJOIN(",",TRUE,(_xlfn._xlws.FILTER($A$2:$A$501,($D$2:$D$501&gt;=AI$7)*($D$2:$D$501&lt;AH$7)*($E$2:$E$501&gt;=$H103)*($E$2:$E$501&lt;$H102)," ")))</f>
        <v xml:space="preserve"> </v>
      </c>
      <c r="AI102" t="str" cm="1">
        <f t="array" ref="AI102">_xlfn.TEXTJOIN(",",TRUE,(_xlfn._xlws.FILTER($A$2:$A$501,($D$2:$D$501&gt;=AJ$7)*($D$2:$D$501&lt;AI$7)*($E$2:$E$501&gt;=$H103)*($E$2:$E$501&lt;$H102)," ")))</f>
        <v xml:space="preserve"> </v>
      </c>
      <c r="AJ102" t="str" cm="1">
        <f t="array" ref="AJ102">_xlfn.TEXTJOIN(",",TRUE,(_xlfn._xlws.FILTER($A$2:$A$501,($D$2:$D$501&gt;=AK$7)*($D$2:$D$501&lt;AJ$7)*($E$2:$E$501&gt;=$H103)*($E$2:$E$501&lt;$H102)," ")))</f>
        <v xml:space="preserve"> </v>
      </c>
      <c r="AK102" t="str" cm="1">
        <f t="array" ref="AK102">_xlfn.TEXTJOIN(",",TRUE,(_xlfn._xlws.FILTER($A$2:$A$501,($D$2:$D$501&gt;=AL$7)*($D$2:$D$501&lt;AK$7)*($E$2:$E$501&gt;=$H103)*($E$2:$E$501&lt;$H102)," ")))</f>
        <v xml:space="preserve"> </v>
      </c>
      <c r="AL102" t="str" cm="1">
        <f t="array" ref="AL102">_xlfn.TEXTJOIN(",",TRUE,(_xlfn._xlws.FILTER($A$2:$A$501,($D$2:$D$501&gt;=AM$7)*($D$2:$D$501&lt;AL$7)*($E$2:$E$501&gt;=$H103)*($E$2:$E$501&lt;$H102)," ")))</f>
        <v xml:space="preserve"> </v>
      </c>
      <c r="AM102" t="str" cm="1">
        <f t="array" ref="AM102">_xlfn.TEXTJOIN(",",TRUE,(_xlfn._xlws.FILTER($A$2:$A$501,($D$2:$D$501&gt;=AN$7)*($D$2:$D$501&lt;AM$7)*($E$2:$E$501&gt;=$H103)*($E$2:$E$501&lt;$H102)," ")))</f>
        <v xml:space="preserve"> </v>
      </c>
      <c r="AN102" t="str" cm="1">
        <f t="array" ref="AN102">_xlfn.TEXTJOIN(",",TRUE,(_xlfn._xlws.FILTER($A$2:$A$501,($D$2:$D$501&gt;=AO$7)*($D$2:$D$501&lt;AN$7)*($E$2:$E$501&gt;=$H103)*($E$2:$E$501&lt;$H102)," ")))</f>
        <v xml:space="preserve"> </v>
      </c>
      <c r="AO102" t="str" cm="1">
        <f t="array" ref="AO102">_xlfn.TEXTJOIN(",",TRUE,(_xlfn._xlws.FILTER($A$2:$A$501,($D$2:$D$501&gt;=AP$7)*($D$2:$D$501&lt;AO$7)*($E$2:$E$501&gt;=$H103)*($E$2:$E$501&lt;$H102)," ")))</f>
        <v xml:space="preserve"> </v>
      </c>
      <c r="AP102" t="str" cm="1">
        <f t="array" ref="AP102">_xlfn.TEXTJOIN(",",TRUE,(_xlfn._xlws.FILTER($A$2:$A$501,($D$2:$D$501&gt;=AQ$7)*($D$2:$D$501&lt;AP$7)*($E$2:$E$501&gt;=$H103)*($E$2:$E$501&lt;$H102)," ")))</f>
        <v xml:space="preserve"> </v>
      </c>
      <c r="AQ102" t="str" cm="1">
        <f t="array" ref="AQ102">_xlfn.TEXTJOIN(",",TRUE,(_xlfn._xlws.FILTER($A$2:$A$501,($D$2:$D$501&gt;=AR$7)*($D$2:$D$501&lt;AQ$7)*($E$2:$E$501&gt;=$H103)*($E$2:$E$501&lt;$H102)," ")))</f>
        <v xml:space="preserve"> </v>
      </c>
      <c r="AR102" t="str" cm="1">
        <f t="array" ref="AR102">_xlfn.TEXTJOIN(",",TRUE,(_xlfn._xlws.FILTER($A$2:$A$501,($D$2:$D$501&gt;=AS$7)*($D$2:$D$501&lt;AR$7)*($E$2:$E$501&gt;=$H103)*($E$2:$E$501&lt;$H102)," ")))</f>
        <v xml:space="preserve"> </v>
      </c>
      <c r="AS102" t="str" cm="1">
        <f t="array" ref="AS102">_xlfn.TEXTJOIN(",",TRUE,(_xlfn._xlws.FILTER($A$2:$A$501,($D$2:$D$501&gt;=AT$7)*($D$2:$D$501&lt;AS$7)*($E$2:$E$501&gt;=$H103)*($E$2:$E$501&lt;$H102)," ")))</f>
        <v xml:space="preserve"> </v>
      </c>
      <c r="AT102" t="str" cm="1">
        <f t="array" ref="AT102">_xlfn.TEXTJOIN(",",TRUE,(_xlfn._xlws.FILTER($A$2:$A$501,($D$2:$D$501&gt;=AU$7)*($D$2:$D$501&lt;AT$7)*($E$2:$E$501&gt;=$H103)*($E$2:$E$501&lt;$H102)," ")))</f>
        <v xml:space="preserve"> </v>
      </c>
      <c r="AU102" t="str" cm="1">
        <f t="array" ref="AU102">_xlfn.TEXTJOIN(",",TRUE,(_xlfn._xlws.FILTER($A$2:$A$501,($D$2:$D$501&gt;=AV$7)*($D$2:$D$501&lt;AU$7)*($E$2:$E$501&gt;=$H103)*($E$2:$E$501&lt;$H102)," ")))</f>
        <v xml:space="preserve"> </v>
      </c>
      <c r="AV102" t="str" cm="1">
        <f t="array" ref="AV102">_xlfn.TEXTJOIN(",",TRUE,(_xlfn._xlws.FILTER($A$2:$A$501,($D$2:$D$501&gt;=AW$7)*($D$2:$D$501&lt;AV$7)*($E$2:$E$501&gt;=$H103)*($E$2:$E$501&lt;$H102)," ")))</f>
        <v xml:space="preserve"> </v>
      </c>
      <c r="AW102" t="str" cm="1">
        <f t="array" ref="AW102">_xlfn.TEXTJOIN(",",TRUE,(_xlfn._xlws.FILTER($A$2:$A$501,($D$2:$D$501&gt;=AX$7)*($D$2:$D$501&lt;AW$7)*($E$2:$E$501&gt;=$H103)*($E$2:$E$501&lt;$H102)," ")))</f>
        <v xml:space="preserve"> </v>
      </c>
      <c r="AX102" t="str" cm="1">
        <f t="array" ref="AX102">_xlfn.TEXTJOIN(",",TRUE,(_xlfn._xlws.FILTER($A$2:$A$501,($D$2:$D$501&gt;=AY$7)*($D$2:$D$501&lt;AX$7)*($E$2:$E$501&gt;=$H103)*($E$2:$E$501&lt;$H102)," ")))</f>
        <v xml:space="preserve"> </v>
      </c>
      <c r="AY102" t="str" cm="1">
        <f t="array" ref="AY102">_xlfn.TEXTJOIN(",",TRUE,(_xlfn._xlws.FILTER($A$2:$A$501,($D$2:$D$501&gt;=AZ$7)*($D$2:$D$501&lt;AY$7)*($E$2:$E$501&gt;=$H103)*($E$2:$E$501&lt;$H102)," ")))</f>
        <v xml:space="preserve"> </v>
      </c>
      <c r="AZ102" t="str" cm="1">
        <f t="array" ref="AZ102">_xlfn.TEXTJOIN(",",TRUE,(_xlfn._xlws.FILTER($A$2:$A$501,($D$2:$D$501&gt;=BA$7)*($D$2:$D$501&lt;AZ$7)*($E$2:$E$501&gt;=$H103)*($E$2:$E$501&lt;$H102)," ")))</f>
        <v xml:space="preserve"> </v>
      </c>
      <c r="BA102" t="str" cm="1">
        <f t="array" ref="BA102">_xlfn.TEXTJOIN(",",TRUE,(_xlfn._xlws.FILTER($A$2:$A$501,($D$2:$D$501&gt;=BB$7)*($D$2:$D$501&lt;BA$7)*($E$2:$E$501&gt;=$H103)*($E$2:$E$501&lt;$H102)," ")))</f>
        <v xml:space="preserve"> </v>
      </c>
      <c r="BB102" t="str" cm="1">
        <f t="array" ref="BB102">_xlfn.TEXTJOIN(",",TRUE,(_xlfn._xlws.FILTER($A$2:$A$501,($D$2:$D$501&gt;=BC$7)*($D$2:$D$501&lt;BB$7)*($E$2:$E$501&gt;=$H103)*($E$2:$E$501&lt;$H102)," ")))</f>
        <v xml:space="preserve"> </v>
      </c>
    </row>
    <row r="103" spans="1:54" x14ac:dyDescent="0.2">
      <c r="A103" s="3" t="s">
        <v>471</v>
      </c>
      <c r="B103" s="3" t="s">
        <v>463</v>
      </c>
      <c r="C103" s="13">
        <v>1004441.48</v>
      </c>
      <c r="D103" s="15">
        <v>24018025.59</v>
      </c>
      <c r="E103" s="22">
        <f>TuitionRates3[[#This Row],[Tuition]]/D103</f>
        <v>4.1820318503541072E-2</v>
      </c>
      <c r="F103"/>
      <c r="H103" s="18">
        <v>5.4999999999999903E-2</v>
      </c>
      <c r="I103" t="str" cm="1">
        <f t="array" ref="I103">_xlfn.TEXTJOIN(",",TRUE,(_xlfn._xlws.FILTER($A$2:$A$501,($D$2:$D$501&gt;=J$7)*($D$2:$D$501&lt;I$7)*($E$2:$E$501&gt;=$H104)*($E$2:$E$501&lt;$H103)," ")))</f>
        <v xml:space="preserve"> </v>
      </c>
      <c r="J103" t="str" cm="1">
        <f t="array" ref="J103">_xlfn.TEXTJOIN(",",TRUE,(_xlfn._xlws.FILTER($A$2:$A$501,($D$2:$D$501&gt;=K$7)*($D$2:$D$501&lt;J$7)*($E$2:$E$501&gt;=$H104)*($E$2:$E$501&lt;$H103)," ")))</f>
        <v xml:space="preserve"> </v>
      </c>
      <c r="K103" t="str" cm="1">
        <f t="array" ref="K103">_xlfn.TEXTJOIN(",",TRUE,(_xlfn._xlws.FILTER($A$2:$A$501,($D$2:$D$501&gt;=L$7)*($D$2:$D$501&lt;K$7)*($E$2:$E$501&gt;=$H104)*($E$2:$E$501&lt;$H103)," ")))</f>
        <v xml:space="preserve"> </v>
      </c>
      <c r="L103" t="str" cm="1">
        <f t="array" ref="L103">_xlfn.TEXTJOIN(",",TRUE,(_xlfn._xlws.FILTER($A$2:$A$501,($D$2:$D$501&gt;=M$7)*($D$2:$D$501&lt;L$7)*($E$2:$E$501&gt;=$H104)*($E$2:$E$501&lt;$H103)," ")))</f>
        <v xml:space="preserve"> </v>
      </c>
      <c r="M103" t="str" cm="1">
        <f t="array" ref="M103">_xlfn.TEXTJOIN(",",TRUE,(_xlfn._xlws.FILTER($A$2:$A$501,($D$2:$D$501&gt;=N$7)*($D$2:$D$501&lt;M$7)*($E$2:$E$501&gt;=$H104)*($E$2:$E$501&lt;$H103)," ")))</f>
        <v xml:space="preserve"> </v>
      </c>
      <c r="N103" t="str" cm="1">
        <f t="array" ref="N103">_xlfn.TEXTJOIN(",",TRUE,(_xlfn._xlws.FILTER($A$2:$A$501,($D$2:$D$501&gt;=O$7)*($D$2:$D$501&lt;N$7)*($E$2:$E$501&gt;=$H104)*($E$2:$E$501&lt;$H103)," ")))</f>
        <v xml:space="preserve"> </v>
      </c>
      <c r="O103" t="str" cm="1">
        <f t="array" ref="O103">_xlfn.TEXTJOIN(",",TRUE,(_xlfn._xlws.FILTER($A$2:$A$501,($D$2:$D$501&gt;=P$7)*($D$2:$D$501&lt;O$7)*($E$2:$E$501&gt;=$H104)*($E$2:$E$501&lt;$H103)," ")))</f>
        <v>Pittsburgh SD</v>
      </c>
      <c r="P103" t="str" cm="1">
        <f t="array" ref="P103">_xlfn.TEXTJOIN(",",TRUE,(_xlfn._xlws.FILTER($A$2:$A$501,($D$2:$D$501&gt;=Q$7)*($D$2:$D$501&lt;P$7)*($E$2:$E$501&gt;=$H104)*($E$2:$E$501&lt;$H103)," ")))</f>
        <v xml:space="preserve"> </v>
      </c>
      <c r="Q103" t="str" cm="1">
        <f t="array" ref="Q103">_xlfn.TEXTJOIN(",",TRUE,(_xlfn._xlws.FILTER($A$2:$A$501,($D$2:$D$501&gt;=R$7)*($D$2:$D$501&lt;Q$7)*($E$2:$E$501&gt;=$H104)*($E$2:$E$501&lt;$H103)," ")))</f>
        <v xml:space="preserve"> </v>
      </c>
      <c r="R103" t="str" cm="1">
        <f t="array" ref="R103">_xlfn.TEXTJOIN(",",TRUE,(_xlfn._xlws.FILTER($A$2:$A$501,($D$2:$D$501&gt;=S$7)*($D$2:$D$501&lt;R$7)*($E$2:$E$501&gt;=$H104)*($E$2:$E$501&lt;$H103)," ")))</f>
        <v xml:space="preserve"> </v>
      </c>
      <c r="S103" t="str" cm="1">
        <f t="array" ref="S103">_xlfn.TEXTJOIN(",",TRUE,(_xlfn._xlws.FILTER($A$2:$A$501,($D$2:$D$501&gt;=T$7)*($D$2:$D$501&lt;S$7)*($E$2:$E$501&gt;=$H104)*($E$2:$E$501&lt;$H103)," ")))</f>
        <v xml:space="preserve"> </v>
      </c>
      <c r="T103" t="str" cm="1">
        <f t="array" ref="T103">_xlfn.TEXTJOIN(",",TRUE,(_xlfn._xlws.FILTER($A$2:$A$501,($D$2:$D$501&gt;=U$7)*($D$2:$D$501&lt;T$7)*($E$2:$E$501&gt;=$H104)*($E$2:$E$501&lt;$H103)," ")))</f>
        <v xml:space="preserve"> </v>
      </c>
      <c r="U103" t="str" cm="1">
        <f t="array" ref="U103">_xlfn.TEXTJOIN(",",TRUE,(_xlfn._xlws.FILTER($A$2:$A$501,($D$2:$D$501&gt;=V$7)*($D$2:$D$501&lt;U$7)*($E$2:$E$501&gt;=$H104)*($E$2:$E$501&lt;$H103)," ")))</f>
        <v xml:space="preserve"> </v>
      </c>
      <c r="V103" t="str" cm="1">
        <f t="array" ref="V103">_xlfn.TEXTJOIN(",",TRUE,(_xlfn._xlws.FILTER($A$2:$A$501,($D$2:$D$501&gt;=W$7)*($D$2:$D$501&lt;V$7)*($E$2:$E$501&gt;=$H104)*($E$2:$E$501&lt;$H103)," ")))</f>
        <v xml:space="preserve"> </v>
      </c>
      <c r="W103" t="str" cm="1">
        <f t="array" ref="W103">_xlfn.TEXTJOIN(",",TRUE,(_xlfn._xlws.FILTER($A$2:$A$501,($D$2:$D$501&gt;=X$7)*($D$2:$D$501&lt;W$7)*($E$2:$E$501&gt;=$H104)*($E$2:$E$501&lt;$H103)," ")))</f>
        <v xml:space="preserve"> </v>
      </c>
      <c r="X103" t="str" cm="1">
        <f t="array" ref="X103">_xlfn.TEXTJOIN(",",TRUE,(_xlfn._xlws.FILTER($A$2:$A$501,($D$2:$D$501&gt;=Y$7)*($D$2:$D$501&lt;X$7)*($E$2:$E$501&gt;=$H104)*($E$2:$E$501&lt;$H103)," ")))</f>
        <v xml:space="preserve"> </v>
      </c>
      <c r="Y103" t="str" cm="1">
        <f t="array" ref="Y103">_xlfn.TEXTJOIN(",",TRUE,(_xlfn._xlws.FILTER($A$2:$A$501,($D$2:$D$501&gt;=Z$7)*($D$2:$D$501&lt;Y$7)*($E$2:$E$501&gt;=$H104)*($E$2:$E$501&lt;$H103)," ")))</f>
        <v xml:space="preserve"> </v>
      </c>
      <c r="Z103" t="str" cm="1">
        <f t="array" ref="Z103">_xlfn.TEXTJOIN(",",TRUE,(_xlfn._xlws.FILTER($A$2:$A$501,($D$2:$D$501&gt;=AA$7)*($D$2:$D$501&lt;Z$7)*($E$2:$E$501&gt;=$H104)*($E$2:$E$501&lt;$H103)," ")))</f>
        <v xml:space="preserve"> </v>
      </c>
      <c r="AA103" t="str" cm="1">
        <f t="array" ref="AA103">_xlfn.TEXTJOIN(",",TRUE,(_xlfn._xlws.FILTER($A$2:$A$501,($D$2:$D$501&gt;=AB$7)*($D$2:$D$501&lt;AA$7)*($E$2:$E$501&gt;=$H104)*($E$2:$E$501&lt;$H103)," ")))</f>
        <v xml:space="preserve"> </v>
      </c>
      <c r="AB103" t="str" cm="1">
        <f t="array" ref="AB103">_xlfn.TEXTJOIN(",",TRUE,(_xlfn._xlws.FILTER($A$2:$A$501,($D$2:$D$501&gt;=AC$7)*($D$2:$D$501&lt;AB$7)*($E$2:$E$501&gt;=$H104)*($E$2:$E$501&lt;$H103)," ")))</f>
        <v>Washington SD</v>
      </c>
      <c r="AC103" t="str" cm="1">
        <f t="array" ref="AC103">_xlfn.TEXTJOIN(",",TRUE,(_xlfn._xlws.FILTER($A$2:$A$501,($D$2:$D$501&gt;=AD$7)*($D$2:$D$501&lt;AC$7)*($E$2:$E$501&gt;=$H104)*($E$2:$E$501&lt;$H103)," ")))</f>
        <v xml:space="preserve"> </v>
      </c>
      <c r="AD103" t="str" cm="1">
        <f t="array" ref="AD103">_xlfn.TEXTJOIN(",",TRUE,(_xlfn._xlws.FILTER($A$2:$A$501,($D$2:$D$501&gt;=AE$7)*($D$2:$D$501&lt;AD$7)*($E$2:$E$501&gt;=$H104)*($E$2:$E$501&lt;$H103)," ")))</f>
        <v>Forest City Regional SD</v>
      </c>
      <c r="AE103" t="str" cm="1">
        <f t="array" ref="AE103">_xlfn.TEXTJOIN(",",TRUE,(_xlfn._xlws.FILTER($A$2:$A$501,($D$2:$D$501&gt;=AF$7)*($D$2:$D$501&lt;AE$7)*($E$2:$E$501&gt;=$H104)*($E$2:$E$501&lt;$H103)," ")))</f>
        <v xml:space="preserve"> </v>
      </c>
      <c r="AF103" t="str" cm="1">
        <f t="array" ref="AF103">_xlfn.TEXTJOIN(",",TRUE,(_xlfn._xlws.FILTER($A$2:$A$501,($D$2:$D$501&gt;=AG$7)*($D$2:$D$501&lt;AF$7)*($E$2:$E$501&gt;=$H104)*($E$2:$E$501&lt;$H103)," ")))</f>
        <v xml:space="preserve"> </v>
      </c>
      <c r="AG103" t="str" cm="1">
        <f t="array" ref="AG103">_xlfn.TEXTJOIN(",",TRUE,(_xlfn._xlws.FILTER($A$2:$A$501,($D$2:$D$501&gt;=AH$7)*($D$2:$D$501&lt;AG$7)*($E$2:$E$501&gt;=$H104)*($E$2:$E$501&lt;$H103)," ")))</f>
        <v xml:space="preserve"> </v>
      </c>
      <c r="AH103" t="str" cm="1">
        <f t="array" ref="AH103">_xlfn.TEXTJOIN(",",TRUE,(_xlfn._xlws.FILTER($A$2:$A$501,($D$2:$D$501&gt;=AI$7)*($D$2:$D$501&lt;AH$7)*($E$2:$E$501&gt;=$H104)*($E$2:$E$501&lt;$H103)," ")))</f>
        <v xml:space="preserve"> </v>
      </c>
      <c r="AI103" t="str" cm="1">
        <f t="array" ref="AI103">_xlfn.TEXTJOIN(",",TRUE,(_xlfn._xlws.FILTER($A$2:$A$501,($D$2:$D$501&gt;=AJ$7)*($D$2:$D$501&lt;AI$7)*($E$2:$E$501&gt;=$H104)*($E$2:$E$501&lt;$H103)," ")))</f>
        <v xml:space="preserve"> </v>
      </c>
      <c r="AJ103" t="str" cm="1">
        <f t="array" ref="AJ103">_xlfn.TEXTJOIN(",",TRUE,(_xlfn._xlws.FILTER($A$2:$A$501,($D$2:$D$501&gt;=AK$7)*($D$2:$D$501&lt;AJ$7)*($E$2:$E$501&gt;=$H104)*($E$2:$E$501&lt;$H103)," ")))</f>
        <v xml:space="preserve"> </v>
      </c>
      <c r="AK103" t="str" cm="1">
        <f t="array" ref="AK103">_xlfn.TEXTJOIN(",",TRUE,(_xlfn._xlws.FILTER($A$2:$A$501,($D$2:$D$501&gt;=AL$7)*($D$2:$D$501&lt;AK$7)*($E$2:$E$501&gt;=$H104)*($E$2:$E$501&lt;$H103)," ")))</f>
        <v xml:space="preserve"> </v>
      </c>
      <c r="AL103" t="str" cm="1">
        <f t="array" ref="AL103">_xlfn.TEXTJOIN(",",TRUE,(_xlfn._xlws.FILTER($A$2:$A$501,($D$2:$D$501&gt;=AM$7)*($D$2:$D$501&lt;AL$7)*($E$2:$E$501&gt;=$H104)*($E$2:$E$501&lt;$H103)," ")))</f>
        <v xml:space="preserve"> </v>
      </c>
      <c r="AM103" t="str" cm="1">
        <f t="array" ref="AM103">_xlfn.TEXTJOIN(",",TRUE,(_xlfn._xlws.FILTER($A$2:$A$501,($D$2:$D$501&gt;=AN$7)*($D$2:$D$501&lt;AM$7)*($E$2:$E$501&gt;=$H104)*($E$2:$E$501&lt;$H103)," ")))</f>
        <v xml:space="preserve"> </v>
      </c>
      <c r="AN103" t="str" cm="1">
        <f t="array" ref="AN103">_xlfn.TEXTJOIN(",",TRUE,(_xlfn._xlws.FILTER($A$2:$A$501,($D$2:$D$501&gt;=AO$7)*($D$2:$D$501&lt;AN$7)*($E$2:$E$501&gt;=$H104)*($E$2:$E$501&lt;$H103)," ")))</f>
        <v xml:space="preserve"> </v>
      </c>
      <c r="AO103" t="str" cm="1">
        <f t="array" ref="AO103">_xlfn.TEXTJOIN(",",TRUE,(_xlfn._xlws.FILTER($A$2:$A$501,($D$2:$D$501&gt;=AP$7)*($D$2:$D$501&lt;AO$7)*($E$2:$E$501&gt;=$H104)*($E$2:$E$501&lt;$H103)," ")))</f>
        <v xml:space="preserve"> </v>
      </c>
      <c r="AP103" t="str" cm="1">
        <f t="array" ref="AP103">_xlfn.TEXTJOIN(",",TRUE,(_xlfn._xlws.FILTER($A$2:$A$501,($D$2:$D$501&gt;=AQ$7)*($D$2:$D$501&lt;AP$7)*($E$2:$E$501&gt;=$H104)*($E$2:$E$501&lt;$H103)," ")))</f>
        <v xml:space="preserve"> </v>
      </c>
      <c r="AQ103" t="str" cm="1">
        <f t="array" ref="AQ103">_xlfn.TEXTJOIN(",",TRUE,(_xlfn._xlws.FILTER($A$2:$A$501,($D$2:$D$501&gt;=AR$7)*($D$2:$D$501&lt;AQ$7)*($E$2:$E$501&gt;=$H104)*($E$2:$E$501&lt;$H103)," ")))</f>
        <v xml:space="preserve"> </v>
      </c>
      <c r="AR103" t="str" cm="1">
        <f t="array" ref="AR103">_xlfn.TEXTJOIN(",",TRUE,(_xlfn._xlws.FILTER($A$2:$A$501,($D$2:$D$501&gt;=AS$7)*($D$2:$D$501&lt;AR$7)*($E$2:$E$501&gt;=$H104)*($E$2:$E$501&lt;$H103)," ")))</f>
        <v xml:space="preserve"> </v>
      </c>
      <c r="AS103" t="str" cm="1">
        <f t="array" ref="AS103">_xlfn.TEXTJOIN(",",TRUE,(_xlfn._xlws.FILTER($A$2:$A$501,($D$2:$D$501&gt;=AT$7)*($D$2:$D$501&lt;AS$7)*($E$2:$E$501&gt;=$H104)*($E$2:$E$501&lt;$H103)," ")))</f>
        <v xml:space="preserve"> </v>
      </c>
      <c r="AT103" t="str" cm="1">
        <f t="array" ref="AT103">_xlfn.TEXTJOIN(",",TRUE,(_xlfn._xlws.FILTER($A$2:$A$501,($D$2:$D$501&gt;=AU$7)*($D$2:$D$501&lt;AT$7)*($E$2:$E$501&gt;=$H104)*($E$2:$E$501&lt;$H103)," ")))</f>
        <v xml:space="preserve"> </v>
      </c>
      <c r="AU103" t="str" cm="1">
        <f t="array" ref="AU103">_xlfn.TEXTJOIN(",",TRUE,(_xlfn._xlws.FILTER($A$2:$A$501,($D$2:$D$501&gt;=AV$7)*($D$2:$D$501&lt;AU$7)*($E$2:$E$501&gt;=$H104)*($E$2:$E$501&lt;$H103)," ")))</f>
        <v xml:space="preserve"> </v>
      </c>
      <c r="AV103" t="str" cm="1">
        <f t="array" ref="AV103">_xlfn.TEXTJOIN(",",TRUE,(_xlfn._xlws.FILTER($A$2:$A$501,($D$2:$D$501&gt;=AW$7)*($D$2:$D$501&lt;AV$7)*($E$2:$E$501&gt;=$H104)*($E$2:$E$501&lt;$H103)," ")))</f>
        <v xml:space="preserve"> </v>
      </c>
      <c r="AW103" t="str" cm="1">
        <f t="array" ref="AW103">_xlfn.TEXTJOIN(",",TRUE,(_xlfn._xlws.FILTER($A$2:$A$501,($D$2:$D$501&gt;=AX$7)*($D$2:$D$501&lt;AW$7)*($E$2:$E$501&gt;=$H104)*($E$2:$E$501&lt;$H103)," ")))</f>
        <v xml:space="preserve"> </v>
      </c>
      <c r="AX103" t="str" cm="1">
        <f t="array" ref="AX103">_xlfn.TEXTJOIN(",",TRUE,(_xlfn._xlws.FILTER($A$2:$A$501,($D$2:$D$501&gt;=AY$7)*($D$2:$D$501&lt;AX$7)*($E$2:$E$501&gt;=$H104)*($E$2:$E$501&lt;$H103)," ")))</f>
        <v xml:space="preserve"> </v>
      </c>
      <c r="AY103" t="str" cm="1">
        <f t="array" ref="AY103">_xlfn.TEXTJOIN(",",TRUE,(_xlfn._xlws.FILTER($A$2:$A$501,($D$2:$D$501&gt;=AZ$7)*($D$2:$D$501&lt;AY$7)*($E$2:$E$501&gt;=$H104)*($E$2:$E$501&lt;$H103)," ")))</f>
        <v xml:space="preserve"> </v>
      </c>
      <c r="AZ103" t="str" cm="1">
        <f t="array" ref="AZ103">_xlfn.TEXTJOIN(",",TRUE,(_xlfn._xlws.FILTER($A$2:$A$501,($D$2:$D$501&gt;=BA$7)*($D$2:$D$501&lt;AZ$7)*($E$2:$E$501&gt;=$H104)*($E$2:$E$501&lt;$H103)," ")))</f>
        <v xml:space="preserve"> </v>
      </c>
      <c r="BA103" t="str" cm="1">
        <f t="array" ref="BA103">_xlfn.TEXTJOIN(",",TRUE,(_xlfn._xlws.FILTER($A$2:$A$501,($D$2:$D$501&gt;=BB$7)*($D$2:$D$501&lt;BA$7)*($E$2:$E$501&gt;=$H104)*($E$2:$E$501&lt;$H103)," ")))</f>
        <v xml:space="preserve"> </v>
      </c>
      <c r="BB103" t="str" cm="1">
        <f t="array" ref="BB103">_xlfn.TEXTJOIN(",",TRUE,(_xlfn._xlws.FILTER($A$2:$A$501,($D$2:$D$501&gt;=BC$7)*($D$2:$D$501&lt;BB$7)*($E$2:$E$501&gt;=$H104)*($E$2:$E$501&lt;$H103)," ")))</f>
        <v xml:space="preserve"> </v>
      </c>
    </row>
    <row r="104" spans="1:54" x14ac:dyDescent="0.2">
      <c r="A104" s="3" t="s">
        <v>545</v>
      </c>
      <c r="B104" s="3" t="s">
        <v>533</v>
      </c>
      <c r="C104" s="13">
        <v>1969655.91</v>
      </c>
      <c r="D104" s="15">
        <v>47114452.75</v>
      </c>
      <c r="E104" s="22">
        <f>TuitionRates3[[#This Row],[Tuition]]/D104</f>
        <v>4.1805768613114157E-2</v>
      </c>
      <c r="F104"/>
      <c r="H104" s="18">
        <v>5.3999999999999902E-2</v>
      </c>
      <c r="I104" t="str" cm="1">
        <f t="array" ref="I104">_xlfn.TEXTJOIN(",",TRUE,(_xlfn._xlws.FILTER($A$2:$A$501,($D$2:$D$501&gt;=J$7)*($D$2:$D$501&lt;I$7)*($E$2:$E$501&gt;=$H105)*($E$2:$E$501&lt;$H104)," ")))</f>
        <v xml:space="preserve"> </v>
      </c>
      <c r="J104" t="str" cm="1">
        <f t="array" ref="J104">_xlfn.TEXTJOIN(",",TRUE,(_xlfn._xlws.FILTER($A$2:$A$501,($D$2:$D$501&gt;=K$7)*($D$2:$D$501&lt;J$7)*($E$2:$E$501&gt;=$H105)*($E$2:$E$501&lt;$H104)," ")))</f>
        <v xml:space="preserve"> </v>
      </c>
      <c r="K104" t="str" cm="1">
        <f t="array" ref="K104">_xlfn.TEXTJOIN(",",TRUE,(_xlfn._xlws.FILTER($A$2:$A$501,($D$2:$D$501&gt;=L$7)*($D$2:$D$501&lt;K$7)*($E$2:$E$501&gt;=$H105)*($E$2:$E$501&lt;$H104)," ")))</f>
        <v xml:space="preserve"> </v>
      </c>
      <c r="L104" t="str" cm="1">
        <f t="array" ref="L104">_xlfn.TEXTJOIN(",",TRUE,(_xlfn._xlws.FILTER($A$2:$A$501,($D$2:$D$501&gt;=M$7)*($D$2:$D$501&lt;L$7)*($E$2:$E$501&gt;=$H105)*($E$2:$E$501&lt;$H104)," ")))</f>
        <v xml:space="preserve"> </v>
      </c>
      <c r="M104" t="str" cm="1">
        <f t="array" ref="M104">_xlfn.TEXTJOIN(",",TRUE,(_xlfn._xlws.FILTER($A$2:$A$501,($D$2:$D$501&gt;=N$7)*($D$2:$D$501&lt;M$7)*($E$2:$E$501&gt;=$H105)*($E$2:$E$501&lt;$H104)," ")))</f>
        <v xml:space="preserve"> </v>
      </c>
      <c r="N104" t="str" cm="1">
        <f t="array" ref="N104">_xlfn.TEXTJOIN(",",TRUE,(_xlfn._xlws.FILTER($A$2:$A$501,($D$2:$D$501&gt;=O$7)*($D$2:$D$501&lt;N$7)*($E$2:$E$501&gt;=$H105)*($E$2:$E$501&lt;$H104)," ")))</f>
        <v xml:space="preserve"> </v>
      </c>
      <c r="O104" t="str" cm="1">
        <f t="array" ref="O104">_xlfn.TEXTJOIN(",",TRUE,(_xlfn._xlws.FILTER($A$2:$A$501,($D$2:$D$501&gt;=P$7)*($D$2:$D$501&lt;O$7)*($E$2:$E$501&gt;=$H105)*($E$2:$E$501&lt;$H104)," ")))</f>
        <v xml:space="preserve"> </v>
      </c>
      <c r="P104" t="str" cm="1">
        <f t="array" ref="P104">_xlfn.TEXTJOIN(",",TRUE,(_xlfn._xlws.FILTER($A$2:$A$501,($D$2:$D$501&gt;=Q$7)*($D$2:$D$501&lt;P$7)*($E$2:$E$501&gt;=$H105)*($E$2:$E$501&lt;$H104)," ")))</f>
        <v xml:space="preserve"> </v>
      </c>
      <c r="Q104" t="str" cm="1">
        <f t="array" ref="Q104">_xlfn.TEXTJOIN(",",TRUE,(_xlfn._xlws.FILTER($A$2:$A$501,($D$2:$D$501&gt;=R$7)*($D$2:$D$501&lt;Q$7)*($E$2:$E$501&gt;=$H105)*($E$2:$E$501&lt;$H104)," ")))</f>
        <v xml:space="preserve"> </v>
      </c>
      <c r="R104" t="str" cm="1">
        <f t="array" ref="R104">_xlfn.TEXTJOIN(",",TRUE,(_xlfn._xlws.FILTER($A$2:$A$501,($D$2:$D$501&gt;=S$7)*($D$2:$D$501&lt;R$7)*($E$2:$E$501&gt;=$H105)*($E$2:$E$501&lt;$H104)," ")))</f>
        <v xml:space="preserve"> </v>
      </c>
      <c r="S104" t="str" cm="1">
        <f t="array" ref="S104">_xlfn.TEXTJOIN(",",TRUE,(_xlfn._xlws.FILTER($A$2:$A$501,($D$2:$D$501&gt;=T$7)*($D$2:$D$501&lt;S$7)*($E$2:$E$501&gt;=$H105)*($E$2:$E$501&lt;$H104)," ")))</f>
        <v xml:space="preserve"> </v>
      </c>
      <c r="T104" t="str" cm="1">
        <f t="array" ref="T104">_xlfn.TEXTJOIN(",",TRUE,(_xlfn._xlws.FILTER($A$2:$A$501,($D$2:$D$501&gt;=U$7)*($D$2:$D$501&lt;T$7)*($E$2:$E$501&gt;=$H105)*($E$2:$E$501&lt;$H104)," ")))</f>
        <v xml:space="preserve"> </v>
      </c>
      <c r="U104" t="str" cm="1">
        <f t="array" ref="U104">_xlfn.TEXTJOIN(",",TRUE,(_xlfn._xlws.FILTER($A$2:$A$501,($D$2:$D$501&gt;=V$7)*($D$2:$D$501&lt;U$7)*($E$2:$E$501&gt;=$H105)*($E$2:$E$501&lt;$H104)," ")))</f>
        <v>Williamsport Area SD</v>
      </c>
      <c r="V104" t="str" cm="1">
        <f t="array" ref="V104">_xlfn.TEXTJOIN(",",TRUE,(_xlfn._xlws.FILTER($A$2:$A$501,($D$2:$D$501&gt;=W$7)*($D$2:$D$501&lt;V$7)*($E$2:$E$501&gt;=$H105)*($E$2:$E$501&lt;$H104)," ")))</f>
        <v xml:space="preserve"> </v>
      </c>
      <c r="W104" t="str" cm="1">
        <f t="array" ref="W104">_xlfn.TEXTJOIN(",",TRUE,(_xlfn._xlws.FILTER($A$2:$A$501,($D$2:$D$501&gt;=X$7)*($D$2:$D$501&lt;W$7)*($E$2:$E$501&gt;=$H105)*($E$2:$E$501&lt;$H104)," ")))</f>
        <v xml:space="preserve"> </v>
      </c>
      <c r="X104" t="str" cm="1">
        <f t="array" ref="X104">_xlfn.TEXTJOIN(",",TRUE,(_xlfn._xlws.FILTER($A$2:$A$501,($D$2:$D$501&gt;=Y$7)*($D$2:$D$501&lt;X$7)*($E$2:$E$501&gt;=$H105)*($E$2:$E$501&lt;$H104)," ")))</f>
        <v xml:space="preserve"> </v>
      </c>
      <c r="Y104" t="str" cm="1">
        <f t="array" ref="Y104">_xlfn.TEXTJOIN(",",TRUE,(_xlfn._xlws.FILTER($A$2:$A$501,($D$2:$D$501&gt;=Z$7)*($D$2:$D$501&lt;Y$7)*($E$2:$E$501&gt;=$H105)*($E$2:$E$501&lt;$H104)," ")))</f>
        <v>Susquehanna Township SD</v>
      </c>
      <c r="Z104" t="str" cm="1">
        <f t="array" ref="Z104">_xlfn.TEXTJOIN(",",TRUE,(_xlfn._xlws.FILTER($A$2:$A$501,($D$2:$D$501&gt;=AA$7)*($D$2:$D$501&lt;Z$7)*($E$2:$E$501&gt;=$H105)*($E$2:$E$501&lt;$H104)," ")))</f>
        <v xml:space="preserve"> </v>
      </c>
      <c r="AA104" t="str" cm="1">
        <f t="array" ref="AA104">_xlfn.TEXTJOIN(",",TRUE,(_xlfn._xlws.FILTER($A$2:$A$501,($D$2:$D$501&gt;=AB$7)*($D$2:$D$501&lt;AA$7)*($E$2:$E$501&gt;=$H105)*($E$2:$E$501&lt;$H104)," ")))</f>
        <v xml:space="preserve"> </v>
      </c>
      <c r="AB104" t="str" cm="1">
        <f t="array" ref="AB104">_xlfn.TEXTJOIN(",",TRUE,(_xlfn._xlws.FILTER($A$2:$A$501,($D$2:$D$501&gt;=AC$7)*($D$2:$D$501&lt;AB$7)*($E$2:$E$501&gt;=$H105)*($E$2:$E$501&lt;$H104)," ")))</f>
        <v>Sto-Rox SD</v>
      </c>
      <c r="AC104" t="str" cm="1">
        <f t="array" ref="AC104">_xlfn.TEXTJOIN(",",TRUE,(_xlfn._xlws.FILTER($A$2:$A$501,($D$2:$D$501&gt;=AD$7)*($D$2:$D$501&lt;AC$7)*($E$2:$E$501&gt;=$H105)*($E$2:$E$501&lt;$H104)," ")))</f>
        <v xml:space="preserve"> </v>
      </c>
      <c r="AD104" t="str" cm="1">
        <f t="array" ref="AD104">_xlfn.TEXTJOIN(",",TRUE,(_xlfn._xlws.FILTER($A$2:$A$501,($D$2:$D$501&gt;=AE$7)*($D$2:$D$501&lt;AD$7)*($E$2:$E$501&gt;=$H105)*($E$2:$E$501&lt;$H104)," ")))</f>
        <v>Allegheny-Clarion Valley SD</v>
      </c>
      <c r="AE104" t="str" cm="1">
        <f t="array" ref="AE104">_xlfn.TEXTJOIN(",",TRUE,(_xlfn._xlws.FILTER($A$2:$A$501,($D$2:$D$501&gt;=AF$7)*($D$2:$D$501&lt;AE$7)*($E$2:$E$501&gt;=$H105)*($E$2:$E$501&lt;$H104)," ")))</f>
        <v xml:space="preserve"> </v>
      </c>
      <c r="AF104" t="str" cm="1">
        <f t="array" ref="AF104">_xlfn.TEXTJOIN(",",TRUE,(_xlfn._xlws.FILTER($A$2:$A$501,($D$2:$D$501&gt;=AG$7)*($D$2:$D$501&lt;AF$7)*($E$2:$E$501&gt;=$H105)*($E$2:$E$501&lt;$H104)," ")))</f>
        <v xml:space="preserve"> </v>
      </c>
      <c r="AG104" t="str" cm="1">
        <f t="array" ref="AG104">_xlfn.TEXTJOIN(",",TRUE,(_xlfn._xlws.FILTER($A$2:$A$501,($D$2:$D$501&gt;=AH$7)*($D$2:$D$501&lt;AG$7)*($E$2:$E$501&gt;=$H105)*($E$2:$E$501&lt;$H104)," ")))</f>
        <v xml:space="preserve"> </v>
      </c>
      <c r="AH104" t="str" cm="1">
        <f t="array" ref="AH104">_xlfn.TEXTJOIN(",",TRUE,(_xlfn._xlws.FILTER($A$2:$A$501,($D$2:$D$501&gt;=AI$7)*($D$2:$D$501&lt;AH$7)*($E$2:$E$501&gt;=$H105)*($E$2:$E$501&lt;$H104)," ")))</f>
        <v xml:space="preserve"> </v>
      </c>
      <c r="AI104" t="str" cm="1">
        <f t="array" ref="AI104">_xlfn.TEXTJOIN(",",TRUE,(_xlfn._xlws.FILTER($A$2:$A$501,($D$2:$D$501&gt;=AJ$7)*($D$2:$D$501&lt;AI$7)*($E$2:$E$501&gt;=$H105)*($E$2:$E$501&lt;$H104)," ")))</f>
        <v xml:space="preserve"> </v>
      </c>
      <c r="AJ104" t="str" cm="1">
        <f t="array" ref="AJ104">_xlfn.TEXTJOIN(",",TRUE,(_xlfn._xlws.FILTER($A$2:$A$501,($D$2:$D$501&gt;=AK$7)*($D$2:$D$501&lt;AJ$7)*($E$2:$E$501&gt;=$H105)*($E$2:$E$501&lt;$H104)," ")))</f>
        <v xml:space="preserve"> </v>
      </c>
      <c r="AK104" t="str" cm="1">
        <f t="array" ref="AK104">_xlfn.TEXTJOIN(",",TRUE,(_xlfn._xlws.FILTER($A$2:$A$501,($D$2:$D$501&gt;=AL$7)*($D$2:$D$501&lt;AK$7)*($E$2:$E$501&gt;=$H105)*($E$2:$E$501&lt;$H104)," ")))</f>
        <v xml:space="preserve"> </v>
      </c>
      <c r="AL104" t="str" cm="1">
        <f t="array" ref="AL104">_xlfn.TEXTJOIN(",",TRUE,(_xlfn._xlws.FILTER($A$2:$A$501,($D$2:$D$501&gt;=AM$7)*($D$2:$D$501&lt;AL$7)*($E$2:$E$501&gt;=$H105)*($E$2:$E$501&lt;$H104)," ")))</f>
        <v xml:space="preserve"> </v>
      </c>
      <c r="AM104" t="str" cm="1">
        <f t="array" ref="AM104">_xlfn.TEXTJOIN(",",TRUE,(_xlfn._xlws.FILTER($A$2:$A$501,($D$2:$D$501&gt;=AN$7)*($D$2:$D$501&lt;AM$7)*($E$2:$E$501&gt;=$H105)*($E$2:$E$501&lt;$H104)," ")))</f>
        <v xml:space="preserve"> </v>
      </c>
      <c r="AN104" t="str" cm="1">
        <f t="array" ref="AN104">_xlfn.TEXTJOIN(",",TRUE,(_xlfn._xlws.FILTER($A$2:$A$501,($D$2:$D$501&gt;=AO$7)*($D$2:$D$501&lt;AN$7)*($E$2:$E$501&gt;=$H105)*($E$2:$E$501&lt;$H104)," ")))</f>
        <v xml:space="preserve"> </v>
      </c>
      <c r="AO104" t="str" cm="1">
        <f t="array" ref="AO104">_xlfn.TEXTJOIN(",",TRUE,(_xlfn._xlws.FILTER($A$2:$A$501,($D$2:$D$501&gt;=AP$7)*($D$2:$D$501&lt;AO$7)*($E$2:$E$501&gt;=$H105)*($E$2:$E$501&lt;$H104)," ")))</f>
        <v xml:space="preserve"> </v>
      </c>
      <c r="AP104" t="str" cm="1">
        <f t="array" ref="AP104">_xlfn.TEXTJOIN(",",TRUE,(_xlfn._xlws.FILTER($A$2:$A$501,($D$2:$D$501&gt;=AQ$7)*($D$2:$D$501&lt;AP$7)*($E$2:$E$501&gt;=$H105)*($E$2:$E$501&lt;$H104)," ")))</f>
        <v xml:space="preserve"> </v>
      </c>
      <c r="AQ104" t="str" cm="1">
        <f t="array" ref="AQ104">_xlfn.TEXTJOIN(",",TRUE,(_xlfn._xlws.FILTER($A$2:$A$501,($D$2:$D$501&gt;=AR$7)*($D$2:$D$501&lt;AQ$7)*($E$2:$E$501&gt;=$H105)*($E$2:$E$501&lt;$H104)," ")))</f>
        <v xml:space="preserve"> </v>
      </c>
      <c r="AR104" t="str" cm="1">
        <f t="array" ref="AR104">_xlfn.TEXTJOIN(",",TRUE,(_xlfn._xlws.FILTER($A$2:$A$501,($D$2:$D$501&gt;=AS$7)*($D$2:$D$501&lt;AR$7)*($E$2:$E$501&gt;=$H105)*($E$2:$E$501&lt;$H104)," ")))</f>
        <v xml:space="preserve"> </v>
      </c>
      <c r="AS104" t="str" cm="1">
        <f t="array" ref="AS104">_xlfn.TEXTJOIN(",",TRUE,(_xlfn._xlws.FILTER($A$2:$A$501,($D$2:$D$501&gt;=AT$7)*($D$2:$D$501&lt;AS$7)*($E$2:$E$501&gt;=$H105)*($E$2:$E$501&lt;$H104)," ")))</f>
        <v xml:space="preserve"> </v>
      </c>
      <c r="AT104" t="str" cm="1">
        <f t="array" ref="AT104">_xlfn.TEXTJOIN(",",TRUE,(_xlfn._xlws.FILTER($A$2:$A$501,($D$2:$D$501&gt;=AU$7)*($D$2:$D$501&lt;AT$7)*($E$2:$E$501&gt;=$H105)*($E$2:$E$501&lt;$H104)," ")))</f>
        <v xml:space="preserve"> </v>
      </c>
      <c r="AU104" t="str" cm="1">
        <f t="array" ref="AU104">_xlfn.TEXTJOIN(",",TRUE,(_xlfn._xlws.FILTER($A$2:$A$501,($D$2:$D$501&gt;=AV$7)*($D$2:$D$501&lt;AU$7)*($E$2:$E$501&gt;=$H105)*($E$2:$E$501&lt;$H104)," ")))</f>
        <v xml:space="preserve"> </v>
      </c>
      <c r="AV104" t="str" cm="1">
        <f t="array" ref="AV104">_xlfn.TEXTJOIN(",",TRUE,(_xlfn._xlws.FILTER($A$2:$A$501,($D$2:$D$501&gt;=AW$7)*($D$2:$D$501&lt;AV$7)*($E$2:$E$501&gt;=$H105)*($E$2:$E$501&lt;$H104)," ")))</f>
        <v xml:space="preserve"> </v>
      </c>
      <c r="AW104" t="str" cm="1">
        <f t="array" ref="AW104">_xlfn.TEXTJOIN(",",TRUE,(_xlfn._xlws.FILTER($A$2:$A$501,($D$2:$D$501&gt;=AX$7)*($D$2:$D$501&lt;AW$7)*($E$2:$E$501&gt;=$H105)*($E$2:$E$501&lt;$H104)," ")))</f>
        <v xml:space="preserve"> </v>
      </c>
      <c r="AX104" t="str" cm="1">
        <f t="array" ref="AX104">_xlfn.TEXTJOIN(",",TRUE,(_xlfn._xlws.FILTER($A$2:$A$501,($D$2:$D$501&gt;=AY$7)*($D$2:$D$501&lt;AX$7)*($E$2:$E$501&gt;=$H105)*($E$2:$E$501&lt;$H104)," ")))</f>
        <v xml:space="preserve"> </v>
      </c>
      <c r="AY104" t="str" cm="1">
        <f t="array" ref="AY104">_xlfn.TEXTJOIN(",",TRUE,(_xlfn._xlws.FILTER($A$2:$A$501,($D$2:$D$501&gt;=AZ$7)*($D$2:$D$501&lt;AY$7)*($E$2:$E$501&gt;=$H105)*($E$2:$E$501&lt;$H104)," ")))</f>
        <v xml:space="preserve"> </v>
      </c>
      <c r="AZ104" t="str" cm="1">
        <f t="array" ref="AZ104">_xlfn.TEXTJOIN(",",TRUE,(_xlfn._xlws.FILTER($A$2:$A$501,($D$2:$D$501&gt;=BA$7)*($D$2:$D$501&lt;AZ$7)*($E$2:$E$501&gt;=$H105)*($E$2:$E$501&lt;$H104)," ")))</f>
        <v xml:space="preserve"> </v>
      </c>
      <c r="BA104" t="str" cm="1">
        <f t="array" ref="BA104">_xlfn.TEXTJOIN(",",TRUE,(_xlfn._xlws.FILTER($A$2:$A$501,($D$2:$D$501&gt;=BB$7)*($D$2:$D$501&lt;BA$7)*($E$2:$E$501&gt;=$H105)*($E$2:$E$501&lt;$H104)," ")))</f>
        <v xml:space="preserve"> </v>
      </c>
      <c r="BB104" t="str" cm="1">
        <f t="array" ref="BB104">_xlfn.TEXTJOIN(",",TRUE,(_xlfn._xlws.FILTER($A$2:$A$501,($D$2:$D$501&gt;=BC$7)*($D$2:$D$501&lt;BB$7)*($E$2:$E$501&gt;=$H105)*($E$2:$E$501&lt;$H104)," ")))</f>
        <v xml:space="preserve"> </v>
      </c>
    </row>
    <row r="105" spans="1:54" x14ac:dyDescent="0.2">
      <c r="A105" s="3" t="s">
        <v>439</v>
      </c>
      <c r="B105" s="3" t="s">
        <v>440</v>
      </c>
      <c r="C105" s="13">
        <v>939572.86</v>
      </c>
      <c r="D105" s="15">
        <v>22492709.059999999</v>
      </c>
      <c r="E105" s="22">
        <f>TuitionRates3[[#This Row],[Tuition]]/D105</f>
        <v>4.177232975777441E-2</v>
      </c>
      <c r="F105"/>
      <c r="H105" s="18">
        <v>5.2999999999999901E-2</v>
      </c>
      <c r="I105" t="str" cm="1">
        <f t="array" ref="I105">_xlfn.TEXTJOIN(",",TRUE,(_xlfn._xlws.FILTER($A$2:$A$501,($D$2:$D$501&gt;=J$7)*($D$2:$D$501&lt;I$7)*($E$2:$E$501&gt;=$H106)*($E$2:$E$501&lt;$H105)," ")))</f>
        <v xml:space="preserve"> </v>
      </c>
      <c r="J105" t="str" cm="1">
        <f t="array" ref="J105">_xlfn.TEXTJOIN(",",TRUE,(_xlfn._xlws.FILTER($A$2:$A$501,($D$2:$D$501&gt;=K$7)*($D$2:$D$501&lt;J$7)*($E$2:$E$501&gt;=$H106)*($E$2:$E$501&lt;$H105)," ")))</f>
        <v xml:space="preserve"> </v>
      </c>
      <c r="K105" t="str" cm="1">
        <f t="array" ref="K105">_xlfn.TEXTJOIN(",",TRUE,(_xlfn._xlws.FILTER($A$2:$A$501,($D$2:$D$501&gt;=L$7)*($D$2:$D$501&lt;K$7)*($E$2:$E$501&gt;=$H106)*($E$2:$E$501&lt;$H105)," ")))</f>
        <v xml:space="preserve"> </v>
      </c>
      <c r="L105" t="str" cm="1">
        <f t="array" ref="L105">_xlfn.TEXTJOIN(",",TRUE,(_xlfn._xlws.FILTER($A$2:$A$501,($D$2:$D$501&gt;=M$7)*($D$2:$D$501&lt;L$7)*($E$2:$E$501&gt;=$H106)*($E$2:$E$501&lt;$H105)," ")))</f>
        <v xml:space="preserve"> </v>
      </c>
      <c r="M105" t="str" cm="1">
        <f t="array" ref="M105">_xlfn.TEXTJOIN(",",TRUE,(_xlfn._xlws.FILTER($A$2:$A$501,($D$2:$D$501&gt;=N$7)*($D$2:$D$501&lt;M$7)*($E$2:$E$501&gt;=$H106)*($E$2:$E$501&lt;$H105)," ")))</f>
        <v xml:space="preserve"> </v>
      </c>
      <c r="N105" t="str" cm="1">
        <f t="array" ref="N105">_xlfn.TEXTJOIN(",",TRUE,(_xlfn._xlws.FILTER($A$2:$A$501,($D$2:$D$501&gt;=O$7)*($D$2:$D$501&lt;N$7)*($E$2:$E$501&gt;=$H106)*($E$2:$E$501&lt;$H105)," ")))</f>
        <v xml:space="preserve"> </v>
      </c>
      <c r="O105" t="str" cm="1">
        <f t="array" ref="O105">_xlfn.TEXTJOIN(",",TRUE,(_xlfn._xlws.FILTER($A$2:$A$501,($D$2:$D$501&gt;=P$7)*($D$2:$D$501&lt;O$7)*($E$2:$E$501&gt;=$H106)*($E$2:$E$501&lt;$H105)," ")))</f>
        <v xml:space="preserve"> </v>
      </c>
      <c r="P105" t="str" cm="1">
        <f t="array" ref="P105">_xlfn.TEXTJOIN(",",TRUE,(_xlfn._xlws.FILTER($A$2:$A$501,($D$2:$D$501&gt;=Q$7)*($D$2:$D$501&lt;P$7)*($E$2:$E$501&gt;=$H106)*($E$2:$E$501&lt;$H105)," ")))</f>
        <v xml:space="preserve"> </v>
      </c>
      <c r="Q105" t="str" cm="1">
        <f t="array" ref="Q105">_xlfn.TEXTJOIN(",",TRUE,(_xlfn._xlws.FILTER($A$2:$A$501,($D$2:$D$501&gt;=R$7)*($D$2:$D$501&lt;Q$7)*($E$2:$E$501&gt;=$H106)*($E$2:$E$501&lt;$H105)," ")))</f>
        <v xml:space="preserve"> </v>
      </c>
      <c r="R105" t="str" cm="1">
        <f t="array" ref="R105">_xlfn.TEXTJOIN(",",TRUE,(_xlfn._xlws.FILTER($A$2:$A$501,($D$2:$D$501&gt;=S$7)*($D$2:$D$501&lt;R$7)*($E$2:$E$501&gt;=$H106)*($E$2:$E$501&lt;$H105)," ")))</f>
        <v xml:space="preserve"> </v>
      </c>
      <c r="S105" t="str" cm="1">
        <f t="array" ref="S105">_xlfn.TEXTJOIN(",",TRUE,(_xlfn._xlws.FILTER($A$2:$A$501,($D$2:$D$501&gt;=T$7)*($D$2:$D$501&lt;S$7)*($E$2:$E$501&gt;=$H106)*($E$2:$E$501&lt;$H105)," ")))</f>
        <v xml:space="preserve"> </v>
      </c>
      <c r="T105" t="str" cm="1">
        <f t="array" ref="T105">_xlfn.TEXTJOIN(",",TRUE,(_xlfn._xlws.FILTER($A$2:$A$501,($D$2:$D$501&gt;=U$7)*($D$2:$D$501&lt;T$7)*($E$2:$E$501&gt;=$H106)*($E$2:$E$501&lt;$H105)," ")))</f>
        <v xml:space="preserve"> </v>
      </c>
      <c r="U105" t="str" cm="1">
        <f t="array" ref="U105">_xlfn.TEXTJOIN(",",TRUE,(_xlfn._xlws.FILTER($A$2:$A$501,($D$2:$D$501&gt;=V$7)*($D$2:$D$501&lt;U$7)*($E$2:$E$501&gt;=$H106)*($E$2:$E$501&lt;$H105)," ")))</f>
        <v xml:space="preserve"> </v>
      </c>
      <c r="V105" t="str" cm="1">
        <f t="array" ref="V105">_xlfn.TEXTJOIN(",",TRUE,(_xlfn._xlws.FILTER($A$2:$A$501,($D$2:$D$501&gt;=W$7)*($D$2:$D$501&lt;V$7)*($E$2:$E$501&gt;=$H106)*($E$2:$E$501&lt;$H105)," ")))</f>
        <v xml:space="preserve"> </v>
      </c>
      <c r="W105" t="str" cm="1">
        <f t="array" ref="W105">_xlfn.TEXTJOIN(",",TRUE,(_xlfn._xlws.FILTER($A$2:$A$501,($D$2:$D$501&gt;=X$7)*($D$2:$D$501&lt;W$7)*($E$2:$E$501&gt;=$H106)*($E$2:$E$501&lt;$H105)," ")))</f>
        <v xml:space="preserve"> </v>
      </c>
      <c r="X105" t="str" cm="1">
        <f t="array" ref="X105">_xlfn.TEXTJOIN(",",TRUE,(_xlfn._xlws.FILTER($A$2:$A$501,($D$2:$D$501&gt;=Y$7)*($D$2:$D$501&lt;X$7)*($E$2:$E$501&gt;=$H106)*($E$2:$E$501&lt;$H105)," ")))</f>
        <v xml:space="preserve"> </v>
      </c>
      <c r="Y105" t="str" cm="1">
        <f t="array" ref="Y105">_xlfn.TEXTJOIN(",",TRUE,(_xlfn._xlws.FILTER($A$2:$A$501,($D$2:$D$501&gt;=Z$7)*($D$2:$D$501&lt;Y$7)*($E$2:$E$501&gt;=$H106)*($E$2:$E$501&lt;$H105)," ")))</f>
        <v xml:space="preserve"> </v>
      </c>
      <c r="Z105" t="str" cm="1">
        <f t="array" ref="Z105">_xlfn.TEXTJOIN(",",TRUE,(_xlfn._xlws.FILTER($A$2:$A$501,($D$2:$D$501&gt;=AA$7)*($D$2:$D$501&lt;Z$7)*($E$2:$E$501&gt;=$H106)*($E$2:$E$501&lt;$H105)," ")))</f>
        <v xml:space="preserve"> </v>
      </c>
      <c r="AA105" t="str" cm="1">
        <f t="array" ref="AA105">_xlfn.TEXTJOIN(",",TRUE,(_xlfn._xlws.FILTER($A$2:$A$501,($D$2:$D$501&gt;=AB$7)*($D$2:$D$501&lt;AA$7)*($E$2:$E$501&gt;=$H106)*($E$2:$E$501&lt;$H105)," ")))</f>
        <v xml:space="preserve"> </v>
      </c>
      <c r="AB105" t="str" cm="1">
        <f t="array" ref="AB105">_xlfn.TEXTJOIN(",",TRUE,(_xlfn._xlws.FILTER($A$2:$A$501,($D$2:$D$501&gt;=AC$7)*($D$2:$D$501&lt;AB$7)*($E$2:$E$501&gt;=$H106)*($E$2:$E$501&lt;$H105)," ")))</f>
        <v xml:space="preserve"> </v>
      </c>
      <c r="AC105" t="str" cm="1">
        <f t="array" ref="AC105">_xlfn.TEXTJOIN(",",TRUE,(_xlfn._xlws.FILTER($A$2:$A$501,($D$2:$D$501&gt;=AD$7)*($D$2:$D$501&lt;AC$7)*($E$2:$E$501&gt;=$H106)*($E$2:$E$501&lt;$H105)," ")))</f>
        <v>Morrisville Borough SD,Lackawanna Trail SD</v>
      </c>
      <c r="AD105" t="str" cm="1">
        <f t="array" ref="AD105">_xlfn.TEXTJOIN(",",TRUE,(_xlfn._xlws.FILTER($A$2:$A$501,($D$2:$D$501&gt;=AE$7)*($D$2:$D$501&lt;AD$7)*($E$2:$E$501&gt;=$H106)*($E$2:$E$501&lt;$H105)," ")))</f>
        <v>Rockwood Area SD,Leechburg Area SD</v>
      </c>
      <c r="AE105" t="str" cm="1">
        <f t="array" ref="AE105">_xlfn.TEXTJOIN(",",TRUE,(_xlfn._xlws.FILTER($A$2:$A$501,($D$2:$D$501&gt;=AF$7)*($D$2:$D$501&lt;AE$7)*($E$2:$E$501&gt;=$H106)*($E$2:$E$501&lt;$H105)," ")))</f>
        <v xml:space="preserve"> </v>
      </c>
      <c r="AF105" t="str" cm="1">
        <f t="array" ref="AF105">_xlfn.TEXTJOIN(",",TRUE,(_xlfn._xlws.FILTER($A$2:$A$501,($D$2:$D$501&gt;=AG$7)*($D$2:$D$501&lt;AF$7)*($E$2:$E$501&gt;=$H106)*($E$2:$E$501&lt;$H105)," ")))</f>
        <v xml:space="preserve"> </v>
      </c>
      <c r="AG105" t="str" cm="1">
        <f t="array" ref="AG105">_xlfn.TEXTJOIN(",",TRUE,(_xlfn._xlws.FILTER($A$2:$A$501,($D$2:$D$501&gt;=AH$7)*($D$2:$D$501&lt;AG$7)*($E$2:$E$501&gt;=$H106)*($E$2:$E$501&lt;$H105)," ")))</f>
        <v xml:space="preserve"> </v>
      </c>
      <c r="AH105" t="str" cm="1">
        <f t="array" ref="AH105">_xlfn.TEXTJOIN(",",TRUE,(_xlfn._xlws.FILTER($A$2:$A$501,($D$2:$D$501&gt;=AI$7)*($D$2:$D$501&lt;AH$7)*($E$2:$E$501&gt;=$H106)*($E$2:$E$501&lt;$H105)," ")))</f>
        <v xml:space="preserve"> </v>
      </c>
      <c r="AI105" t="str" cm="1">
        <f t="array" ref="AI105">_xlfn.TEXTJOIN(",",TRUE,(_xlfn._xlws.FILTER($A$2:$A$501,($D$2:$D$501&gt;=AJ$7)*($D$2:$D$501&lt;AI$7)*($E$2:$E$501&gt;=$H106)*($E$2:$E$501&lt;$H105)," ")))</f>
        <v xml:space="preserve"> </v>
      </c>
      <c r="AJ105" t="str" cm="1">
        <f t="array" ref="AJ105">_xlfn.TEXTJOIN(",",TRUE,(_xlfn._xlws.FILTER($A$2:$A$501,($D$2:$D$501&gt;=AK$7)*($D$2:$D$501&lt;AJ$7)*($E$2:$E$501&gt;=$H106)*($E$2:$E$501&lt;$H105)," ")))</f>
        <v xml:space="preserve"> </v>
      </c>
      <c r="AK105" t="str" cm="1">
        <f t="array" ref="AK105">_xlfn.TEXTJOIN(",",TRUE,(_xlfn._xlws.FILTER($A$2:$A$501,($D$2:$D$501&gt;=AL$7)*($D$2:$D$501&lt;AK$7)*($E$2:$E$501&gt;=$H106)*($E$2:$E$501&lt;$H105)," ")))</f>
        <v xml:space="preserve"> </v>
      </c>
      <c r="AL105" t="str" cm="1">
        <f t="array" ref="AL105">_xlfn.TEXTJOIN(",",TRUE,(_xlfn._xlws.FILTER($A$2:$A$501,($D$2:$D$501&gt;=AM$7)*($D$2:$D$501&lt;AL$7)*($E$2:$E$501&gt;=$H106)*($E$2:$E$501&lt;$H105)," ")))</f>
        <v xml:space="preserve"> </v>
      </c>
      <c r="AM105" t="str" cm="1">
        <f t="array" ref="AM105">_xlfn.TEXTJOIN(",",TRUE,(_xlfn._xlws.FILTER($A$2:$A$501,($D$2:$D$501&gt;=AN$7)*($D$2:$D$501&lt;AM$7)*($E$2:$E$501&gt;=$H106)*($E$2:$E$501&lt;$H105)," ")))</f>
        <v xml:space="preserve"> </v>
      </c>
      <c r="AN105" t="str" cm="1">
        <f t="array" ref="AN105">_xlfn.TEXTJOIN(",",TRUE,(_xlfn._xlws.FILTER($A$2:$A$501,($D$2:$D$501&gt;=AO$7)*($D$2:$D$501&lt;AN$7)*($E$2:$E$501&gt;=$H106)*($E$2:$E$501&lt;$H105)," ")))</f>
        <v xml:space="preserve"> </v>
      </c>
      <c r="AO105" t="str" cm="1">
        <f t="array" ref="AO105">_xlfn.TEXTJOIN(",",TRUE,(_xlfn._xlws.FILTER($A$2:$A$501,($D$2:$D$501&gt;=AP$7)*($D$2:$D$501&lt;AO$7)*($E$2:$E$501&gt;=$H106)*($E$2:$E$501&lt;$H105)," ")))</f>
        <v xml:space="preserve"> </v>
      </c>
      <c r="AP105" t="str" cm="1">
        <f t="array" ref="AP105">_xlfn.TEXTJOIN(",",TRUE,(_xlfn._xlws.FILTER($A$2:$A$501,($D$2:$D$501&gt;=AQ$7)*($D$2:$D$501&lt;AP$7)*($E$2:$E$501&gt;=$H106)*($E$2:$E$501&lt;$H105)," ")))</f>
        <v xml:space="preserve"> </v>
      </c>
      <c r="AQ105" t="str" cm="1">
        <f t="array" ref="AQ105">_xlfn.TEXTJOIN(",",TRUE,(_xlfn._xlws.FILTER($A$2:$A$501,($D$2:$D$501&gt;=AR$7)*($D$2:$D$501&lt;AQ$7)*($E$2:$E$501&gt;=$H106)*($E$2:$E$501&lt;$H105)," ")))</f>
        <v xml:space="preserve"> </v>
      </c>
      <c r="AR105" t="str" cm="1">
        <f t="array" ref="AR105">_xlfn.TEXTJOIN(",",TRUE,(_xlfn._xlws.FILTER($A$2:$A$501,($D$2:$D$501&gt;=AS$7)*($D$2:$D$501&lt;AR$7)*($E$2:$E$501&gt;=$H106)*($E$2:$E$501&lt;$H105)," ")))</f>
        <v xml:space="preserve"> </v>
      </c>
      <c r="AS105" t="str" cm="1">
        <f t="array" ref="AS105">_xlfn.TEXTJOIN(",",TRUE,(_xlfn._xlws.FILTER($A$2:$A$501,($D$2:$D$501&gt;=AT$7)*($D$2:$D$501&lt;AS$7)*($E$2:$E$501&gt;=$H106)*($E$2:$E$501&lt;$H105)," ")))</f>
        <v xml:space="preserve"> </v>
      </c>
      <c r="AT105" t="str" cm="1">
        <f t="array" ref="AT105">_xlfn.TEXTJOIN(",",TRUE,(_xlfn._xlws.FILTER($A$2:$A$501,($D$2:$D$501&gt;=AU$7)*($D$2:$D$501&lt;AT$7)*($E$2:$E$501&gt;=$H106)*($E$2:$E$501&lt;$H105)," ")))</f>
        <v xml:space="preserve"> </v>
      </c>
      <c r="AU105" t="str" cm="1">
        <f t="array" ref="AU105">_xlfn.TEXTJOIN(",",TRUE,(_xlfn._xlws.FILTER($A$2:$A$501,($D$2:$D$501&gt;=AV$7)*($D$2:$D$501&lt;AU$7)*($E$2:$E$501&gt;=$H106)*($E$2:$E$501&lt;$H105)," ")))</f>
        <v xml:space="preserve"> </v>
      </c>
      <c r="AV105" t="str" cm="1">
        <f t="array" ref="AV105">_xlfn.TEXTJOIN(",",TRUE,(_xlfn._xlws.FILTER($A$2:$A$501,($D$2:$D$501&gt;=AW$7)*($D$2:$D$501&lt;AV$7)*($E$2:$E$501&gt;=$H106)*($E$2:$E$501&lt;$H105)," ")))</f>
        <v xml:space="preserve"> </v>
      </c>
      <c r="AW105" t="str" cm="1">
        <f t="array" ref="AW105">_xlfn.TEXTJOIN(",",TRUE,(_xlfn._xlws.FILTER($A$2:$A$501,($D$2:$D$501&gt;=AX$7)*($D$2:$D$501&lt;AW$7)*($E$2:$E$501&gt;=$H106)*($E$2:$E$501&lt;$H105)," ")))</f>
        <v xml:space="preserve"> </v>
      </c>
      <c r="AX105" t="str" cm="1">
        <f t="array" ref="AX105">_xlfn.TEXTJOIN(",",TRUE,(_xlfn._xlws.FILTER($A$2:$A$501,($D$2:$D$501&gt;=AY$7)*($D$2:$D$501&lt;AX$7)*($E$2:$E$501&gt;=$H106)*($E$2:$E$501&lt;$H105)," ")))</f>
        <v xml:space="preserve"> </v>
      </c>
      <c r="AY105" t="str" cm="1">
        <f t="array" ref="AY105">_xlfn.TEXTJOIN(",",TRUE,(_xlfn._xlws.FILTER($A$2:$A$501,($D$2:$D$501&gt;=AZ$7)*($D$2:$D$501&lt;AY$7)*($E$2:$E$501&gt;=$H106)*($E$2:$E$501&lt;$H105)," ")))</f>
        <v xml:space="preserve"> </v>
      </c>
      <c r="AZ105" t="str" cm="1">
        <f t="array" ref="AZ105">_xlfn.TEXTJOIN(",",TRUE,(_xlfn._xlws.FILTER($A$2:$A$501,($D$2:$D$501&gt;=BA$7)*($D$2:$D$501&lt;AZ$7)*($E$2:$E$501&gt;=$H106)*($E$2:$E$501&lt;$H105)," ")))</f>
        <v xml:space="preserve"> </v>
      </c>
      <c r="BA105" t="str" cm="1">
        <f t="array" ref="BA105">_xlfn.TEXTJOIN(",",TRUE,(_xlfn._xlws.FILTER($A$2:$A$501,($D$2:$D$501&gt;=BB$7)*($D$2:$D$501&lt;BA$7)*($E$2:$E$501&gt;=$H106)*($E$2:$E$501&lt;$H105)," ")))</f>
        <v xml:space="preserve"> </v>
      </c>
      <c r="BB105" t="str" cm="1">
        <f t="array" ref="BB105">_xlfn.TEXTJOIN(",",TRUE,(_xlfn._xlws.FILTER($A$2:$A$501,($D$2:$D$501&gt;=BC$7)*($D$2:$D$501&lt;BB$7)*($E$2:$E$501&gt;=$H106)*($E$2:$E$501&lt;$H105)," ")))</f>
        <v xml:space="preserve"> </v>
      </c>
    </row>
    <row r="106" spans="1:54" x14ac:dyDescent="0.2">
      <c r="A106" s="3" t="s">
        <v>535</v>
      </c>
      <c r="B106" s="3" t="s">
        <v>533</v>
      </c>
      <c r="C106" s="13">
        <v>1589202.25</v>
      </c>
      <c r="D106" s="15">
        <v>38061374.43</v>
      </c>
      <c r="E106" s="22">
        <f>TuitionRates3[[#This Row],[Tuition]]/D106</f>
        <v>4.1753674789720412E-2</v>
      </c>
      <c r="F106"/>
      <c r="H106" s="18">
        <v>5.19999999999999E-2</v>
      </c>
      <c r="I106" t="str" cm="1">
        <f t="array" ref="I106">_xlfn.TEXTJOIN(",",TRUE,(_xlfn._xlws.FILTER($A$2:$A$501,($D$2:$D$501&gt;=J$7)*($D$2:$D$501&lt;I$7)*($E$2:$E$501&gt;=$H107)*($E$2:$E$501&lt;$H106)," ")))</f>
        <v xml:space="preserve"> </v>
      </c>
      <c r="J106" t="str" cm="1">
        <f t="array" ref="J106">_xlfn.TEXTJOIN(",",TRUE,(_xlfn._xlws.FILTER($A$2:$A$501,($D$2:$D$501&gt;=K$7)*($D$2:$D$501&lt;J$7)*($E$2:$E$501&gt;=$H107)*($E$2:$E$501&lt;$H106)," ")))</f>
        <v xml:space="preserve"> </v>
      </c>
      <c r="K106" t="str" cm="1">
        <f t="array" ref="K106">_xlfn.TEXTJOIN(",",TRUE,(_xlfn._xlws.FILTER($A$2:$A$501,($D$2:$D$501&gt;=L$7)*($D$2:$D$501&lt;K$7)*($E$2:$E$501&gt;=$H107)*($E$2:$E$501&lt;$H106)," ")))</f>
        <v xml:space="preserve"> </v>
      </c>
      <c r="L106" t="str" cm="1">
        <f t="array" ref="L106">_xlfn.TEXTJOIN(",",TRUE,(_xlfn._xlws.FILTER($A$2:$A$501,($D$2:$D$501&gt;=M$7)*($D$2:$D$501&lt;L$7)*($E$2:$E$501&gt;=$H107)*($E$2:$E$501&lt;$H106)," ")))</f>
        <v xml:space="preserve"> </v>
      </c>
      <c r="M106" t="str" cm="1">
        <f t="array" ref="M106">_xlfn.TEXTJOIN(",",TRUE,(_xlfn._xlws.FILTER($A$2:$A$501,($D$2:$D$501&gt;=N$7)*($D$2:$D$501&lt;M$7)*($E$2:$E$501&gt;=$H107)*($E$2:$E$501&lt;$H106)," ")))</f>
        <v xml:space="preserve"> </v>
      </c>
      <c r="N106" t="str" cm="1">
        <f t="array" ref="N106">_xlfn.TEXTJOIN(",",TRUE,(_xlfn._xlws.FILTER($A$2:$A$501,($D$2:$D$501&gt;=O$7)*($D$2:$D$501&lt;N$7)*($E$2:$E$501&gt;=$H107)*($E$2:$E$501&lt;$H106)," ")))</f>
        <v xml:space="preserve"> </v>
      </c>
      <c r="O106" t="str" cm="1">
        <f t="array" ref="O106">_xlfn.TEXTJOIN(",",TRUE,(_xlfn._xlws.FILTER($A$2:$A$501,($D$2:$D$501&gt;=P$7)*($D$2:$D$501&lt;O$7)*($E$2:$E$501&gt;=$H107)*($E$2:$E$501&lt;$H106)," ")))</f>
        <v xml:space="preserve"> </v>
      </c>
      <c r="P106" t="str" cm="1">
        <f t="array" ref="P106">_xlfn.TEXTJOIN(",",TRUE,(_xlfn._xlws.FILTER($A$2:$A$501,($D$2:$D$501&gt;=Q$7)*($D$2:$D$501&lt;P$7)*($E$2:$E$501&gt;=$H107)*($E$2:$E$501&lt;$H106)," ")))</f>
        <v xml:space="preserve"> </v>
      </c>
      <c r="Q106" t="str" cm="1">
        <f t="array" ref="Q106">_xlfn.TEXTJOIN(",",TRUE,(_xlfn._xlws.FILTER($A$2:$A$501,($D$2:$D$501&gt;=R$7)*($D$2:$D$501&lt;Q$7)*($E$2:$E$501&gt;=$H107)*($E$2:$E$501&lt;$H106)," ")))</f>
        <v xml:space="preserve"> </v>
      </c>
      <c r="R106" t="str" cm="1">
        <f t="array" ref="R106">_xlfn.TEXTJOIN(",",TRUE,(_xlfn._xlws.FILTER($A$2:$A$501,($D$2:$D$501&gt;=S$7)*($D$2:$D$501&lt;R$7)*($E$2:$E$501&gt;=$H107)*($E$2:$E$501&lt;$H106)," ")))</f>
        <v xml:space="preserve"> </v>
      </c>
      <c r="S106" t="str" cm="1">
        <f t="array" ref="S106">_xlfn.TEXTJOIN(",",TRUE,(_xlfn._xlws.FILTER($A$2:$A$501,($D$2:$D$501&gt;=T$7)*($D$2:$D$501&lt;S$7)*($E$2:$E$501&gt;=$H107)*($E$2:$E$501&lt;$H106)," ")))</f>
        <v xml:space="preserve"> </v>
      </c>
      <c r="T106" t="str" cm="1">
        <f t="array" ref="T106">_xlfn.TEXTJOIN(",",TRUE,(_xlfn._xlws.FILTER($A$2:$A$501,($D$2:$D$501&gt;=U$7)*($D$2:$D$501&lt;T$7)*($E$2:$E$501&gt;=$H107)*($E$2:$E$501&lt;$H106)," ")))</f>
        <v xml:space="preserve"> </v>
      </c>
      <c r="U106" t="str" cm="1">
        <f t="array" ref="U106">_xlfn.TEXTJOIN(",",TRUE,(_xlfn._xlws.FILTER($A$2:$A$501,($D$2:$D$501&gt;=V$7)*($D$2:$D$501&lt;U$7)*($E$2:$E$501&gt;=$H107)*($E$2:$E$501&lt;$H106)," ")))</f>
        <v>York City SD</v>
      </c>
      <c r="V106" t="str" cm="1">
        <f t="array" ref="V106">_xlfn.TEXTJOIN(",",TRUE,(_xlfn._xlws.FILTER($A$2:$A$501,($D$2:$D$501&gt;=W$7)*($D$2:$D$501&lt;V$7)*($E$2:$E$501&gt;=$H107)*($E$2:$E$501&lt;$H106)," ")))</f>
        <v xml:space="preserve"> </v>
      </c>
      <c r="W106" t="str" cm="1">
        <f t="array" ref="W106">_xlfn.TEXTJOIN(",",TRUE,(_xlfn._xlws.FILTER($A$2:$A$501,($D$2:$D$501&gt;=X$7)*($D$2:$D$501&lt;W$7)*($E$2:$E$501&gt;=$H107)*($E$2:$E$501&lt;$H106)," ")))</f>
        <v xml:space="preserve"> </v>
      </c>
      <c r="X106" t="str" cm="1">
        <f t="array" ref="X106">_xlfn.TEXTJOIN(",",TRUE,(_xlfn._xlws.FILTER($A$2:$A$501,($D$2:$D$501&gt;=Y$7)*($D$2:$D$501&lt;X$7)*($E$2:$E$501&gt;=$H107)*($E$2:$E$501&lt;$H106)," ")))</f>
        <v xml:space="preserve"> </v>
      </c>
      <c r="Y106" t="str" cm="1">
        <f t="array" ref="Y106">_xlfn.TEXTJOIN(",",TRUE,(_xlfn._xlws.FILTER($A$2:$A$501,($D$2:$D$501&gt;=Z$7)*($D$2:$D$501&lt;Y$7)*($E$2:$E$501&gt;=$H107)*($E$2:$E$501&lt;$H106)," ")))</f>
        <v xml:space="preserve"> </v>
      </c>
      <c r="Z106" t="str" cm="1">
        <f t="array" ref="Z106">_xlfn.TEXTJOIN(",",TRUE,(_xlfn._xlws.FILTER($A$2:$A$501,($D$2:$D$501&gt;=AA$7)*($D$2:$D$501&lt;Z$7)*($E$2:$E$501&gt;=$H107)*($E$2:$E$501&lt;$H106)," ")))</f>
        <v xml:space="preserve"> </v>
      </c>
      <c r="AA106" t="str" cm="1">
        <f t="array" ref="AA106">_xlfn.TEXTJOIN(",",TRUE,(_xlfn._xlws.FILTER($A$2:$A$501,($D$2:$D$501&gt;=AB$7)*($D$2:$D$501&lt;AA$7)*($E$2:$E$501&gt;=$H107)*($E$2:$E$501&lt;$H106)," ")))</f>
        <v xml:space="preserve"> </v>
      </c>
      <c r="AB106" t="str" cm="1">
        <f t="array" ref="AB106">_xlfn.TEXTJOIN(",",TRUE,(_xlfn._xlws.FILTER($A$2:$A$501,($D$2:$D$501&gt;=AC$7)*($D$2:$D$501&lt;AB$7)*($E$2:$E$501&gt;=$H107)*($E$2:$E$501&lt;$H106)," ")))</f>
        <v>Big Beaver Falls Area SD,Ligonier Valley SD</v>
      </c>
      <c r="AC106" t="str" cm="1">
        <f t="array" ref="AC106">_xlfn.TEXTJOIN(",",TRUE,(_xlfn._xlws.FILTER($A$2:$A$501,($D$2:$D$501&gt;=AD$7)*($D$2:$D$501&lt;AC$7)*($E$2:$E$501&gt;=$H107)*($E$2:$E$501&lt;$H106)," ")))</f>
        <v>Mountain View SD,Minersville Area SD</v>
      </c>
      <c r="AD106" t="str" cm="1">
        <f t="array" ref="AD106">_xlfn.TEXTJOIN(",",TRUE,(_xlfn._xlws.FILTER($A$2:$A$501,($D$2:$D$501&gt;=AE$7)*($D$2:$D$501&lt;AD$7)*($E$2:$E$501&gt;=$H107)*($E$2:$E$501&lt;$H106)," ")))</f>
        <v>Union SD</v>
      </c>
      <c r="AE106" t="str" cm="1">
        <f t="array" ref="AE106">_xlfn.TEXTJOIN(",",TRUE,(_xlfn._xlws.FILTER($A$2:$A$501,($D$2:$D$501&gt;=AF$7)*($D$2:$D$501&lt;AE$7)*($E$2:$E$501&gt;=$H107)*($E$2:$E$501&lt;$H106)," ")))</f>
        <v xml:space="preserve"> </v>
      </c>
      <c r="AF106" t="str" cm="1">
        <f t="array" ref="AF106">_xlfn.TEXTJOIN(",",TRUE,(_xlfn._xlws.FILTER($A$2:$A$501,($D$2:$D$501&gt;=AG$7)*($D$2:$D$501&lt;AF$7)*($E$2:$E$501&gt;=$H107)*($E$2:$E$501&lt;$H106)," ")))</f>
        <v xml:space="preserve"> </v>
      </c>
      <c r="AG106" t="str" cm="1">
        <f t="array" ref="AG106">_xlfn.TEXTJOIN(",",TRUE,(_xlfn._xlws.FILTER($A$2:$A$501,($D$2:$D$501&gt;=AH$7)*($D$2:$D$501&lt;AG$7)*($E$2:$E$501&gt;=$H107)*($E$2:$E$501&lt;$H106)," ")))</f>
        <v xml:space="preserve"> </v>
      </c>
      <c r="AH106" t="str" cm="1">
        <f t="array" ref="AH106">_xlfn.TEXTJOIN(",",TRUE,(_xlfn._xlws.FILTER($A$2:$A$501,($D$2:$D$501&gt;=AI$7)*($D$2:$D$501&lt;AH$7)*($E$2:$E$501&gt;=$H107)*($E$2:$E$501&lt;$H106)," ")))</f>
        <v xml:space="preserve"> </v>
      </c>
      <c r="AI106" t="str" cm="1">
        <f t="array" ref="AI106">_xlfn.TEXTJOIN(",",TRUE,(_xlfn._xlws.FILTER($A$2:$A$501,($D$2:$D$501&gt;=AJ$7)*($D$2:$D$501&lt;AI$7)*($E$2:$E$501&gt;=$H107)*($E$2:$E$501&lt;$H106)," ")))</f>
        <v xml:space="preserve"> </v>
      </c>
      <c r="AJ106" t="str" cm="1">
        <f t="array" ref="AJ106">_xlfn.TEXTJOIN(",",TRUE,(_xlfn._xlws.FILTER($A$2:$A$501,($D$2:$D$501&gt;=AK$7)*($D$2:$D$501&lt;AJ$7)*($E$2:$E$501&gt;=$H107)*($E$2:$E$501&lt;$H106)," ")))</f>
        <v xml:space="preserve"> </v>
      </c>
      <c r="AK106" t="str" cm="1">
        <f t="array" ref="AK106">_xlfn.TEXTJOIN(",",TRUE,(_xlfn._xlws.FILTER($A$2:$A$501,($D$2:$D$501&gt;=AL$7)*($D$2:$D$501&lt;AK$7)*($E$2:$E$501&gt;=$H107)*($E$2:$E$501&lt;$H106)," ")))</f>
        <v xml:space="preserve"> </v>
      </c>
      <c r="AL106" t="str" cm="1">
        <f t="array" ref="AL106">_xlfn.TEXTJOIN(",",TRUE,(_xlfn._xlws.FILTER($A$2:$A$501,($D$2:$D$501&gt;=AM$7)*($D$2:$D$501&lt;AL$7)*($E$2:$E$501&gt;=$H107)*($E$2:$E$501&lt;$H106)," ")))</f>
        <v xml:space="preserve"> </v>
      </c>
      <c r="AM106" t="str" cm="1">
        <f t="array" ref="AM106">_xlfn.TEXTJOIN(",",TRUE,(_xlfn._xlws.FILTER($A$2:$A$501,($D$2:$D$501&gt;=AN$7)*($D$2:$D$501&lt;AM$7)*($E$2:$E$501&gt;=$H107)*($E$2:$E$501&lt;$H106)," ")))</f>
        <v xml:space="preserve"> </v>
      </c>
      <c r="AN106" t="str" cm="1">
        <f t="array" ref="AN106">_xlfn.TEXTJOIN(",",TRUE,(_xlfn._xlws.FILTER($A$2:$A$501,($D$2:$D$501&gt;=AO$7)*($D$2:$D$501&lt;AN$7)*($E$2:$E$501&gt;=$H107)*($E$2:$E$501&lt;$H106)," ")))</f>
        <v xml:space="preserve"> </v>
      </c>
      <c r="AO106" t="str" cm="1">
        <f t="array" ref="AO106">_xlfn.TEXTJOIN(",",TRUE,(_xlfn._xlws.FILTER($A$2:$A$501,($D$2:$D$501&gt;=AP$7)*($D$2:$D$501&lt;AO$7)*($E$2:$E$501&gt;=$H107)*($E$2:$E$501&lt;$H106)," ")))</f>
        <v xml:space="preserve"> </v>
      </c>
      <c r="AP106" t="str" cm="1">
        <f t="array" ref="AP106">_xlfn.TEXTJOIN(",",TRUE,(_xlfn._xlws.FILTER($A$2:$A$501,($D$2:$D$501&gt;=AQ$7)*($D$2:$D$501&lt;AP$7)*($E$2:$E$501&gt;=$H107)*($E$2:$E$501&lt;$H106)," ")))</f>
        <v xml:space="preserve"> </v>
      </c>
      <c r="AQ106" t="str" cm="1">
        <f t="array" ref="AQ106">_xlfn.TEXTJOIN(",",TRUE,(_xlfn._xlws.FILTER($A$2:$A$501,($D$2:$D$501&gt;=AR$7)*($D$2:$D$501&lt;AQ$7)*($E$2:$E$501&gt;=$H107)*($E$2:$E$501&lt;$H106)," ")))</f>
        <v xml:space="preserve"> </v>
      </c>
      <c r="AR106" t="str" cm="1">
        <f t="array" ref="AR106">_xlfn.TEXTJOIN(",",TRUE,(_xlfn._xlws.FILTER($A$2:$A$501,($D$2:$D$501&gt;=AS$7)*($D$2:$D$501&lt;AR$7)*($E$2:$E$501&gt;=$H107)*($E$2:$E$501&lt;$H106)," ")))</f>
        <v xml:space="preserve"> </v>
      </c>
      <c r="AS106" t="str" cm="1">
        <f t="array" ref="AS106">_xlfn.TEXTJOIN(",",TRUE,(_xlfn._xlws.FILTER($A$2:$A$501,($D$2:$D$501&gt;=AT$7)*($D$2:$D$501&lt;AS$7)*($E$2:$E$501&gt;=$H107)*($E$2:$E$501&lt;$H106)," ")))</f>
        <v xml:space="preserve"> </v>
      </c>
      <c r="AT106" t="str" cm="1">
        <f t="array" ref="AT106">_xlfn.TEXTJOIN(",",TRUE,(_xlfn._xlws.FILTER($A$2:$A$501,($D$2:$D$501&gt;=AU$7)*($D$2:$D$501&lt;AT$7)*($E$2:$E$501&gt;=$H107)*($E$2:$E$501&lt;$H106)," ")))</f>
        <v xml:space="preserve"> </v>
      </c>
      <c r="AU106" t="str" cm="1">
        <f t="array" ref="AU106">_xlfn.TEXTJOIN(",",TRUE,(_xlfn._xlws.FILTER($A$2:$A$501,($D$2:$D$501&gt;=AV$7)*($D$2:$D$501&lt;AU$7)*($E$2:$E$501&gt;=$H107)*($E$2:$E$501&lt;$H106)," ")))</f>
        <v xml:space="preserve"> </v>
      </c>
      <c r="AV106" t="str" cm="1">
        <f t="array" ref="AV106">_xlfn.TEXTJOIN(",",TRUE,(_xlfn._xlws.FILTER($A$2:$A$501,($D$2:$D$501&gt;=AW$7)*($D$2:$D$501&lt;AV$7)*($E$2:$E$501&gt;=$H107)*($E$2:$E$501&lt;$H106)," ")))</f>
        <v xml:space="preserve"> </v>
      </c>
      <c r="AW106" t="str" cm="1">
        <f t="array" ref="AW106">_xlfn.TEXTJOIN(",",TRUE,(_xlfn._xlws.FILTER($A$2:$A$501,($D$2:$D$501&gt;=AX$7)*($D$2:$D$501&lt;AW$7)*($E$2:$E$501&gt;=$H107)*($E$2:$E$501&lt;$H106)," ")))</f>
        <v xml:space="preserve"> </v>
      </c>
      <c r="AX106" t="str" cm="1">
        <f t="array" ref="AX106">_xlfn.TEXTJOIN(",",TRUE,(_xlfn._xlws.FILTER($A$2:$A$501,($D$2:$D$501&gt;=AY$7)*($D$2:$D$501&lt;AX$7)*($E$2:$E$501&gt;=$H107)*($E$2:$E$501&lt;$H106)," ")))</f>
        <v xml:space="preserve"> </v>
      </c>
      <c r="AY106" t="str" cm="1">
        <f t="array" ref="AY106">_xlfn.TEXTJOIN(",",TRUE,(_xlfn._xlws.FILTER($A$2:$A$501,($D$2:$D$501&gt;=AZ$7)*($D$2:$D$501&lt;AY$7)*($E$2:$E$501&gt;=$H107)*($E$2:$E$501&lt;$H106)," ")))</f>
        <v xml:space="preserve"> </v>
      </c>
      <c r="AZ106" t="str" cm="1">
        <f t="array" ref="AZ106">_xlfn.TEXTJOIN(",",TRUE,(_xlfn._xlws.FILTER($A$2:$A$501,($D$2:$D$501&gt;=BA$7)*($D$2:$D$501&lt;AZ$7)*($E$2:$E$501&gt;=$H107)*($E$2:$E$501&lt;$H106)," ")))</f>
        <v xml:space="preserve"> </v>
      </c>
      <c r="BA106" t="str" cm="1">
        <f t="array" ref="BA106">_xlfn.TEXTJOIN(",",TRUE,(_xlfn._xlws.FILTER($A$2:$A$501,($D$2:$D$501&gt;=BB$7)*($D$2:$D$501&lt;BA$7)*($E$2:$E$501&gt;=$H107)*($E$2:$E$501&lt;$H106)," ")))</f>
        <v xml:space="preserve"> </v>
      </c>
      <c r="BB106" t="str" cm="1">
        <f t="array" ref="BB106">_xlfn.TEXTJOIN(",",TRUE,(_xlfn._xlws.FILTER($A$2:$A$501,($D$2:$D$501&gt;=BC$7)*($D$2:$D$501&lt;BB$7)*($E$2:$E$501&gt;=$H107)*($E$2:$E$501&lt;$H106)," ")))</f>
        <v xml:space="preserve"> </v>
      </c>
    </row>
    <row r="107" spans="1:54" x14ac:dyDescent="0.2">
      <c r="A107" s="3" t="s">
        <v>376</v>
      </c>
      <c r="B107" s="3" t="s">
        <v>371</v>
      </c>
      <c r="C107" s="13">
        <v>839523</v>
      </c>
      <c r="D107" s="15">
        <v>20250898.23</v>
      </c>
      <c r="E107" s="22">
        <f>TuitionRates3[[#This Row],[Tuition]]/D107</f>
        <v>4.1456087056736937E-2</v>
      </c>
      <c r="F107"/>
      <c r="H107" s="18">
        <v>5.09999999999999E-2</v>
      </c>
      <c r="I107" t="str" cm="1">
        <f t="array" ref="I107">_xlfn.TEXTJOIN(",",TRUE,(_xlfn._xlws.FILTER($A$2:$A$501,($D$2:$D$501&gt;=J$7)*($D$2:$D$501&lt;I$7)*($E$2:$E$501&gt;=$H108)*($E$2:$E$501&lt;$H107)," ")))</f>
        <v>Philadelphia City SD</v>
      </c>
      <c r="J107" t="str" cm="1">
        <f t="array" ref="J107">_xlfn.TEXTJOIN(",",TRUE,(_xlfn._xlws.FILTER($A$2:$A$501,($D$2:$D$501&gt;=K$7)*($D$2:$D$501&lt;J$7)*($E$2:$E$501&gt;=$H108)*($E$2:$E$501&lt;$H107)," ")))</f>
        <v xml:space="preserve"> </v>
      </c>
      <c r="K107" t="str" cm="1">
        <f t="array" ref="K107">_xlfn.TEXTJOIN(",",TRUE,(_xlfn._xlws.FILTER($A$2:$A$501,($D$2:$D$501&gt;=L$7)*($D$2:$D$501&lt;K$7)*($E$2:$E$501&gt;=$H108)*($E$2:$E$501&lt;$H107)," ")))</f>
        <v xml:space="preserve"> </v>
      </c>
      <c r="L107" t="str" cm="1">
        <f t="array" ref="L107">_xlfn.TEXTJOIN(",",TRUE,(_xlfn._xlws.FILTER($A$2:$A$501,($D$2:$D$501&gt;=M$7)*($D$2:$D$501&lt;L$7)*($E$2:$E$501&gt;=$H108)*($E$2:$E$501&lt;$H107)," ")))</f>
        <v xml:space="preserve"> </v>
      </c>
      <c r="M107" t="str" cm="1">
        <f t="array" ref="M107">_xlfn.TEXTJOIN(",",TRUE,(_xlfn._xlws.FILTER($A$2:$A$501,($D$2:$D$501&gt;=N$7)*($D$2:$D$501&lt;M$7)*($E$2:$E$501&gt;=$H108)*($E$2:$E$501&lt;$H107)," ")))</f>
        <v xml:space="preserve"> </v>
      </c>
      <c r="N107" t="str" cm="1">
        <f t="array" ref="N107">_xlfn.TEXTJOIN(",",TRUE,(_xlfn._xlws.FILTER($A$2:$A$501,($D$2:$D$501&gt;=O$7)*($D$2:$D$501&lt;N$7)*($E$2:$E$501&gt;=$H108)*($E$2:$E$501&lt;$H107)," ")))</f>
        <v xml:space="preserve"> </v>
      </c>
      <c r="O107" t="str" cm="1">
        <f t="array" ref="O107">_xlfn.TEXTJOIN(",",TRUE,(_xlfn._xlws.FILTER($A$2:$A$501,($D$2:$D$501&gt;=P$7)*($D$2:$D$501&lt;O$7)*($E$2:$E$501&gt;=$H108)*($E$2:$E$501&lt;$H107)," ")))</f>
        <v xml:space="preserve"> </v>
      </c>
      <c r="P107" t="str" cm="1">
        <f t="array" ref="P107">_xlfn.TEXTJOIN(",",TRUE,(_xlfn._xlws.FILTER($A$2:$A$501,($D$2:$D$501&gt;=Q$7)*($D$2:$D$501&lt;P$7)*($E$2:$E$501&gt;=$H108)*($E$2:$E$501&lt;$H107)," ")))</f>
        <v xml:space="preserve"> </v>
      </c>
      <c r="Q107" t="str" cm="1">
        <f t="array" ref="Q107">_xlfn.TEXTJOIN(",",TRUE,(_xlfn._xlws.FILTER($A$2:$A$501,($D$2:$D$501&gt;=R$7)*($D$2:$D$501&lt;Q$7)*($E$2:$E$501&gt;=$H108)*($E$2:$E$501&lt;$H107)," ")))</f>
        <v xml:space="preserve"> </v>
      </c>
      <c r="R107" t="str" cm="1">
        <f t="array" ref="R107">_xlfn.TEXTJOIN(",",TRUE,(_xlfn._xlws.FILTER($A$2:$A$501,($D$2:$D$501&gt;=S$7)*($D$2:$D$501&lt;R$7)*($E$2:$E$501&gt;=$H108)*($E$2:$E$501&lt;$H107)," ")))</f>
        <v xml:space="preserve"> </v>
      </c>
      <c r="S107" t="str" cm="1">
        <f t="array" ref="S107">_xlfn.TEXTJOIN(",",TRUE,(_xlfn._xlws.FILTER($A$2:$A$501,($D$2:$D$501&gt;=T$7)*($D$2:$D$501&lt;S$7)*($E$2:$E$501&gt;=$H108)*($E$2:$E$501&lt;$H107)," ")))</f>
        <v xml:space="preserve"> </v>
      </c>
      <c r="T107" t="str" cm="1">
        <f t="array" ref="T107">_xlfn.TEXTJOIN(",",TRUE,(_xlfn._xlws.FILTER($A$2:$A$501,($D$2:$D$501&gt;=U$7)*($D$2:$D$501&lt;T$7)*($E$2:$E$501&gt;=$H108)*($E$2:$E$501&lt;$H107)," ")))</f>
        <v xml:space="preserve"> </v>
      </c>
      <c r="U107" t="str" cm="1">
        <f t="array" ref="U107">_xlfn.TEXTJOIN(",",TRUE,(_xlfn._xlws.FILTER($A$2:$A$501,($D$2:$D$501&gt;=V$7)*($D$2:$D$501&lt;U$7)*($E$2:$E$501&gt;=$H108)*($E$2:$E$501&lt;$H107)," ")))</f>
        <v xml:space="preserve"> </v>
      </c>
      <c r="V107" t="str" cm="1">
        <f t="array" ref="V107">_xlfn.TEXTJOIN(",",TRUE,(_xlfn._xlws.FILTER($A$2:$A$501,($D$2:$D$501&gt;=W$7)*($D$2:$D$501&lt;V$7)*($E$2:$E$501&gt;=$H108)*($E$2:$E$501&lt;$H107)," ")))</f>
        <v xml:space="preserve"> </v>
      </c>
      <c r="W107" t="str" cm="1">
        <f t="array" ref="W107">_xlfn.TEXTJOIN(",",TRUE,(_xlfn._xlws.FILTER($A$2:$A$501,($D$2:$D$501&gt;=X$7)*($D$2:$D$501&lt;W$7)*($E$2:$E$501&gt;=$H108)*($E$2:$E$501&lt;$H107)," ")))</f>
        <v xml:space="preserve"> </v>
      </c>
      <c r="X107" t="str" cm="1">
        <f t="array" ref="X107">_xlfn.TEXTJOIN(",",TRUE,(_xlfn._xlws.FILTER($A$2:$A$501,($D$2:$D$501&gt;=Y$7)*($D$2:$D$501&lt;X$7)*($E$2:$E$501&gt;=$H108)*($E$2:$E$501&lt;$H107)," ")))</f>
        <v xml:space="preserve"> </v>
      </c>
      <c r="Y107" t="str" cm="1">
        <f t="array" ref="Y107">_xlfn.TEXTJOIN(",",TRUE,(_xlfn._xlws.FILTER($A$2:$A$501,($D$2:$D$501&gt;=Z$7)*($D$2:$D$501&lt;Y$7)*($E$2:$E$501&gt;=$H108)*($E$2:$E$501&lt;$H107)," ")))</f>
        <v xml:space="preserve"> </v>
      </c>
      <c r="Z107" t="str" cm="1">
        <f t="array" ref="Z107">_xlfn.TEXTJOIN(",",TRUE,(_xlfn._xlws.FILTER($A$2:$A$501,($D$2:$D$501&gt;=AA$7)*($D$2:$D$501&lt;Z$7)*($E$2:$E$501&gt;=$H108)*($E$2:$E$501&lt;$H107)," ")))</f>
        <v xml:space="preserve"> </v>
      </c>
      <c r="AA107" t="str" cm="1">
        <f t="array" ref="AA107">_xlfn.TEXTJOIN(",",TRUE,(_xlfn._xlws.FILTER($A$2:$A$501,($D$2:$D$501&gt;=AB$7)*($D$2:$D$501&lt;AA$7)*($E$2:$E$501&gt;=$H108)*($E$2:$E$501&lt;$H107)," ")))</f>
        <v>Tunkhannock Area SD</v>
      </c>
      <c r="AB107" t="str" cm="1">
        <f t="array" ref="AB107">_xlfn.TEXTJOIN(",",TRUE,(_xlfn._xlws.FILTER($A$2:$A$501,($D$2:$D$501&gt;=AC$7)*($D$2:$D$501&lt;AB$7)*($E$2:$E$501&gt;=$H108)*($E$2:$E$501&lt;$H107)," ")))</f>
        <v xml:space="preserve"> </v>
      </c>
      <c r="AC107" t="str" cm="1">
        <f t="array" ref="AC107">_xlfn.TEXTJOIN(",",TRUE,(_xlfn._xlws.FILTER($A$2:$A$501,($D$2:$D$501&gt;=AD$7)*($D$2:$D$501&lt;AC$7)*($E$2:$E$501&gt;=$H108)*($E$2:$E$501&lt;$H107)," ")))</f>
        <v xml:space="preserve"> </v>
      </c>
      <c r="AD107" t="str" cm="1">
        <f t="array" ref="AD107">_xlfn.TEXTJOIN(",",TRUE,(_xlfn._xlws.FILTER($A$2:$A$501,($D$2:$D$501&gt;=AE$7)*($D$2:$D$501&lt;AD$7)*($E$2:$E$501&gt;=$H108)*($E$2:$E$501&lt;$H107)," ")))</f>
        <v>Old Forge SD</v>
      </c>
      <c r="AE107" t="str" cm="1">
        <f t="array" ref="AE107">_xlfn.TEXTJOIN(",",TRUE,(_xlfn._xlws.FILTER($A$2:$A$501,($D$2:$D$501&gt;=AF$7)*($D$2:$D$501&lt;AE$7)*($E$2:$E$501&gt;=$H108)*($E$2:$E$501&lt;$H107)," ")))</f>
        <v xml:space="preserve"> </v>
      </c>
      <c r="AF107" t="str" cm="1">
        <f t="array" ref="AF107">_xlfn.TEXTJOIN(",",TRUE,(_xlfn._xlws.FILTER($A$2:$A$501,($D$2:$D$501&gt;=AG$7)*($D$2:$D$501&lt;AF$7)*($E$2:$E$501&gt;=$H108)*($E$2:$E$501&lt;$H107)," ")))</f>
        <v xml:space="preserve"> </v>
      </c>
      <c r="AG107" t="str" cm="1">
        <f t="array" ref="AG107">_xlfn.TEXTJOIN(",",TRUE,(_xlfn._xlws.FILTER($A$2:$A$501,($D$2:$D$501&gt;=AH$7)*($D$2:$D$501&lt;AG$7)*($E$2:$E$501&gt;=$H108)*($E$2:$E$501&lt;$H107)," ")))</f>
        <v xml:space="preserve"> </v>
      </c>
      <c r="AH107" t="str" cm="1">
        <f t="array" ref="AH107">_xlfn.TEXTJOIN(",",TRUE,(_xlfn._xlws.FILTER($A$2:$A$501,($D$2:$D$501&gt;=AI$7)*($D$2:$D$501&lt;AH$7)*($E$2:$E$501&gt;=$H108)*($E$2:$E$501&lt;$H107)," ")))</f>
        <v xml:space="preserve"> </v>
      </c>
      <c r="AI107" t="str" cm="1">
        <f t="array" ref="AI107">_xlfn.TEXTJOIN(",",TRUE,(_xlfn._xlws.FILTER($A$2:$A$501,($D$2:$D$501&gt;=AJ$7)*($D$2:$D$501&lt;AI$7)*($E$2:$E$501&gt;=$H108)*($E$2:$E$501&lt;$H107)," ")))</f>
        <v xml:space="preserve"> </v>
      </c>
      <c r="AJ107" t="str" cm="1">
        <f t="array" ref="AJ107">_xlfn.TEXTJOIN(",",TRUE,(_xlfn._xlws.FILTER($A$2:$A$501,($D$2:$D$501&gt;=AK$7)*($D$2:$D$501&lt;AJ$7)*($E$2:$E$501&gt;=$H108)*($E$2:$E$501&lt;$H107)," ")))</f>
        <v xml:space="preserve"> </v>
      </c>
      <c r="AK107" t="str" cm="1">
        <f t="array" ref="AK107">_xlfn.TEXTJOIN(",",TRUE,(_xlfn._xlws.FILTER($A$2:$A$501,($D$2:$D$501&gt;=AL$7)*($D$2:$D$501&lt;AK$7)*($E$2:$E$501&gt;=$H108)*($E$2:$E$501&lt;$H107)," ")))</f>
        <v xml:space="preserve"> </v>
      </c>
      <c r="AL107" t="str" cm="1">
        <f t="array" ref="AL107">_xlfn.TEXTJOIN(",",TRUE,(_xlfn._xlws.FILTER($A$2:$A$501,($D$2:$D$501&gt;=AM$7)*($D$2:$D$501&lt;AL$7)*($E$2:$E$501&gt;=$H108)*($E$2:$E$501&lt;$H107)," ")))</f>
        <v xml:space="preserve"> </v>
      </c>
      <c r="AM107" t="str" cm="1">
        <f t="array" ref="AM107">_xlfn.TEXTJOIN(",",TRUE,(_xlfn._xlws.FILTER($A$2:$A$501,($D$2:$D$501&gt;=AN$7)*($D$2:$D$501&lt;AM$7)*($E$2:$E$501&gt;=$H108)*($E$2:$E$501&lt;$H107)," ")))</f>
        <v xml:space="preserve"> </v>
      </c>
      <c r="AN107" t="str" cm="1">
        <f t="array" ref="AN107">_xlfn.TEXTJOIN(",",TRUE,(_xlfn._xlws.FILTER($A$2:$A$501,($D$2:$D$501&gt;=AO$7)*($D$2:$D$501&lt;AN$7)*($E$2:$E$501&gt;=$H108)*($E$2:$E$501&lt;$H107)," ")))</f>
        <v xml:space="preserve"> </v>
      </c>
      <c r="AO107" t="str" cm="1">
        <f t="array" ref="AO107">_xlfn.TEXTJOIN(",",TRUE,(_xlfn._xlws.FILTER($A$2:$A$501,($D$2:$D$501&gt;=AP$7)*($D$2:$D$501&lt;AO$7)*($E$2:$E$501&gt;=$H108)*($E$2:$E$501&lt;$H107)," ")))</f>
        <v xml:space="preserve"> </v>
      </c>
      <c r="AP107" t="str" cm="1">
        <f t="array" ref="AP107">_xlfn.TEXTJOIN(",",TRUE,(_xlfn._xlws.FILTER($A$2:$A$501,($D$2:$D$501&gt;=AQ$7)*($D$2:$D$501&lt;AP$7)*($E$2:$E$501&gt;=$H108)*($E$2:$E$501&lt;$H107)," ")))</f>
        <v xml:space="preserve"> </v>
      </c>
      <c r="AQ107" t="str" cm="1">
        <f t="array" ref="AQ107">_xlfn.TEXTJOIN(",",TRUE,(_xlfn._xlws.FILTER($A$2:$A$501,($D$2:$D$501&gt;=AR$7)*($D$2:$D$501&lt;AQ$7)*($E$2:$E$501&gt;=$H108)*($E$2:$E$501&lt;$H107)," ")))</f>
        <v xml:space="preserve"> </v>
      </c>
      <c r="AR107" t="str" cm="1">
        <f t="array" ref="AR107">_xlfn.TEXTJOIN(",",TRUE,(_xlfn._xlws.FILTER($A$2:$A$501,($D$2:$D$501&gt;=AS$7)*($D$2:$D$501&lt;AR$7)*($E$2:$E$501&gt;=$H108)*($E$2:$E$501&lt;$H107)," ")))</f>
        <v xml:space="preserve"> </v>
      </c>
      <c r="AS107" t="str" cm="1">
        <f t="array" ref="AS107">_xlfn.TEXTJOIN(",",TRUE,(_xlfn._xlws.FILTER($A$2:$A$501,($D$2:$D$501&gt;=AT$7)*($D$2:$D$501&lt;AS$7)*($E$2:$E$501&gt;=$H108)*($E$2:$E$501&lt;$H107)," ")))</f>
        <v xml:space="preserve"> </v>
      </c>
      <c r="AT107" t="str" cm="1">
        <f t="array" ref="AT107">_xlfn.TEXTJOIN(",",TRUE,(_xlfn._xlws.FILTER($A$2:$A$501,($D$2:$D$501&gt;=AU$7)*($D$2:$D$501&lt;AT$7)*($E$2:$E$501&gt;=$H108)*($E$2:$E$501&lt;$H107)," ")))</f>
        <v xml:space="preserve"> </v>
      </c>
      <c r="AU107" t="str" cm="1">
        <f t="array" ref="AU107">_xlfn.TEXTJOIN(",",TRUE,(_xlfn._xlws.FILTER($A$2:$A$501,($D$2:$D$501&gt;=AV$7)*($D$2:$D$501&lt;AU$7)*($E$2:$E$501&gt;=$H108)*($E$2:$E$501&lt;$H107)," ")))</f>
        <v xml:space="preserve"> </v>
      </c>
      <c r="AV107" t="str" cm="1">
        <f t="array" ref="AV107">_xlfn.TEXTJOIN(",",TRUE,(_xlfn._xlws.FILTER($A$2:$A$501,($D$2:$D$501&gt;=AW$7)*($D$2:$D$501&lt;AV$7)*($E$2:$E$501&gt;=$H108)*($E$2:$E$501&lt;$H107)," ")))</f>
        <v xml:space="preserve"> </v>
      </c>
      <c r="AW107" t="str" cm="1">
        <f t="array" ref="AW107">_xlfn.TEXTJOIN(",",TRUE,(_xlfn._xlws.FILTER($A$2:$A$501,($D$2:$D$501&gt;=AX$7)*($D$2:$D$501&lt;AW$7)*($E$2:$E$501&gt;=$H108)*($E$2:$E$501&lt;$H107)," ")))</f>
        <v xml:space="preserve"> </v>
      </c>
      <c r="AX107" t="str" cm="1">
        <f t="array" ref="AX107">_xlfn.TEXTJOIN(",",TRUE,(_xlfn._xlws.FILTER($A$2:$A$501,($D$2:$D$501&gt;=AY$7)*($D$2:$D$501&lt;AX$7)*($E$2:$E$501&gt;=$H108)*($E$2:$E$501&lt;$H107)," ")))</f>
        <v xml:space="preserve"> </v>
      </c>
      <c r="AY107" t="str" cm="1">
        <f t="array" ref="AY107">_xlfn.TEXTJOIN(",",TRUE,(_xlfn._xlws.FILTER($A$2:$A$501,($D$2:$D$501&gt;=AZ$7)*($D$2:$D$501&lt;AY$7)*($E$2:$E$501&gt;=$H108)*($E$2:$E$501&lt;$H107)," ")))</f>
        <v xml:space="preserve"> </v>
      </c>
      <c r="AZ107" t="str" cm="1">
        <f t="array" ref="AZ107">_xlfn.TEXTJOIN(",",TRUE,(_xlfn._xlws.FILTER($A$2:$A$501,($D$2:$D$501&gt;=BA$7)*($D$2:$D$501&lt;AZ$7)*($E$2:$E$501&gt;=$H108)*($E$2:$E$501&lt;$H107)," ")))</f>
        <v xml:space="preserve"> </v>
      </c>
      <c r="BA107" t="str" cm="1">
        <f t="array" ref="BA107">_xlfn.TEXTJOIN(",",TRUE,(_xlfn._xlws.FILTER($A$2:$A$501,($D$2:$D$501&gt;=BB$7)*($D$2:$D$501&lt;BA$7)*($E$2:$E$501&gt;=$H108)*($E$2:$E$501&lt;$H107)," ")))</f>
        <v xml:space="preserve"> </v>
      </c>
      <c r="BB107" t="str" cm="1">
        <f t="array" ref="BB107">_xlfn.TEXTJOIN(",",TRUE,(_xlfn._xlws.FILTER($A$2:$A$501,($D$2:$D$501&gt;=BC$7)*($D$2:$D$501&lt;BB$7)*($E$2:$E$501&gt;=$H108)*($E$2:$E$501&lt;$H107)," ")))</f>
        <v xml:space="preserve"> </v>
      </c>
    </row>
    <row r="108" spans="1:54" x14ac:dyDescent="0.2">
      <c r="A108" s="3" t="s">
        <v>337</v>
      </c>
      <c r="B108" s="3" t="s">
        <v>333</v>
      </c>
      <c r="C108" s="13">
        <v>2720696.36</v>
      </c>
      <c r="D108" s="15">
        <v>65649028.770000003</v>
      </c>
      <c r="E108" s="22">
        <f>TuitionRates3[[#This Row],[Tuition]]/D108</f>
        <v>4.1443055761447779E-2</v>
      </c>
      <c r="F108"/>
      <c r="H108" s="18">
        <v>4.9999999999999899E-2</v>
      </c>
      <c r="I108" t="str" cm="1">
        <f t="array" ref="I108">_xlfn.TEXTJOIN(",",TRUE,(_xlfn._xlws.FILTER($A$2:$A$501,($D$2:$D$501&gt;=J$7)*($D$2:$D$501&lt;I$7)*($E$2:$E$501&gt;=$H109)*($E$2:$E$501&lt;$H108)," ")))</f>
        <v xml:space="preserve"> </v>
      </c>
      <c r="J108" t="str" cm="1">
        <f t="array" ref="J108">_xlfn.TEXTJOIN(",",TRUE,(_xlfn._xlws.FILTER($A$2:$A$501,($D$2:$D$501&gt;=K$7)*($D$2:$D$501&lt;J$7)*($E$2:$E$501&gt;=$H109)*($E$2:$E$501&lt;$H108)," ")))</f>
        <v xml:space="preserve"> </v>
      </c>
      <c r="K108" t="str" cm="1">
        <f t="array" ref="K108">_xlfn.TEXTJOIN(",",TRUE,(_xlfn._xlws.FILTER($A$2:$A$501,($D$2:$D$501&gt;=L$7)*($D$2:$D$501&lt;K$7)*($E$2:$E$501&gt;=$H109)*($E$2:$E$501&lt;$H108)," ")))</f>
        <v xml:space="preserve"> </v>
      </c>
      <c r="L108" t="str" cm="1">
        <f t="array" ref="L108">_xlfn.TEXTJOIN(",",TRUE,(_xlfn._xlws.FILTER($A$2:$A$501,($D$2:$D$501&gt;=M$7)*($D$2:$D$501&lt;L$7)*($E$2:$E$501&gt;=$H109)*($E$2:$E$501&lt;$H108)," ")))</f>
        <v xml:space="preserve"> </v>
      </c>
      <c r="M108" t="str" cm="1">
        <f t="array" ref="M108">_xlfn.TEXTJOIN(",",TRUE,(_xlfn._xlws.FILTER($A$2:$A$501,($D$2:$D$501&gt;=N$7)*($D$2:$D$501&lt;M$7)*($E$2:$E$501&gt;=$H109)*($E$2:$E$501&lt;$H108)," ")))</f>
        <v xml:space="preserve"> </v>
      </c>
      <c r="N108" t="str" cm="1">
        <f t="array" ref="N108">_xlfn.TEXTJOIN(",",TRUE,(_xlfn._xlws.FILTER($A$2:$A$501,($D$2:$D$501&gt;=O$7)*($D$2:$D$501&lt;N$7)*($E$2:$E$501&gt;=$H109)*($E$2:$E$501&lt;$H108)," ")))</f>
        <v xml:space="preserve"> </v>
      </c>
      <c r="O108" t="str" cm="1">
        <f t="array" ref="O108">_xlfn.TEXTJOIN(",",TRUE,(_xlfn._xlws.FILTER($A$2:$A$501,($D$2:$D$501&gt;=P$7)*($D$2:$D$501&lt;O$7)*($E$2:$E$501&gt;=$H109)*($E$2:$E$501&lt;$H108)," ")))</f>
        <v xml:space="preserve"> </v>
      </c>
      <c r="P108" t="str" cm="1">
        <f t="array" ref="P108">_xlfn.TEXTJOIN(",",TRUE,(_xlfn._xlws.FILTER($A$2:$A$501,($D$2:$D$501&gt;=Q$7)*($D$2:$D$501&lt;P$7)*($E$2:$E$501&gt;=$H109)*($E$2:$E$501&lt;$H108)," ")))</f>
        <v xml:space="preserve"> </v>
      </c>
      <c r="Q108" t="str" cm="1">
        <f t="array" ref="Q108">_xlfn.TEXTJOIN(",",TRUE,(_xlfn._xlws.FILTER($A$2:$A$501,($D$2:$D$501&gt;=R$7)*($D$2:$D$501&lt;Q$7)*($E$2:$E$501&gt;=$H109)*($E$2:$E$501&lt;$H108)," ")))</f>
        <v xml:space="preserve"> </v>
      </c>
      <c r="R108" t="str" cm="1">
        <f t="array" ref="R108">_xlfn.TEXTJOIN(",",TRUE,(_xlfn._xlws.FILTER($A$2:$A$501,($D$2:$D$501&gt;=S$7)*($D$2:$D$501&lt;R$7)*($E$2:$E$501&gt;=$H109)*($E$2:$E$501&lt;$H108)," ")))</f>
        <v xml:space="preserve"> </v>
      </c>
      <c r="S108" t="str" cm="1">
        <f t="array" ref="S108">_xlfn.TEXTJOIN(",",TRUE,(_xlfn._xlws.FILTER($A$2:$A$501,($D$2:$D$501&gt;=T$7)*($D$2:$D$501&lt;S$7)*($E$2:$E$501&gt;=$H109)*($E$2:$E$501&lt;$H108)," ")))</f>
        <v xml:space="preserve"> </v>
      </c>
      <c r="T108" t="str" cm="1">
        <f t="array" ref="T108">_xlfn.TEXTJOIN(",",TRUE,(_xlfn._xlws.FILTER($A$2:$A$501,($D$2:$D$501&gt;=U$7)*($D$2:$D$501&lt;T$7)*($E$2:$E$501&gt;=$H109)*($E$2:$E$501&lt;$H108)," ")))</f>
        <v xml:space="preserve"> </v>
      </c>
      <c r="U108" t="str" cm="1">
        <f t="array" ref="U108">_xlfn.TEXTJOIN(",",TRUE,(_xlfn._xlws.FILTER($A$2:$A$501,($D$2:$D$501&gt;=V$7)*($D$2:$D$501&lt;U$7)*($E$2:$E$501&gt;=$H109)*($E$2:$E$501&lt;$H108)," ")))</f>
        <v>Stroudsburg Area SD</v>
      </c>
      <c r="V108" t="str" cm="1">
        <f t="array" ref="V108">_xlfn.TEXTJOIN(",",TRUE,(_xlfn._xlws.FILTER($A$2:$A$501,($D$2:$D$501&gt;=W$7)*($D$2:$D$501&lt;V$7)*($E$2:$E$501&gt;=$H109)*($E$2:$E$501&lt;$H108)," ")))</f>
        <v xml:space="preserve"> </v>
      </c>
      <c r="W108" t="str" cm="1">
        <f t="array" ref="W108">_xlfn.TEXTJOIN(",",TRUE,(_xlfn._xlws.FILTER($A$2:$A$501,($D$2:$D$501&gt;=X$7)*($D$2:$D$501&lt;W$7)*($E$2:$E$501&gt;=$H109)*($E$2:$E$501&lt;$H108)," ")))</f>
        <v xml:space="preserve"> </v>
      </c>
      <c r="X108" t="str" cm="1">
        <f t="array" ref="X108">_xlfn.TEXTJOIN(",",TRUE,(_xlfn._xlws.FILTER($A$2:$A$501,($D$2:$D$501&gt;=Y$7)*($D$2:$D$501&lt;X$7)*($E$2:$E$501&gt;=$H109)*($E$2:$E$501&lt;$H108)," ")))</f>
        <v xml:space="preserve"> </v>
      </c>
      <c r="Y108" t="str" cm="1">
        <f t="array" ref="Y108">_xlfn.TEXTJOIN(",",TRUE,(_xlfn._xlws.FILTER($A$2:$A$501,($D$2:$D$501&gt;=Z$7)*($D$2:$D$501&lt;Y$7)*($E$2:$E$501&gt;=$H109)*($E$2:$E$501&lt;$H108)," ")))</f>
        <v xml:space="preserve"> </v>
      </c>
      <c r="Z108" t="str" cm="1">
        <f t="array" ref="Z108">_xlfn.TEXTJOIN(",",TRUE,(_xlfn._xlws.FILTER($A$2:$A$501,($D$2:$D$501&gt;=AA$7)*($D$2:$D$501&lt;Z$7)*($E$2:$E$501&gt;=$H109)*($E$2:$E$501&lt;$H108)," ")))</f>
        <v xml:space="preserve"> </v>
      </c>
      <c r="AA108" t="str" cm="1">
        <f t="array" ref="AA108">_xlfn.TEXTJOIN(",",TRUE,(_xlfn._xlws.FILTER($A$2:$A$501,($D$2:$D$501&gt;=AB$7)*($D$2:$D$501&lt;AA$7)*($E$2:$E$501&gt;=$H109)*($E$2:$E$501&lt;$H108)," ")))</f>
        <v>Sharon City SD</v>
      </c>
      <c r="AB108" t="str" cm="1">
        <f t="array" ref="AB108">_xlfn.TEXTJOIN(",",TRUE,(_xlfn._xlws.FILTER($A$2:$A$501,($D$2:$D$501&gt;=AC$7)*($D$2:$D$501&lt;AB$7)*($E$2:$E$501&gt;=$H109)*($E$2:$E$501&lt;$H108)," ")))</f>
        <v xml:space="preserve"> </v>
      </c>
      <c r="AC108" t="str" cm="1">
        <f t="array" ref="AC108">_xlfn.TEXTJOIN(",",TRUE,(_xlfn._xlws.FILTER($A$2:$A$501,($D$2:$D$501&gt;=AD$7)*($D$2:$D$501&lt;AC$7)*($E$2:$E$501&gt;=$H109)*($E$2:$E$501&lt;$H108)," ")))</f>
        <v xml:space="preserve"> </v>
      </c>
      <c r="AD108" t="str" cm="1">
        <f t="array" ref="AD108">_xlfn.TEXTJOIN(",",TRUE,(_xlfn._xlws.FILTER($A$2:$A$501,($D$2:$D$501&gt;=AE$7)*($D$2:$D$501&lt;AD$7)*($E$2:$E$501&gt;=$H109)*($E$2:$E$501&lt;$H108)," ")))</f>
        <v>Penns Manor Area SD</v>
      </c>
      <c r="AE108" t="str" cm="1">
        <f t="array" ref="AE108">_xlfn.TEXTJOIN(",",TRUE,(_xlfn._xlws.FILTER($A$2:$A$501,($D$2:$D$501&gt;=AF$7)*($D$2:$D$501&lt;AE$7)*($E$2:$E$501&gt;=$H109)*($E$2:$E$501&lt;$H108)," ")))</f>
        <v xml:space="preserve"> </v>
      </c>
      <c r="AF108" t="str" cm="1">
        <f t="array" ref="AF108">_xlfn.TEXTJOIN(",",TRUE,(_xlfn._xlws.FILTER($A$2:$A$501,($D$2:$D$501&gt;=AG$7)*($D$2:$D$501&lt;AF$7)*($E$2:$E$501&gt;=$H109)*($E$2:$E$501&lt;$H108)," ")))</f>
        <v xml:space="preserve"> </v>
      </c>
      <c r="AG108" t="str" cm="1">
        <f t="array" ref="AG108">_xlfn.TEXTJOIN(",",TRUE,(_xlfn._xlws.FILTER($A$2:$A$501,($D$2:$D$501&gt;=AH$7)*($D$2:$D$501&lt;AG$7)*($E$2:$E$501&gt;=$H109)*($E$2:$E$501&lt;$H108)," ")))</f>
        <v xml:space="preserve"> </v>
      </c>
      <c r="AH108" t="str" cm="1">
        <f t="array" ref="AH108">_xlfn.TEXTJOIN(",",TRUE,(_xlfn._xlws.FILTER($A$2:$A$501,($D$2:$D$501&gt;=AI$7)*($D$2:$D$501&lt;AH$7)*($E$2:$E$501&gt;=$H109)*($E$2:$E$501&lt;$H108)," ")))</f>
        <v xml:space="preserve"> </v>
      </c>
      <c r="AI108" t="str" cm="1">
        <f t="array" ref="AI108">_xlfn.TEXTJOIN(",",TRUE,(_xlfn._xlws.FILTER($A$2:$A$501,($D$2:$D$501&gt;=AJ$7)*($D$2:$D$501&lt;AI$7)*($E$2:$E$501&gt;=$H109)*($E$2:$E$501&lt;$H108)," ")))</f>
        <v xml:space="preserve"> </v>
      </c>
      <c r="AJ108" t="str" cm="1">
        <f t="array" ref="AJ108">_xlfn.TEXTJOIN(",",TRUE,(_xlfn._xlws.FILTER($A$2:$A$501,($D$2:$D$501&gt;=AK$7)*($D$2:$D$501&lt;AJ$7)*($E$2:$E$501&gt;=$H109)*($E$2:$E$501&lt;$H108)," ")))</f>
        <v xml:space="preserve"> </v>
      </c>
      <c r="AK108" t="str" cm="1">
        <f t="array" ref="AK108">_xlfn.TEXTJOIN(",",TRUE,(_xlfn._xlws.FILTER($A$2:$A$501,($D$2:$D$501&gt;=AL$7)*($D$2:$D$501&lt;AK$7)*($E$2:$E$501&gt;=$H109)*($E$2:$E$501&lt;$H108)," ")))</f>
        <v xml:space="preserve"> </v>
      </c>
      <c r="AL108" t="str" cm="1">
        <f t="array" ref="AL108">_xlfn.TEXTJOIN(",",TRUE,(_xlfn._xlws.FILTER($A$2:$A$501,($D$2:$D$501&gt;=AM$7)*($D$2:$D$501&lt;AL$7)*($E$2:$E$501&gt;=$H109)*($E$2:$E$501&lt;$H108)," ")))</f>
        <v xml:space="preserve"> </v>
      </c>
      <c r="AM108" t="str" cm="1">
        <f t="array" ref="AM108">_xlfn.TEXTJOIN(",",TRUE,(_xlfn._xlws.FILTER($A$2:$A$501,($D$2:$D$501&gt;=AN$7)*($D$2:$D$501&lt;AM$7)*($E$2:$E$501&gt;=$H109)*($E$2:$E$501&lt;$H108)," ")))</f>
        <v xml:space="preserve"> </v>
      </c>
      <c r="AN108" t="str" cm="1">
        <f t="array" ref="AN108">_xlfn.TEXTJOIN(",",TRUE,(_xlfn._xlws.FILTER($A$2:$A$501,($D$2:$D$501&gt;=AO$7)*($D$2:$D$501&lt;AN$7)*($E$2:$E$501&gt;=$H109)*($E$2:$E$501&lt;$H108)," ")))</f>
        <v xml:space="preserve"> </v>
      </c>
      <c r="AO108" t="str" cm="1">
        <f t="array" ref="AO108">_xlfn.TEXTJOIN(",",TRUE,(_xlfn._xlws.FILTER($A$2:$A$501,($D$2:$D$501&gt;=AP$7)*($D$2:$D$501&lt;AO$7)*($E$2:$E$501&gt;=$H109)*($E$2:$E$501&lt;$H108)," ")))</f>
        <v xml:space="preserve"> </v>
      </c>
      <c r="AP108" t="str" cm="1">
        <f t="array" ref="AP108">_xlfn.TEXTJOIN(",",TRUE,(_xlfn._xlws.FILTER($A$2:$A$501,($D$2:$D$501&gt;=AQ$7)*($D$2:$D$501&lt;AP$7)*($E$2:$E$501&gt;=$H109)*($E$2:$E$501&lt;$H108)," ")))</f>
        <v xml:space="preserve"> </v>
      </c>
      <c r="AQ108" t="str" cm="1">
        <f t="array" ref="AQ108">_xlfn.TEXTJOIN(",",TRUE,(_xlfn._xlws.FILTER($A$2:$A$501,($D$2:$D$501&gt;=AR$7)*($D$2:$D$501&lt;AQ$7)*($E$2:$E$501&gt;=$H109)*($E$2:$E$501&lt;$H108)," ")))</f>
        <v xml:space="preserve"> </v>
      </c>
      <c r="AR108" t="str" cm="1">
        <f t="array" ref="AR108">_xlfn.TEXTJOIN(",",TRUE,(_xlfn._xlws.FILTER($A$2:$A$501,($D$2:$D$501&gt;=AS$7)*($D$2:$D$501&lt;AR$7)*($E$2:$E$501&gt;=$H109)*($E$2:$E$501&lt;$H108)," ")))</f>
        <v xml:space="preserve"> </v>
      </c>
      <c r="AS108" t="str" cm="1">
        <f t="array" ref="AS108">_xlfn.TEXTJOIN(",",TRUE,(_xlfn._xlws.FILTER($A$2:$A$501,($D$2:$D$501&gt;=AT$7)*($D$2:$D$501&lt;AS$7)*($E$2:$E$501&gt;=$H109)*($E$2:$E$501&lt;$H108)," ")))</f>
        <v xml:space="preserve"> </v>
      </c>
      <c r="AT108" t="str" cm="1">
        <f t="array" ref="AT108">_xlfn.TEXTJOIN(",",TRUE,(_xlfn._xlws.FILTER($A$2:$A$501,($D$2:$D$501&gt;=AU$7)*($D$2:$D$501&lt;AT$7)*($E$2:$E$501&gt;=$H109)*($E$2:$E$501&lt;$H108)," ")))</f>
        <v xml:space="preserve"> </v>
      </c>
      <c r="AU108" t="str" cm="1">
        <f t="array" ref="AU108">_xlfn.TEXTJOIN(",",TRUE,(_xlfn._xlws.FILTER($A$2:$A$501,($D$2:$D$501&gt;=AV$7)*($D$2:$D$501&lt;AU$7)*($E$2:$E$501&gt;=$H109)*($E$2:$E$501&lt;$H108)," ")))</f>
        <v xml:space="preserve"> </v>
      </c>
      <c r="AV108" t="str" cm="1">
        <f t="array" ref="AV108">_xlfn.TEXTJOIN(",",TRUE,(_xlfn._xlws.FILTER($A$2:$A$501,($D$2:$D$501&gt;=AW$7)*($D$2:$D$501&lt;AV$7)*($E$2:$E$501&gt;=$H109)*($E$2:$E$501&lt;$H108)," ")))</f>
        <v xml:space="preserve"> </v>
      </c>
      <c r="AW108" t="str" cm="1">
        <f t="array" ref="AW108">_xlfn.TEXTJOIN(",",TRUE,(_xlfn._xlws.FILTER($A$2:$A$501,($D$2:$D$501&gt;=AX$7)*($D$2:$D$501&lt;AW$7)*($E$2:$E$501&gt;=$H109)*($E$2:$E$501&lt;$H108)," ")))</f>
        <v xml:space="preserve"> </v>
      </c>
      <c r="AX108" t="str" cm="1">
        <f t="array" ref="AX108">_xlfn.TEXTJOIN(",",TRUE,(_xlfn._xlws.FILTER($A$2:$A$501,($D$2:$D$501&gt;=AY$7)*($D$2:$D$501&lt;AX$7)*($E$2:$E$501&gt;=$H109)*($E$2:$E$501&lt;$H108)," ")))</f>
        <v xml:space="preserve"> </v>
      </c>
      <c r="AY108" t="str" cm="1">
        <f t="array" ref="AY108">_xlfn.TEXTJOIN(",",TRUE,(_xlfn._xlws.FILTER($A$2:$A$501,($D$2:$D$501&gt;=AZ$7)*($D$2:$D$501&lt;AY$7)*($E$2:$E$501&gt;=$H109)*($E$2:$E$501&lt;$H108)," ")))</f>
        <v xml:space="preserve"> </v>
      </c>
      <c r="AZ108" t="str" cm="1">
        <f t="array" ref="AZ108">_xlfn.TEXTJOIN(",",TRUE,(_xlfn._xlws.FILTER($A$2:$A$501,($D$2:$D$501&gt;=BA$7)*($D$2:$D$501&lt;AZ$7)*($E$2:$E$501&gt;=$H109)*($E$2:$E$501&lt;$H108)," ")))</f>
        <v xml:space="preserve"> </v>
      </c>
      <c r="BA108" t="str" cm="1">
        <f t="array" ref="BA108">_xlfn.TEXTJOIN(",",TRUE,(_xlfn._xlws.FILTER($A$2:$A$501,($D$2:$D$501&gt;=BB$7)*($D$2:$D$501&lt;BA$7)*($E$2:$E$501&gt;=$H109)*($E$2:$E$501&lt;$H108)," ")))</f>
        <v xml:space="preserve"> </v>
      </c>
      <c r="BB108" t="str" cm="1">
        <f t="array" ref="BB108">_xlfn.TEXTJOIN(",",TRUE,(_xlfn._xlws.FILTER($A$2:$A$501,($D$2:$D$501&gt;=BC$7)*($D$2:$D$501&lt;BB$7)*($E$2:$E$501&gt;=$H109)*($E$2:$E$501&lt;$H108)," ")))</f>
        <v xml:space="preserve"> </v>
      </c>
    </row>
    <row r="109" spans="1:54" x14ac:dyDescent="0.2">
      <c r="A109" s="3" t="s">
        <v>137</v>
      </c>
      <c r="B109" s="3" t="s">
        <v>138</v>
      </c>
      <c r="C109" s="13">
        <v>515739.67</v>
      </c>
      <c r="D109" s="15">
        <v>12485395.18</v>
      </c>
      <c r="E109" s="22">
        <f>TuitionRates3[[#This Row],[Tuition]]/D109</f>
        <v>4.130743661411284E-2</v>
      </c>
      <c r="F109"/>
      <c r="H109" s="18">
        <v>4.8999999999999898E-2</v>
      </c>
      <c r="I109" t="str" cm="1">
        <f t="array" ref="I109">_xlfn.TEXTJOIN(",",TRUE,(_xlfn._xlws.FILTER($A$2:$A$501,($D$2:$D$501&gt;=J$7)*($D$2:$D$501&lt;I$7)*($E$2:$E$501&gt;=$H110)*($E$2:$E$501&lt;$H109)," ")))</f>
        <v xml:space="preserve"> </v>
      </c>
      <c r="J109" t="str" cm="1">
        <f t="array" ref="J109">_xlfn.TEXTJOIN(",",TRUE,(_xlfn._xlws.FILTER($A$2:$A$501,($D$2:$D$501&gt;=K$7)*($D$2:$D$501&lt;J$7)*($E$2:$E$501&gt;=$H110)*($E$2:$E$501&lt;$H109)," ")))</f>
        <v xml:space="preserve"> </v>
      </c>
      <c r="K109" t="str" cm="1">
        <f t="array" ref="K109">_xlfn.TEXTJOIN(",",TRUE,(_xlfn._xlws.FILTER($A$2:$A$501,($D$2:$D$501&gt;=L$7)*($D$2:$D$501&lt;K$7)*($E$2:$E$501&gt;=$H110)*($E$2:$E$501&lt;$H109)," ")))</f>
        <v xml:space="preserve"> </v>
      </c>
      <c r="L109" t="str" cm="1">
        <f t="array" ref="L109">_xlfn.TEXTJOIN(",",TRUE,(_xlfn._xlws.FILTER($A$2:$A$501,($D$2:$D$501&gt;=M$7)*($D$2:$D$501&lt;L$7)*($E$2:$E$501&gt;=$H110)*($E$2:$E$501&lt;$H109)," ")))</f>
        <v xml:space="preserve"> </v>
      </c>
      <c r="M109" t="str" cm="1">
        <f t="array" ref="M109">_xlfn.TEXTJOIN(",",TRUE,(_xlfn._xlws.FILTER($A$2:$A$501,($D$2:$D$501&gt;=N$7)*($D$2:$D$501&lt;M$7)*($E$2:$E$501&gt;=$H110)*($E$2:$E$501&lt;$H109)," ")))</f>
        <v xml:space="preserve"> </v>
      </c>
      <c r="N109" t="str" cm="1">
        <f t="array" ref="N109">_xlfn.TEXTJOIN(",",TRUE,(_xlfn._xlws.FILTER($A$2:$A$501,($D$2:$D$501&gt;=O$7)*($D$2:$D$501&lt;N$7)*($E$2:$E$501&gt;=$H110)*($E$2:$E$501&lt;$H109)," ")))</f>
        <v xml:space="preserve"> </v>
      </c>
      <c r="O109" t="str" cm="1">
        <f t="array" ref="O109">_xlfn.TEXTJOIN(",",TRUE,(_xlfn._xlws.FILTER($A$2:$A$501,($D$2:$D$501&gt;=P$7)*($D$2:$D$501&lt;O$7)*($E$2:$E$501&gt;=$H110)*($E$2:$E$501&lt;$H109)," ")))</f>
        <v xml:space="preserve"> </v>
      </c>
      <c r="P109" t="str" cm="1">
        <f t="array" ref="P109">_xlfn.TEXTJOIN(",",TRUE,(_xlfn._xlws.FILTER($A$2:$A$501,($D$2:$D$501&gt;=Q$7)*($D$2:$D$501&lt;P$7)*($E$2:$E$501&gt;=$H110)*($E$2:$E$501&lt;$H109)," ")))</f>
        <v xml:space="preserve"> </v>
      </c>
      <c r="Q109" t="str" cm="1">
        <f t="array" ref="Q109">_xlfn.TEXTJOIN(",",TRUE,(_xlfn._xlws.FILTER($A$2:$A$501,($D$2:$D$501&gt;=R$7)*($D$2:$D$501&lt;Q$7)*($E$2:$E$501&gt;=$H110)*($E$2:$E$501&lt;$H109)," ")))</f>
        <v xml:space="preserve"> </v>
      </c>
      <c r="R109" t="str" cm="1">
        <f t="array" ref="R109">_xlfn.TEXTJOIN(",",TRUE,(_xlfn._xlws.FILTER($A$2:$A$501,($D$2:$D$501&gt;=S$7)*($D$2:$D$501&lt;R$7)*($E$2:$E$501&gt;=$H110)*($E$2:$E$501&lt;$H109)," ")))</f>
        <v xml:space="preserve"> </v>
      </c>
      <c r="S109" t="str" cm="1">
        <f t="array" ref="S109">_xlfn.TEXTJOIN(",",TRUE,(_xlfn._xlws.FILTER($A$2:$A$501,($D$2:$D$501&gt;=T$7)*($D$2:$D$501&lt;S$7)*($E$2:$E$501&gt;=$H110)*($E$2:$E$501&lt;$H109)," ")))</f>
        <v xml:space="preserve"> </v>
      </c>
      <c r="T109" t="str" cm="1">
        <f t="array" ref="T109">_xlfn.TEXTJOIN(",",TRUE,(_xlfn._xlws.FILTER($A$2:$A$501,($D$2:$D$501&gt;=U$7)*($D$2:$D$501&lt;T$7)*($E$2:$E$501&gt;=$H110)*($E$2:$E$501&lt;$H109)," ")))</f>
        <v>Pocono Mountain SD,Scranton SD</v>
      </c>
      <c r="U109" t="str" cm="1">
        <f t="array" ref="U109">_xlfn.TEXTJOIN(",",TRUE,(_xlfn._xlws.FILTER($A$2:$A$501,($D$2:$D$501&gt;=V$7)*($D$2:$D$501&lt;U$7)*($E$2:$E$501&gt;=$H110)*($E$2:$E$501&lt;$H109)," ")))</f>
        <v xml:space="preserve"> </v>
      </c>
      <c r="V109" t="str" cm="1">
        <f t="array" ref="V109">_xlfn.TEXTJOIN(",",TRUE,(_xlfn._xlws.FILTER($A$2:$A$501,($D$2:$D$501&gt;=W$7)*($D$2:$D$501&lt;V$7)*($E$2:$E$501&gt;=$H110)*($E$2:$E$501&lt;$H109)," ")))</f>
        <v xml:space="preserve"> </v>
      </c>
      <c r="W109" t="str" cm="1">
        <f t="array" ref="W109">_xlfn.TEXTJOIN(",",TRUE,(_xlfn._xlws.FILTER($A$2:$A$501,($D$2:$D$501&gt;=X$7)*($D$2:$D$501&lt;W$7)*($E$2:$E$501&gt;=$H110)*($E$2:$E$501&lt;$H109)," ")))</f>
        <v xml:space="preserve"> </v>
      </c>
      <c r="X109" t="str" cm="1">
        <f t="array" ref="X109">_xlfn.TEXTJOIN(",",TRUE,(_xlfn._xlws.FILTER($A$2:$A$501,($D$2:$D$501&gt;=Y$7)*($D$2:$D$501&lt;X$7)*($E$2:$E$501&gt;=$H110)*($E$2:$E$501&lt;$H109)," ")))</f>
        <v xml:space="preserve"> </v>
      </c>
      <c r="Y109" t="str" cm="1">
        <f t="array" ref="Y109">_xlfn.TEXTJOIN(",",TRUE,(_xlfn._xlws.FILTER($A$2:$A$501,($D$2:$D$501&gt;=Z$7)*($D$2:$D$501&lt;Y$7)*($E$2:$E$501&gt;=$H110)*($E$2:$E$501&lt;$H109)," ")))</f>
        <v>Wayne Highlands SD</v>
      </c>
      <c r="Z109" t="str" cm="1">
        <f t="array" ref="Z109">_xlfn.TEXTJOIN(",",TRUE,(_xlfn._xlws.FILTER($A$2:$A$501,($D$2:$D$501&gt;=AA$7)*($D$2:$D$501&lt;Z$7)*($E$2:$E$501&gt;=$H110)*($E$2:$E$501&lt;$H109)," ")))</f>
        <v xml:space="preserve"> </v>
      </c>
      <c r="AA109" t="str" cm="1">
        <f t="array" ref="AA109">_xlfn.TEXTJOIN(",",TRUE,(_xlfn._xlws.FILTER($A$2:$A$501,($D$2:$D$501&gt;=AB$7)*($D$2:$D$501&lt;AA$7)*($E$2:$E$501&gt;=$H110)*($E$2:$E$501&lt;$H109)," ")))</f>
        <v xml:space="preserve"> </v>
      </c>
      <c r="AB109" t="str" cm="1">
        <f t="array" ref="AB109">_xlfn.TEXTJOIN(",",TRUE,(_xlfn._xlws.FILTER($A$2:$A$501,($D$2:$D$501&gt;=AC$7)*($D$2:$D$501&lt;AB$7)*($E$2:$E$501&gt;=$H110)*($E$2:$E$501&lt;$H109)," ")))</f>
        <v>Wilkinsburg Borough SD</v>
      </c>
      <c r="AC109" t="str" cm="1">
        <f t="array" ref="AC109">_xlfn.TEXTJOIN(",",TRUE,(_xlfn._xlws.FILTER($A$2:$A$501,($D$2:$D$501&gt;=AD$7)*($D$2:$D$501&lt;AC$7)*($E$2:$E$501&gt;=$H110)*($E$2:$E$501&lt;$H109)," ")))</f>
        <v>Burgettstown Area SD,Northwest Area SD,Northern Cambria SD</v>
      </c>
      <c r="AD109" t="str" cm="1">
        <f t="array" ref="AD109">_xlfn.TEXTJOIN(",",TRUE,(_xlfn._xlws.FILTER($A$2:$A$501,($D$2:$D$501&gt;=AE$7)*($D$2:$D$501&lt;AD$7)*($E$2:$E$501&gt;=$H110)*($E$2:$E$501&lt;$H109)," ")))</f>
        <v>Weatherly Area SD</v>
      </c>
      <c r="AE109" t="str" cm="1">
        <f t="array" ref="AE109">_xlfn.TEXTJOIN(",",TRUE,(_xlfn._xlws.FILTER($A$2:$A$501,($D$2:$D$501&gt;=AF$7)*($D$2:$D$501&lt;AE$7)*($E$2:$E$501&gt;=$H110)*($E$2:$E$501&lt;$H109)," ")))</f>
        <v>Forbes Road SD</v>
      </c>
      <c r="AF109" t="str" cm="1">
        <f t="array" ref="AF109">_xlfn.TEXTJOIN(",",TRUE,(_xlfn._xlws.FILTER($A$2:$A$501,($D$2:$D$501&gt;=AG$7)*($D$2:$D$501&lt;AF$7)*($E$2:$E$501&gt;=$H110)*($E$2:$E$501&lt;$H109)," ")))</f>
        <v xml:space="preserve"> </v>
      </c>
      <c r="AG109" t="str" cm="1">
        <f t="array" ref="AG109">_xlfn.TEXTJOIN(",",TRUE,(_xlfn._xlws.FILTER($A$2:$A$501,($D$2:$D$501&gt;=AH$7)*($D$2:$D$501&lt;AG$7)*($E$2:$E$501&gt;=$H110)*($E$2:$E$501&lt;$H109)," ")))</f>
        <v xml:space="preserve"> </v>
      </c>
      <c r="AH109" t="str" cm="1">
        <f t="array" ref="AH109">_xlfn.TEXTJOIN(",",TRUE,(_xlfn._xlws.FILTER($A$2:$A$501,($D$2:$D$501&gt;=AI$7)*($D$2:$D$501&lt;AH$7)*($E$2:$E$501&gt;=$H110)*($E$2:$E$501&lt;$H109)," ")))</f>
        <v xml:space="preserve"> </v>
      </c>
      <c r="AI109" t="str" cm="1">
        <f t="array" ref="AI109">_xlfn.TEXTJOIN(",",TRUE,(_xlfn._xlws.FILTER($A$2:$A$501,($D$2:$D$501&gt;=AJ$7)*($D$2:$D$501&lt;AI$7)*($E$2:$E$501&gt;=$H110)*($E$2:$E$501&lt;$H109)," ")))</f>
        <v xml:space="preserve"> </v>
      </c>
      <c r="AJ109" t="str" cm="1">
        <f t="array" ref="AJ109">_xlfn.TEXTJOIN(",",TRUE,(_xlfn._xlws.FILTER($A$2:$A$501,($D$2:$D$501&gt;=AK$7)*($D$2:$D$501&lt;AJ$7)*($E$2:$E$501&gt;=$H110)*($E$2:$E$501&lt;$H109)," ")))</f>
        <v xml:space="preserve"> </v>
      </c>
      <c r="AK109" t="str" cm="1">
        <f t="array" ref="AK109">_xlfn.TEXTJOIN(",",TRUE,(_xlfn._xlws.FILTER($A$2:$A$501,($D$2:$D$501&gt;=AL$7)*($D$2:$D$501&lt;AK$7)*($E$2:$E$501&gt;=$H110)*($E$2:$E$501&lt;$H109)," ")))</f>
        <v xml:space="preserve"> </v>
      </c>
      <c r="AL109" t="str" cm="1">
        <f t="array" ref="AL109">_xlfn.TEXTJOIN(",",TRUE,(_xlfn._xlws.FILTER($A$2:$A$501,($D$2:$D$501&gt;=AM$7)*($D$2:$D$501&lt;AL$7)*($E$2:$E$501&gt;=$H110)*($E$2:$E$501&lt;$H109)," ")))</f>
        <v xml:space="preserve"> </v>
      </c>
      <c r="AM109" t="str" cm="1">
        <f t="array" ref="AM109">_xlfn.TEXTJOIN(",",TRUE,(_xlfn._xlws.FILTER($A$2:$A$501,($D$2:$D$501&gt;=AN$7)*($D$2:$D$501&lt;AM$7)*($E$2:$E$501&gt;=$H110)*($E$2:$E$501&lt;$H109)," ")))</f>
        <v xml:space="preserve"> </v>
      </c>
      <c r="AN109" t="str" cm="1">
        <f t="array" ref="AN109">_xlfn.TEXTJOIN(",",TRUE,(_xlfn._xlws.FILTER($A$2:$A$501,($D$2:$D$501&gt;=AO$7)*($D$2:$D$501&lt;AN$7)*($E$2:$E$501&gt;=$H110)*($E$2:$E$501&lt;$H109)," ")))</f>
        <v xml:space="preserve"> </v>
      </c>
      <c r="AO109" t="str" cm="1">
        <f t="array" ref="AO109">_xlfn.TEXTJOIN(",",TRUE,(_xlfn._xlws.FILTER($A$2:$A$501,($D$2:$D$501&gt;=AP$7)*($D$2:$D$501&lt;AO$7)*($E$2:$E$501&gt;=$H110)*($E$2:$E$501&lt;$H109)," ")))</f>
        <v xml:space="preserve"> </v>
      </c>
      <c r="AP109" t="str" cm="1">
        <f t="array" ref="AP109">_xlfn.TEXTJOIN(",",TRUE,(_xlfn._xlws.FILTER($A$2:$A$501,($D$2:$D$501&gt;=AQ$7)*($D$2:$D$501&lt;AP$7)*($E$2:$E$501&gt;=$H110)*($E$2:$E$501&lt;$H109)," ")))</f>
        <v xml:space="preserve"> </v>
      </c>
      <c r="AQ109" t="str" cm="1">
        <f t="array" ref="AQ109">_xlfn.TEXTJOIN(",",TRUE,(_xlfn._xlws.FILTER($A$2:$A$501,($D$2:$D$501&gt;=AR$7)*($D$2:$D$501&lt;AQ$7)*($E$2:$E$501&gt;=$H110)*($E$2:$E$501&lt;$H109)," ")))</f>
        <v xml:space="preserve"> </v>
      </c>
      <c r="AR109" t="str" cm="1">
        <f t="array" ref="AR109">_xlfn.TEXTJOIN(",",TRUE,(_xlfn._xlws.FILTER($A$2:$A$501,($D$2:$D$501&gt;=AS$7)*($D$2:$D$501&lt;AR$7)*($E$2:$E$501&gt;=$H110)*($E$2:$E$501&lt;$H109)," ")))</f>
        <v xml:space="preserve"> </v>
      </c>
      <c r="AS109" t="str" cm="1">
        <f t="array" ref="AS109">_xlfn.TEXTJOIN(",",TRUE,(_xlfn._xlws.FILTER($A$2:$A$501,($D$2:$D$501&gt;=AT$7)*($D$2:$D$501&lt;AS$7)*($E$2:$E$501&gt;=$H110)*($E$2:$E$501&lt;$H109)," ")))</f>
        <v xml:space="preserve"> </v>
      </c>
      <c r="AT109" t="str" cm="1">
        <f t="array" ref="AT109">_xlfn.TEXTJOIN(",",TRUE,(_xlfn._xlws.FILTER($A$2:$A$501,($D$2:$D$501&gt;=AU$7)*($D$2:$D$501&lt;AT$7)*($E$2:$E$501&gt;=$H110)*($E$2:$E$501&lt;$H109)," ")))</f>
        <v xml:space="preserve"> </v>
      </c>
      <c r="AU109" t="str" cm="1">
        <f t="array" ref="AU109">_xlfn.TEXTJOIN(",",TRUE,(_xlfn._xlws.FILTER($A$2:$A$501,($D$2:$D$501&gt;=AV$7)*($D$2:$D$501&lt;AU$7)*($E$2:$E$501&gt;=$H110)*($E$2:$E$501&lt;$H109)," ")))</f>
        <v xml:space="preserve"> </v>
      </c>
      <c r="AV109" t="str" cm="1">
        <f t="array" ref="AV109">_xlfn.TEXTJOIN(",",TRUE,(_xlfn._xlws.FILTER($A$2:$A$501,($D$2:$D$501&gt;=AW$7)*($D$2:$D$501&lt;AV$7)*($E$2:$E$501&gt;=$H110)*($E$2:$E$501&lt;$H109)," ")))</f>
        <v xml:space="preserve"> </v>
      </c>
      <c r="AW109" t="str" cm="1">
        <f t="array" ref="AW109">_xlfn.TEXTJOIN(",",TRUE,(_xlfn._xlws.FILTER($A$2:$A$501,($D$2:$D$501&gt;=AX$7)*($D$2:$D$501&lt;AW$7)*($E$2:$E$501&gt;=$H110)*($E$2:$E$501&lt;$H109)," ")))</f>
        <v xml:space="preserve"> </v>
      </c>
      <c r="AX109" t="str" cm="1">
        <f t="array" ref="AX109">_xlfn.TEXTJOIN(",",TRUE,(_xlfn._xlws.FILTER($A$2:$A$501,($D$2:$D$501&gt;=AY$7)*($D$2:$D$501&lt;AX$7)*($E$2:$E$501&gt;=$H110)*($E$2:$E$501&lt;$H109)," ")))</f>
        <v xml:space="preserve"> </v>
      </c>
      <c r="AY109" t="str" cm="1">
        <f t="array" ref="AY109">_xlfn.TEXTJOIN(",",TRUE,(_xlfn._xlws.FILTER($A$2:$A$501,($D$2:$D$501&gt;=AZ$7)*($D$2:$D$501&lt;AY$7)*($E$2:$E$501&gt;=$H110)*($E$2:$E$501&lt;$H109)," ")))</f>
        <v xml:space="preserve"> </v>
      </c>
      <c r="AZ109" t="str" cm="1">
        <f t="array" ref="AZ109">_xlfn.TEXTJOIN(",",TRUE,(_xlfn._xlws.FILTER($A$2:$A$501,($D$2:$D$501&gt;=BA$7)*($D$2:$D$501&lt;AZ$7)*($E$2:$E$501&gt;=$H110)*($E$2:$E$501&lt;$H109)," ")))</f>
        <v xml:space="preserve"> </v>
      </c>
      <c r="BA109" t="str" cm="1">
        <f t="array" ref="BA109">_xlfn.TEXTJOIN(",",TRUE,(_xlfn._xlws.FILTER($A$2:$A$501,($D$2:$D$501&gt;=BB$7)*($D$2:$D$501&lt;BA$7)*($E$2:$E$501&gt;=$H110)*($E$2:$E$501&lt;$H109)," ")))</f>
        <v xml:space="preserve"> </v>
      </c>
      <c r="BB109" t="str" cm="1">
        <f t="array" ref="BB109">_xlfn.TEXTJOIN(",",TRUE,(_xlfn._xlws.FILTER($A$2:$A$501,($D$2:$D$501&gt;=BC$7)*($D$2:$D$501&lt;BB$7)*($E$2:$E$501&gt;=$H110)*($E$2:$E$501&lt;$H109)," ")))</f>
        <v xml:space="preserve"> </v>
      </c>
    </row>
    <row r="110" spans="1:54" x14ac:dyDescent="0.2">
      <c r="A110" s="3" t="s">
        <v>297</v>
      </c>
      <c r="B110" s="3" t="s">
        <v>291</v>
      </c>
      <c r="C110" s="13">
        <v>955023.86</v>
      </c>
      <c r="D110" s="15">
        <v>23226795.23</v>
      </c>
      <c r="E110" s="22">
        <f>TuitionRates3[[#This Row],[Tuition]]/D110</f>
        <v>4.1117332397475136E-2</v>
      </c>
      <c r="F110"/>
      <c r="H110" s="18">
        <v>4.7999999999999897E-2</v>
      </c>
      <c r="I110" t="str" cm="1">
        <f t="array" ref="I110">_xlfn.TEXTJOIN(",",TRUE,(_xlfn._xlws.FILTER($A$2:$A$501,($D$2:$D$501&gt;=J$7)*($D$2:$D$501&lt;I$7)*($E$2:$E$501&gt;=$H111)*($E$2:$E$501&lt;$H110)," ")))</f>
        <v xml:space="preserve"> </v>
      </c>
      <c r="J110" t="str" cm="1">
        <f t="array" ref="J110">_xlfn.TEXTJOIN(",",TRUE,(_xlfn._xlws.FILTER($A$2:$A$501,($D$2:$D$501&gt;=K$7)*($D$2:$D$501&lt;J$7)*($E$2:$E$501&gt;=$H111)*($E$2:$E$501&lt;$H110)," ")))</f>
        <v xml:space="preserve"> </v>
      </c>
      <c r="K110" t="str" cm="1">
        <f t="array" ref="K110">_xlfn.TEXTJOIN(",",TRUE,(_xlfn._xlws.FILTER($A$2:$A$501,($D$2:$D$501&gt;=L$7)*($D$2:$D$501&lt;K$7)*($E$2:$E$501&gt;=$H111)*($E$2:$E$501&lt;$H110)," ")))</f>
        <v xml:space="preserve"> </v>
      </c>
      <c r="L110" t="str" cm="1">
        <f t="array" ref="L110">_xlfn.TEXTJOIN(",",TRUE,(_xlfn._xlws.FILTER($A$2:$A$501,($D$2:$D$501&gt;=M$7)*($D$2:$D$501&lt;L$7)*($E$2:$E$501&gt;=$H111)*($E$2:$E$501&lt;$H110)," ")))</f>
        <v xml:space="preserve"> </v>
      </c>
      <c r="M110" t="str" cm="1">
        <f t="array" ref="M110">_xlfn.TEXTJOIN(",",TRUE,(_xlfn._xlws.FILTER($A$2:$A$501,($D$2:$D$501&gt;=N$7)*($D$2:$D$501&lt;M$7)*($E$2:$E$501&gt;=$H111)*($E$2:$E$501&lt;$H110)," ")))</f>
        <v xml:space="preserve"> </v>
      </c>
      <c r="N110" t="str" cm="1">
        <f t="array" ref="N110">_xlfn.TEXTJOIN(",",TRUE,(_xlfn._xlws.FILTER($A$2:$A$501,($D$2:$D$501&gt;=O$7)*($D$2:$D$501&lt;N$7)*($E$2:$E$501&gt;=$H111)*($E$2:$E$501&lt;$H110)," ")))</f>
        <v xml:space="preserve"> </v>
      </c>
      <c r="O110" t="str" cm="1">
        <f t="array" ref="O110">_xlfn.TEXTJOIN(",",TRUE,(_xlfn._xlws.FILTER($A$2:$A$501,($D$2:$D$501&gt;=P$7)*($D$2:$D$501&lt;O$7)*($E$2:$E$501&gt;=$H111)*($E$2:$E$501&lt;$H110)," ")))</f>
        <v xml:space="preserve"> </v>
      </c>
      <c r="P110" t="str" cm="1">
        <f t="array" ref="P110">_xlfn.TEXTJOIN(",",TRUE,(_xlfn._xlws.FILTER($A$2:$A$501,($D$2:$D$501&gt;=Q$7)*($D$2:$D$501&lt;P$7)*($E$2:$E$501&gt;=$H111)*($E$2:$E$501&lt;$H110)," ")))</f>
        <v xml:space="preserve"> </v>
      </c>
      <c r="Q110" t="str" cm="1">
        <f t="array" ref="Q110">_xlfn.TEXTJOIN(",",TRUE,(_xlfn._xlws.FILTER($A$2:$A$501,($D$2:$D$501&gt;=R$7)*($D$2:$D$501&lt;Q$7)*($E$2:$E$501&gt;=$H111)*($E$2:$E$501&lt;$H110)," ")))</f>
        <v xml:space="preserve"> </v>
      </c>
      <c r="R110" t="str" cm="1">
        <f t="array" ref="R110">_xlfn.TEXTJOIN(",",TRUE,(_xlfn._xlws.FILTER($A$2:$A$501,($D$2:$D$501&gt;=S$7)*($D$2:$D$501&lt;R$7)*($E$2:$E$501&gt;=$H111)*($E$2:$E$501&lt;$H110)," ")))</f>
        <v xml:space="preserve"> </v>
      </c>
      <c r="S110" t="str" cm="1">
        <f t="array" ref="S110">_xlfn.TEXTJOIN(",",TRUE,(_xlfn._xlws.FILTER($A$2:$A$501,($D$2:$D$501&gt;=T$7)*($D$2:$D$501&lt;S$7)*($E$2:$E$501&gt;=$H111)*($E$2:$E$501&lt;$H110)," ")))</f>
        <v xml:space="preserve"> </v>
      </c>
      <c r="T110" t="str" cm="1">
        <f t="array" ref="T110">_xlfn.TEXTJOIN(",",TRUE,(_xlfn._xlws.FILTER($A$2:$A$501,($D$2:$D$501&gt;=U$7)*($D$2:$D$501&lt;T$7)*($E$2:$E$501&gt;=$H111)*($E$2:$E$501&lt;$H110)," ")))</f>
        <v xml:space="preserve"> </v>
      </c>
      <c r="U110" t="str" cm="1">
        <f t="array" ref="U110">_xlfn.TEXTJOIN(",",TRUE,(_xlfn._xlws.FILTER($A$2:$A$501,($D$2:$D$501&gt;=V$7)*($D$2:$D$501&lt;U$7)*($E$2:$E$501&gt;=$H111)*($E$2:$E$501&lt;$H110)," ")))</f>
        <v xml:space="preserve"> </v>
      </c>
      <c r="V110" t="str" cm="1">
        <f t="array" ref="V110">_xlfn.TEXTJOIN(",",TRUE,(_xlfn._xlws.FILTER($A$2:$A$501,($D$2:$D$501&gt;=W$7)*($D$2:$D$501&lt;V$7)*($E$2:$E$501&gt;=$H111)*($E$2:$E$501&lt;$H110)," ")))</f>
        <v xml:space="preserve"> </v>
      </c>
      <c r="W110" t="str" cm="1">
        <f t="array" ref="W110">_xlfn.TEXTJOIN(",",TRUE,(_xlfn._xlws.FILTER($A$2:$A$501,($D$2:$D$501&gt;=X$7)*($D$2:$D$501&lt;W$7)*($E$2:$E$501&gt;=$H111)*($E$2:$E$501&lt;$H110)," ")))</f>
        <v xml:space="preserve"> </v>
      </c>
      <c r="X110" t="str" cm="1">
        <f t="array" ref="X110">_xlfn.TEXTJOIN(",",TRUE,(_xlfn._xlws.FILTER($A$2:$A$501,($D$2:$D$501&gt;=Y$7)*($D$2:$D$501&lt;X$7)*($E$2:$E$501&gt;=$H111)*($E$2:$E$501&lt;$H110)," ")))</f>
        <v xml:space="preserve"> </v>
      </c>
      <c r="Y110" t="str" cm="1">
        <f t="array" ref="Y110">_xlfn.TEXTJOIN(",",TRUE,(_xlfn._xlws.FILTER($A$2:$A$501,($D$2:$D$501&gt;=Z$7)*($D$2:$D$501&lt;Y$7)*($E$2:$E$501&gt;=$H111)*($E$2:$E$501&lt;$H110)," ")))</f>
        <v xml:space="preserve"> </v>
      </c>
      <c r="Z110" t="str" cm="1">
        <f t="array" ref="Z110">_xlfn.TEXTJOIN(",",TRUE,(_xlfn._xlws.FILTER($A$2:$A$501,($D$2:$D$501&gt;=AA$7)*($D$2:$D$501&lt;Z$7)*($E$2:$E$501&gt;=$H111)*($E$2:$E$501&lt;$H110)," ")))</f>
        <v xml:space="preserve"> </v>
      </c>
      <c r="AA110" t="str" cm="1">
        <f t="array" ref="AA110">_xlfn.TEXTJOIN(",",TRUE,(_xlfn._xlws.FILTER($A$2:$A$501,($D$2:$D$501&gt;=AB$7)*($D$2:$D$501&lt;AA$7)*($E$2:$E$501&gt;=$H111)*($E$2:$E$501&lt;$H110)," ")))</f>
        <v xml:space="preserve"> </v>
      </c>
      <c r="AB110" t="str" cm="1">
        <f t="array" ref="AB110">_xlfn.TEXTJOIN(",",TRUE,(_xlfn._xlws.FILTER($A$2:$A$501,($D$2:$D$501&gt;=AC$7)*($D$2:$D$501&lt;AB$7)*($E$2:$E$501&gt;=$H111)*($E$2:$E$501&lt;$H110)," ")))</f>
        <v>Columbia Borough SD</v>
      </c>
      <c r="AC110" t="str" cm="1">
        <f t="array" ref="AC110">_xlfn.TEXTJOIN(",",TRUE,(_xlfn._xlws.FILTER($A$2:$A$501,($D$2:$D$501&gt;=AD$7)*($D$2:$D$501&lt;AC$7)*($E$2:$E$501&gt;=$H111)*($E$2:$E$501&lt;$H110)," ")))</f>
        <v xml:space="preserve"> </v>
      </c>
      <c r="AD110" t="str" cm="1">
        <f t="array" ref="AD110">_xlfn.TEXTJOIN(",",TRUE,(_xlfn._xlws.FILTER($A$2:$A$501,($D$2:$D$501&gt;=AE$7)*($D$2:$D$501&lt;AD$7)*($E$2:$E$501&gt;=$H111)*($E$2:$E$501&lt;$H110)," ")))</f>
        <v xml:space="preserve"> </v>
      </c>
      <c r="AE110" t="str" cm="1">
        <f t="array" ref="AE110">_xlfn.TEXTJOIN(",",TRUE,(_xlfn._xlws.FILTER($A$2:$A$501,($D$2:$D$501&gt;=AF$7)*($D$2:$D$501&lt;AE$7)*($E$2:$E$501&gt;=$H111)*($E$2:$E$501&lt;$H110)," ")))</f>
        <v>Oswayo Valley SD</v>
      </c>
      <c r="AF110" t="str" cm="1">
        <f t="array" ref="AF110">_xlfn.TEXTJOIN(",",TRUE,(_xlfn._xlws.FILTER($A$2:$A$501,($D$2:$D$501&gt;=AG$7)*($D$2:$D$501&lt;AF$7)*($E$2:$E$501&gt;=$H111)*($E$2:$E$501&lt;$H110)," ")))</f>
        <v xml:space="preserve"> </v>
      </c>
      <c r="AG110" t="str" cm="1">
        <f t="array" ref="AG110">_xlfn.TEXTJOIN(",",TRUE,(_xlfn._xlws.FILTER($A$2:$A$501,($D$2:$D$501&gt;=AH$7)*($D$2:$D$501&lt;AG$7)*($E$2:$E$501&gt;=$H111)*($E$2:$E$501&lt;$H110)," ")))</f>
        <v xml:space="preserve"> </v>
      </c>
      <c r="AH110" t="str" cm="1">
        <f t="array" ref="AH110">_xlfn.TEXTJOIN(",",TRUE,(_xlfn._xlws.FILTER($A$2:$A$501,($D$2:$D$501&gt;=AI$7)*($D$2:$D$501&lt;AH$7)*($E$2:$E$501&gt;=$H111)*($E$2:$E$501&lt;$H110)," ")))</f>
        <v xml:space="preserve"> </v>
      </c>
      <c r="AI110" t="str" cm="1">
        <f t="array" ref="AI110">_xlfn.TEXTJOIN(",",TRUE,(_xlfn._xlws.FILTER($A$2:$A$501,($D$2:$D$501&gt;=AJ$7)*($D$2:$D$501&lt;AI$7)*($E$2:$E$501&gt;=$H111)*($E$2:$E$501&lt;$H110)," ")))</f>
        <v xml:space="preserve"> </v>
      </c>
      <c r="AJ110" t="str" cm="1">
        <f t="array" ref="AJ110">_xlfn.TEXTJOIN(",",TRUE,(_xlfn._xlws.FILTER($A$2:$A$501,($D$2:$D$501&gt;=AK$7)*($D$2:$D$501&lt;AJ$7)*($E$2:$E$501&gt;=$H111)*($E$2:$E$501&lt;$H110)," ")))</f>
        <v xml:space="preserve"> </v>
      </c>
      <c r="AK110" t="str" cm="1">
        <f t="array" ref="AK110">_xlfn.TEXTJOIN(",",TRUE,(_xlfn._xlws.FILTER($A$2:$A$501,($D$2:$D$501&gt;=AL$7)*($D$2:$D$501&lt;AK$7)*($E$2:$E$501&gt;=$H111)*($E$2:$E$501&lt;$H110)," ")))</f>
        <v xml:space="preserve"> </v>
      </c>
      <c r="AL110" t="str" cm="1">
        <f t="array" ref="AL110">_xlfn.TEXTJOIN(",",TRUE,(_xlfn._xlws.FILTER($A$2:$A$501,($D$2:$D$501&gt;=AM$7)*($D$2:$D$501&lt;AL$7)*($E$2:$E$501&gt;=$H111)*($E$2:$E$501&lt;$H110)," ")))</f>
        <v xml:space="preserve"> </v>
      </c>
      <c r="AM110" t="str" cm="1">
        <f t="array" ref="AM110">_xlfn.TEXTJOIN(",",TRUE,(_xlfn._xlws.FILTER($A$2:$A$501,($D$2:$D$501&gt;=AN$7)*($D$2:$D$501&lt;AM$7)*($E$2:$E$501&gt;=$H111)*($E$2:$E$501&lt;$H110)," ")))</f>
        <v xml:space="preserve"> </v>
      </c>
      <c r="AN110" t="str" cm="1">
        <f t="array" ref="AN110">_xlfn.TEXTJOIN(",",TRUE,(_xlfn._xlws.FILTER($A$2:$A$501,($D$2:$D$501&gt;=AO$7)*($D$2:$D$501&lt;AN$7)*($E$2:$E$501&gt;=$H111)*($E$2:$E$501&lt;$H110)," ")))</f>
        <v xml:space="preserve"> </v>
      </c>
      <c r="AO110" t="str" cm="1">
        <f t="array" ref="AO110">_xlfn.TEXTJOIN(",",TRUE,(_xlfn._xlws.FILTER($A$2:$A$501,($D$2:$D$501&gt;=AP$7)*($D$2:$D$501&lt;AO$7)*($E$2:$E$501&gt;=$H111)*($E$2:$E$501&lt;$H110)," ")))</f>
        <v xml:space="preserve"> </v>
      </c>
      <c r="AP110" t="str" cm="1">
        <f t="array" ref="AP110">_xlfn.TEXTJOIN(",",TRUE,(_xlfn._xlws.FILTER($A$2:$A$501,($D$2:$D$501&gt;=AQ$7)*($D$2:$D$501&lt;AP$7)*($E$2:$E$501&gt;=$H111)*($E$2:$E$501&lt;$H110)," ")))</f>
        <v xml:space="preserve"> </v>
      </c>
      <c r="AQ110" t="str" cm="1">
        <f t="array" ref="AQ110">_xlfn.TEXTJOIN(",",TRUE,(_xlfn._xlws.FILTER($A$2:$A$501,($D$2:$D$501&gt;=AR$7)*($D$2:$D$501&lt;AQ$7)*($E$2:$E$501&gt;=$H111)*($E$2:$E$501&lt;$H110)," ")))</f>
        <v xml:space="preserve"> </v>
      </c>
      <c r="AR110" t="str" cm="1">
        <f t="array" ref="AR110">_xlfn.TEXTJOIN(",",TRUE,(_xlfn._xlws.FILTER($A$2:$A$501,($D$2:$D$501&gt;=AS$7)*($D$2:$D$501&lt;AR$7)*($E$2:$E$501&gt;=$H111)*($E$2:$E$501&lt;$H110)," ")))</f>
        <v xml:space="preserve"> </v>
      </c>
      <c r="AS110" t="str" cm="1">
        <f t="array" ref="AS110">_xlfn.TEXTJOIN(",",TRUE,(_xlfn._xlws.FILTER($A$2:$A$501,($D$2:$D$501&gt;=AT$7)*($D$2:$D$501&lt;AS$7)*($E$2:$E$501&gt;=$H111)*($E$2:$E$501&lt;$H110)," ")))</f>
        <v xml:space="preserve"> </v>
      </c>
      <c r="AT110" t="str" cm="1">
        <f t="array" ref="AT110">_xlfn.TEXTJOIN(",",TRUE,(_xlfn._xlws.FILTER($A$2:$A$501,($D$2:$D$501&gt;=AU$7)*($D$2:$D$501&lt;AT$7)*($E$2:$E$501&gt;=$H111)*($E$2:$E$501&lt;$H110)," ")))</f>
        <v xml:space="preserve"> </v>
      </c>
      <c r="AU110" t="str" cm="1">
        <f t="array" ref="AU110">_xlfn.TEXTJOIN(",",TRUE,(_xlfn._xlws.FILTER($A$2:$A$501,($D$2:$D$501&gt;=AV$7)*($D$2:$D$501&lt;AU$7)*($E$2:$E$501&gt;=$H111)*($E$2:$E$501&lt;$H110)," ")))</f>
        <v xml:space="preserve"> </v>
      </c>
      <c r="AV110" t="str" cm="1">
        <f t="array" ref="AV110">_xlfn.TEXTJOIN(",",TRUE,(_xlfn._xlws.FILTER($A$2:$A$501,($D$2:$D$501&gt;=AW$7)*($D$2:$D$501&lt;AV$7)*($E$2:$E$501&gt;=$H111)*($E$2:$E$501&lt;$H110)," ")))</f>
        <v xml:space="preserve"> </v>
      </c>
      <c r="AW110" t="str" cm="1">
        <f t="array" ref="AW110">_xlfn.TEXTJOIN(",",TRUE,(_xlfn._xlws.FILTER($A$2:$A$501,($D$2:$D$501&gt;=AX$7)*($D$2:$D$501&lt;AW$7)*($E$2:$E$501&gt;=$H111)*($E$2:$E$501&lt;$H110)," ")))</f>
        <v xml:space="preserve"> </v>
      </c>
      <c r="AX110" t="str" cm="1">
        <f t="array" ref="AX110">_xlfn.TEXTJOIN(",",TRUE,(_xlfn._xlws.FILTER($A$2:$A$501,($D$2:$D$501&gt;=AY$7)*($D$2:$D$501&lt;AX$7)*($E$2:$E$501&gt;=$H111)*($E$2:$E$501&lt;$H110)," ")))</f>
        <v xml:space="preserve"> </v>
      </c>
      <c r="AY110" t="str" cm="1">
        <f t="array" ref="AY110">_xlfn.TEXTJOIN(",",TRUE,(_xlfn._xlws.FILTER($A$2:$A$501,($D$2:$D$501&gt;=AZ$7)*($D$2:$D$501&lt;AY$7)*($E$2:$E$501&gt;=$H111)*($E$2:$E$501&lt;$H110)," ")))</f>
        <v xml:space="preserve"> </v>
      </c>
      <c r="AZ110" t="str" cm="1">
        <f t="array" ref="AZ110">_xlfn.TEXTJOIN(",",TRUE,(_xlfn._xlws.FILTER($A$2:$A$501,($D$2:$D$501&gt;=BA$7)*($D$2:$D$501&lt;AZ$7)*($E$2:$E$501&gt;=$H111)*($E$2:$E$501&lt;$H110)," ")))</f>
        <v xml:space="preserve"> </v>
      </c>
      <c r="BA110" t="str" cm="1">
        <f t="array" ref="BA110">_xlfn.TEXTJOIN(",",TRUE,(_xlfn._xlws.FILTER($A$2:$A$501,($D$2:$D$501&gt;=BB$7)*($D$2:$D$501&lt;BA$7)*($E$2:$E$501&gt;=$H111)*($E$2:$E$501&lt;$H110)," ")))</f>
        <v xml:space="preserve"> </v>
      </c>
      <c r="BB110" t="str" cm="1">
        <f t="array" ref="BB110">_xlfn.TEXTJOIN(",",TRUE,(_xlfn._xlws.FILTER($A$2:$A$501,($D$2:$D$501&gt;=BC$7)*($D$2:$D$501&lt;BB$7)*($E$2:$E$501&gt;=$H111)*($E$2:$E$501&lt;$H110)," ")))</f>
        <v xml:space="preserve"> </v>
      </c>
    </row>
    <row r="111" spans="1:54" x14ac:dyDescent="0.2">
      <c r="A111" s="3" t="s">
        <v>458</v>
      </c>
      <c r="B111" s="3" t="s">
        <v>457</v>
      </c>
      <c r="C111" s="13">
        <v>660082.6</v>
      </c>
      <c r="D111" s="15">
        <v>16109745.470000001</v>
      </c>
      <c r="E111" s="22">
        <f>TuitionRates3[[#This Row],[Tuition]]/D111</f>
        <v>4.0974117265181097E-2</v>
      </c>
      <c r="F111"/>
      <c r="H111" s="18">
        <v>4.6999999999999903E-2</v>
      </c>
      <c r="I111" t="str" cm="1">
        <f t="array" ref="I111">_xlfn.TEXTJOIN(",",TRUE,(_xlfn._xlws.FILTER($A$2:$A$501,($D$2:$D$501&gt;=J$7)*($D$2:$D$501&lt;I$7)*($E$2:$E$501&gt;=$H112)*($E$2:$E$501&lt;$H111)," ")))</f>
        <v xml:space="preserve"> </v>
      </c>
      <c r="J111" t="str" cm="1">
        <f t="array" ref="J111">_xlfn.TEXTJOIN(",",TRUE,(_xlfn._xlws.FILTER($A$2:$A$501,($D$2:$D$501&gt;=K$7)*($D$2:$D$501&lt;J$7)*($E$2:$E$501&gt;=$H112)*($E$2:$E$501&lt;$H111)," ")))</f>
        <v xml:space="preserve"> </v>
      </c>
      <c r="K111" t="str" cm="1">
        <f t="array" ref="K111">_xlfn.TEXTJOIN(",",TRUE,(_xlfn._xlws.FILTER($A$2:$A$501,($D$2:$D$501&gt;=L$7)*($D$2:$D$501&lt;K$7)*($E$2:$E$501&gt;=$H112)*($E$2:$E$501&lt;$H111)," ")))</f>
        <v xml:space="preserve"> </v>
      </c>
      <c r="L111" t="str" cm="1">
        <f t="array" ref="L111">_xlfn.TEXTJOIN(",",TRUE,(_xlfn._xlws.FILTER($A$2:$A$501,($D$2:$D$501&gt;=M$7)*($D$2:$D$501&lt;L$7)*($E$2:$E$501&gt;=$H112)*($E$2:$E$501&lt;$H111)," ")))</f>
        <v xml:space="preserve"> </v>
      </c>
      <c r="M111" t="str" cm="1">
        <f t="array" ref="M111">_xlfn.TEXTJOIN(",",TRUE,(_xlfn._xlws.FILTER($A$2:$A$501,($D$2:$D$501&gt;=N$7)*($D$2:$D$501&lt;M$7)*($E$2:$E$501&gt;=$H112)*($E$2:$E$501&lt;$H111)," ")))</f>
        <v xml:space="preserve"> </v>
      </c>
      <c r="N111" t="str" cm="1">
        <f t="array" ref="N111">_xlfn.TEXTJOIN(",",TRUE,(_xlfn._xlws.FILTER($A$2:$A$501,($D$2:$D$501&gt;=O$7)*($D$2:$D$501&lt;N$7)*($E$2:$E$501&gt;=$H112)*($E$2:$E$501&lt;$H111)," ")))</f>
        <v xml:space="preserve"> </v>
      </c>
      <c r="O111" t="str" cm="1">
        <f t="array" ref="O111">_xlfn.TEXTJOIN(",",TRUE,(_xlfn._xlws.FILTER($A$2:$A$501,($D$2:$D$501&gt;=P$7)*($D$2:$D$501&lt;O$7)*($E$2:$E$501&gt;=$H112)*($E$2:$E$501&lt;$H111)," ")))</f>
        <v xml:space="preserve"> </v>
      </c>
      <c r="P111" t="str" cm="1">
        <f t="array" ref="P111">_xlfn.TEXTJOIN(",",TRUE,(_xlfn._xlws.FILTER($A$2:$A$501,($D$2:$D$501&gt;=Q$7)*($D$2:$D$501&lt;P$7)*($E$2:$E$501&gt;=$H112)*($E$2:$E$501&lt;$H111)," ")))</f>
        <v xml:space="preserve"> </v>
      </c>
      <c r="Q111" t="str" cm="1">
        <f t="array" ref="Q111">_xlfn.TEXTJOIN(",",TRUE,(_xlfn._xlws.FILTER($A$2:$A$501,($D$2:$D$501&gt;=R$7)*($D$2:$D$501&lt;Q$7)*($E$2:$E$501&gt;=$H112)*($E$2:$E$501&lt;$H111)," ")))</f>
        <v xml:space="preserve"> </v>
      </c>
      <c r="R111" t="str" cm="1">
        <f t="array" ref="R111">_xlfn.TEXTJOIN(",",TRUE,(_xlfn._xlws.FILTER($A$2:$A$501,($D$2:$D$501&gt;=S$7)*($D$2:$D$501&lt;R$7)*($E$2:$E$501&gt;=$H112)*($E$2:$E$501&lt;$H111)," ")))</f>
        <v xml:space="preserve"> </v>
      </c>
      <c r="S111" t="str" cm="1">
        <f t="array" ref="S111">_xlfn.TEXTJOIN(",",TRUE,(_xlfn._xlws.FILTER($A$2:$A$501,($D$2:$D$501&gt;=T$7)*($D$2:$D$501&lt;S$7)*($E$2:$E$501&gt;=$H112)*($E$2:$E$501&lt;$H111)," ")))</f>
        <v xml:space="preserve"> </v>
      </c>
      <c r="T111" t="str" cm="1">
        <f t="array" ref="T111">_xlfn.TEXTJOIN(",",TRUE,(_xlfn._xlws.FILTER($A$2:$A$501,($D$2:$D$501&gt;=U$7)*($D$2:$D$501&lt;T$7)*($E$2:$E$501&gt;=$H112)*($E$2:$E$501&lt;$H111)," ")))</f>
        <v xml:space="preserve"> </v>
      </c>
      <c r="U111" t="str" cm="1">
        <f t="array" ref="U111">_xlfn.TEXTJOIN(",",TRUE,(_xlfn._xlws.FILTER($A$2:$A$501,($D$2:$D$501&gt;=V$7)*($D$2:$D$501&lt;U$7)*($E$2:$E$501&gt;=$H112)*($E$2:$E$501&lt;$H111)," ")))</f>
        <v xml:space="preserve"> </v>
      </c>
      <c r="V111" t="str" cm="1">
        <f t="array" ref="V111">_xlfn.TEXTJOIN(",",TRUE,(_xlfn._xlws.FILTER($A$2:$A$501,($D$2:$D$501&gt;=W$7)*($D$2:$D$501&lt;V$7)*($E$2:$E$501&gt;=$H112)*($E$2:$E$501&lt;$H111)," ")))</f>
        <v xml:space="preserve"> </v>
      </c>
      <c r="W111" t="str" cm="1">
        <f t="array" ref="W111">_xlfn.TEXTJOIN(",",TRUE,(_xlfn._xlws.FILTER($A$2:$A$501,($D$2:$D$501&gt;=X$7)*($D$2:$D$501&lt;W$7)*($E$2:$E$501&gt;=$H112)*($E$2:$E$501&lt;$H111)," ")))</f>
        <v xml:space="preserve"> </v>
      </c>
      <c r="X111" t="str" cm="1">
        <f t="array" ref="X111">_xlfn.TEXTJOIN(",",TRUE,(_xlfn._xlws.FILTER($A$2:$A$501,($D$2:$D$501&gt;=Y$7)*($D$2:$D$501&lt;X$7)*($E$2:$E$501&gt;=$H112)*($E$2:$E$501&lt;$H111)," ")))</f>
        <v xml:space="preserve"> </v>
      </c>
      <c r="Y111" t="str" cm="1">
        <f t="array" ref="Y111">_xlfn.TEXTJOIN(",",TRUE,(_xlfn._xlws.FILTER($A$2:$A$501,($D$2:$D$501&gt;=Z$7)*($D$2:$D$501&lt;Y$7)*($E$2:$E$501&gt;=$H112)*($E$2:$E$501&lt;$H111)," ")))</f>
        <v xml:space="preserve"> </v>
      </c>
      <c r="Z111" t="str" cm="1">
        <f t="array" ref="Z111">_xlfn.TEXTJOIN(",",TRUE,(_xlfn._xlws.FILTER($A$2:$A$501,($D$2:$D$501&gt;=AA$7)*($D$2:$D$501&lt;Z$7)*($E$2:$E$501&gt;=$H112)*($E$2:$E$501&lt;$H111)," ")))</f>
        <v>Eastern York SD</v>
      </c>
      <c r="AA111" t="str" cm="1">
        <f t="array" ref="AA111">_xlfn.TEXTJOIN(",",TRUE,(_xlfn._xlws.FILTER($A$2:$A$501,($D$2:$D$501&gt;=AB$7)*($D$2:$D$501&lt;AA$7)*($E$2:$E$501&gt;=$H112)*($E$2:$E$501&lt;$H111)," ")))</f>
        <v>Northern Lebanon SD,Midd-West SD</v>
      </c>
      <c r="AB111" t="str" cm="1">
        <f t="array" ref="AB111">_xlfn.TEXTJOIN(",",TRUE,(_xlfn._xlws.FILTER($A$2:$A$501,($D$2:$D$501&gt;=AC$7)*($D$2:$D$501&lt;AB$7)*($E$2:$E$501&gt;=$H112)*($E$2:$E$501&lt;$H111)," ")))</f>
        <v xml:space="preserve"> </v>
      </c>
      <c r="AC111" t="str" cm="1">
        <f t="array" ref="AC111">_xlfn.TEXTJOIN(",",TRUE,(_xlfn._xlws.FILTER($A$2:$A$501,($D$2:$D$501&gt;=AD$7)*($D$2:$D$501&lt;AC$7)*($E$2:$E$501&gt;=$H112)*($E$2:$E$501&lt;$H111)," ")))</f>
        <v>Frazier SD</v>
      </c>
      <c r="AD111" t="str" cm="1">
        <f t="array" ref="AD111">_xlfn.TEXTJOIN(",",TRUE,(_xlfn._xlws.FILTER($A$2:$A$501,($D$2:$D$501&gt;=AE$7)*($D$2:$D$501&lt;AD$7)*($E$2:$E$501&gt;=$H112)*($E$2:$E$501&lt;$H111)," ")))</f>
        <v>Cameron County SD</v>
      </c>
      <c r="AE111" t="str" cm="1">
        <f t="array" ref="AE111">_xlfn.TEXTJOIN(",",TRUE,(_xlfn._xlws.FILTER($A$2:$A$501,($D$2:$D$501&gt;=AF$7)*($D$2:$D$501&lt;AE$7)*($E$2:$E$501&gt;=$H112)*($E$2:$E$501&lt;$H111)," ")))</f>
        <v xml:space="preserve"> </v>
      </c>
      <c r="AF111" t="str" cm="1">
        <f t="array" ref="AF111">_xlfn.TEXTJOIN(",",TRUE,(_xlfn._xlws.FILTER($A$2:$A$501,($D$2:$D$501&gt;=AG$7)*($D$2:$D$501&lt;AF$7)*($E$2:$E$501&gt;=$H112)*($E$2:$E$501&lt;$H111)," ")))</f>
        <v xml:space="preserve"> </v>
      </c>
      <c r="AG111" t="str" cm="1">
        <f t="array" ref="AG111">_xlfn.TEXTJOIN(",",TRUE,(_xlfn._xlws.FILTER($A$2:$A$501,($D$2:$D$501&gt;=AH$7)*($D$2:$D$501&lt;AG$7)*($E$2:$E$501&gt;=$H112)*($E$2:$E$501&lt;$H111)," ")))</f>
        <v xml:space="preserve"> </v>
      </c>
      <c r="AH111" t="str" cm="1">
        <f t="array" ref="AH111">_xlfn.TEXTJOIN(",",TRUE,(_xlfn._xlws.FILTER($A$2:$A$501,($D$2:$D$501&gt;=AI$7)*($D$2:$D$501&lt;AH$7)*($E$2:$E$501&gt;=$H112)*($E$2:$E$501&lt;$H111)," ")))</f>
        <v xml:space="preserve"> </v>
      </c>
      <c r="AI111" t="str" cm="1">
        <f t="array" ref="AI111">_xlfn.TEXTJOIN(",",TRUE,(_xlfn._xlws.FILTER($A$2:$A$501,($D$2:$D$501&gt;=AJ$7)*($D$2:$D$501&lt;AI$7)*($E$2:$E$501&gt;=$H112)*($E$2:$E$501&lt;$H111)," ")))</f>
        <v xml:space="preserve"> </v>
      </c>
      <c r="AJ111" t="str" cm="1">
        <f t="array" ref="AJ111">_xlfn.TEXTJOIN(",",TRUE,(_xlfn._xlws.FILTER($A$2:$A$501,($D$2:$D$501&gt;=AK$7)*($D$2:$D$501&lt;AJ$7)*($E$2:$E$501&gt;=$H112)*($E$2:$E$501&lt;$H111)," ")))</f>
        <v xml:space="preserve"> </v>
      </c>
      <c r="AK111" t="str" cm="1">
        <f t="array" ref="AK111">_xlfn.TEXTJOIN(",",TRUE,(_xlfn._xlws.FILTER($A$2:$A$501,($D$2:$D$501&gt;=AL$7)*($D$2:$D$501&lt;AK$7)*($E$2:$E$501&gt;=$H112)*($E$2:$E$501&lt;$H111)," ")))</f>
        <v xml:space="preserve"> </v>
      </c>
      <c r="AL111" t="str" cm="1">
        <f t="array" ref="AL111">_xlfn.TEXTJOIN(",",TRUE,(_xlfn._xlws.FILTER($A$2:$A$501,($D$2:$D$501&gt;=AM$7)*($D$2:$D$501&lt;AL$7)*($E$2:$E$501&gt;=$H112)*($E$2:$E$501&lt;$H111)," ")))</f>
        <v xml:space="preserve"> </v>
      </c>
      <c r="AM111" t="str" cm="1">
        <f t="array" ref="AM111">_xlfn.TEXTJOIN(",",TRUE,(_xlfn._xlws.FILTER($A$2:$A$501,($D$2:$D$501&gt;=AN$7)*($D$2:$D$501&lt;AM$7)*($E$2:$E$501&gt;=$H112)*($E$2:$E$501&lt;$H111)," ")))</f>
        <v xml:space="preserve"> </v>
      </c>
      <c r="AN111" t="str" cm="1">
        <f t="array" ref="AN111">_xlfn.TEXTJOIN(",",TRUE,(_xlfn._xlws.FILTER($A$2:$A$501,($D$2:$D$501&gt;=AO$7)*($D$2:$D$501&lt;AN$7)*($E$2:$E$501&gt;=$H112)*($E$2:$E$501&lt;$H111)," ")))</f>
        <v xml:space="preserve"> </v>
      </c>
      <c r="AO111" t="str" cm="1">
        <f t="array" ref="AO111">_xlfn.TEXTJOIN(",",TRUE,(_xlfn._xlws.FILTER($A$2:$A$501,($D$2:$D$501&gt;=AP$7)*($D$2:$D$501&lt;AO$7)*($E$2:$E$501&gt;=$H112)*($E$2:$E$501&lt;$H111)," ")))</f>
        <v xml:space="preserve"> </v>
      </c>
      <c r="AP111" t="str" cm="1">
        <f t="array" ref="AP111">_xlfn.TEXTJOIN(",",TRUE,(_xlfn._xlws.FILTER($A$2:$A$501,($D$2:$D$501&gt;=AQ$7)*($D$2:$D$501&lt;AP$7)*($E$2:$E$501&gt;=$H112)*($E$2:$E$501&lt;$H111)," ")))</f>
        <v xml:space="preserve"> </v>
      </c>
      <c r="AQ111" t="str" cm="1">
        <f t="array" ref="AQ111">_xlfn.TEXTJOIN(",",TRUE,(_xlfn._xlws.FILTER($A$2:$A$501,($D$2:$D$501&gt;=AR$7)*($D$2:$D$501&lt;AQ$7)*($E$2:$E$501&gt;=$H112)*($E$2:$E$501&lt;$H111)," ")))</f>
        <v xml:space="preserve"> </v>
      </c>
      <c r="AR111" t="str" cm="1">
        <f t="array" ref="AR111">_xlfn.TEXTJOIN(",",TRUE,(_xlfn._xlws.FILTER($A$2:$A$501,($D$2:$D$501&gt;=AS$7)*($D$2:$D$501&lt;AR$7)*($E$2:$E$501&gt;=$H112)*($E$2:$E$501&lt;$H111)," ")))</f>
        <v xml:space="preserve"> </v>
      </c>
      <c r="AS111" t="str" cm="1">
        <f t="array" ref="AS111">_xlfn.TEXTJOIN(",",TRUE,(_xlfn._xlws.FILTER($A$2:$A$501,($D$2:$D$501&gt;=AT$7)*($D$2:$D$501&lt;AS$7)*($E$2:$E$501&gt;=$H112)*($E$2:$E$501&lt;$H111)," ")))</f>
        <v xml:space="preserve"> </v>
      </c>
      <c r="AT111" t="str" cm="1">
        <f t="array" ref="AT111">_xlfn.TEXTJOIN(",",TRUE,(_xlfn._xlws.FILTER($A$2:$A$501,($D$2:$D$501&gt;=AU$7)*($D$2:$D$501&lt;AT$7)*($E$2:$E$501&gt;=$H112)*($E$2:$E$501&lt;$H111)," ")))</f>
        <v xml:space="preserve"> </v>
      </c>
      <c r="AU111" t="str" cm="1">
        <f t="array" ref="AU111">_xlfn.TEXTJOIN(",",TRUE,(_xlfn._xlws.FILTER($A$2:$A$501,($D$2:$D$501&gt;=AV$7)*($D$2:$D$501&lt;AU$7)*($E$2:$E$501&gt;=$H112)*($E$2:$E$501&lt;$H111)," ")))</f>
        <v xml:space="preserve"> </v>
      </c>
      <c r="AV111" t="str" cm="1">
        <f t="array" ref="AV111">_xlfn.TEXTJOIN(",",TRUE,(_xlfn._xlws.FILTER($A$2:$A$501,($D$2:$D$501&gt;=AW$7)*($D$2:$D$501&lt;AV$7)*($E$2:$E$501&gt;=$H112)*($E$2:$E$501&lt;$H111)," ")))</f>
        <v xml:space="preserve"> </v>
      </c>
      <c r="AW111" t="str" cm="1">
        <f t="array" ref="AW111">_xlfn.TEXTJOIN(",",TRUE,(_xlfn._xlws.FILTER($A$2:$A$501,($D$2:$D$501&gt;=AX$7)*($D$2:$D$501&lt;AW$7)*($E$2:$E$501&gt;=$H112)*($E$2:$E$501&lt;$H111)," ")))</f>
        <v xml:space="preserve"> </v>
      </c>
      <c r="AX111" t="str" cm="1">
        <f t="array" ref="AX111">_xlfn.TEXTJOIN(",",TRUE,(_xlfn._xlws.FILTER($A$2:$A$501,($D$2:$D$501&gt;=AY$7)*($D$2:$D$501&lt;AX$7)*($E$2:$E$501&gt;=$H112)*($E$2:$E$501&lt;$H111)," ")))</f>
        <v xml:space="preserve"> </v>
      </c>
      <c r="AY111" t="str" cm="1">
        <f t="array" ref="AY111">_xlfn.TEXTJOIN(",",TRUE,(_xlfn._xlws.FILTER($A$2:$A$501,($D$2:$D$501&gt;=AZ$7)*($D$2:$D$501&lt;AY$7)*($E$2:$E$501&gt;=$H112)*($E$2:$E$501&lt;$H111)," ")))</f>
        <v xml:space="preserve"> </v>
      </c>
      <c r="AZ111" t="str" cm="1">
        <f t="array" ref="AZ111">_xlfn.TEXTJOIN(",",TRUE,(_xlfn._xlws.FILTER($A$2:$A$501,($D$2:$D$501&gt;=BA$7)*($D$2:$D$501&lt;AZ$7)*($E$2:$E$501&gt;=$H112)*($E$2:$E$501&lt;$H111)," ")))</f>
        <v xml:space="preserve"> </v>
      </c>
      <c r="BA111" t="str" cm="1">
        <f t="array" ref="BA111">_xlfn.TEXTJOIN(",",TRUE,(_xlfn._xlws.FILTER($A$2:$A$501,($D$2:$D$501&gt;=BB$7)*($D$2:$D$501&lt;BA$7)*($E$2:$E$501&gt;=$H112)*($E$2:$E$501&lt;$H111)," ")))</f>
        <v xml:space="preserve"> </v>
      </c>
      <c r="BB111" t="str" cm="1">
        <f t="array" ref="BB111">_xlfn.TEXTJOIN(",",TRUE,(_xlfn._xlws.FILTER($A$2:$A$501,($D$2:$D$501&gt;=BC$7)*($D$2:$D$501&lt;BB$7)*($E$2:$E$501&gt;=$H112)*($E$2:$E$501&lt;$H111)," ")))</f>
        <v xml:space="preserve"> </v>
      </c>
    </row>
    <row r="112" spans="1:54" x14ac:dyDescent="0.2">
      <c r="A112" s="3" t="s">
        <v>472</v>
      </c>
      <c r="B112" s="3" t="s">
        <v>463</v>
      </c>
      <c r="C112" s="13">
        <v>1610614.65</v>
      </c>
      <c r="D112" s="15">
        <v>39370511.68</v>
      </c>
      <c r="E112" s="22">
        <f>TuitionRates3[[#This Row],[Tuition]]/D112</f>
        <v>4.0909162245360994E-2</v>
      </c>
      <c r="F112"/>
      <c r="H112" s="18">
        <v>4.5999999999999999E-2</v>
      </c>
      <c r="I112" t="str" cm="1">
        <f t="array" ref="I112">_xlfn.TEXTJOIN(",",TRUE,(_xlfn._xlws.FILTER($A$2:$A$501,($D$2:$D$501&gt;=J$7)*($D$2:$D$501&lt;I$7)*($E$2:$E$501&gt;=$H113)*($E$2:$E$501&lt;$H112)," ")))</f>
        <v xml:space="preserve"> </v>
      </c>
      <c r="J112" t="str" cm="1">
        <f t="array" ref="J112">_xlfn.TEXTJOIN(",",TRUE,(_xlfn._xlws.FILTER($A$2:$A$501,($D$2:$D$501&gt;=K$7)*($D$2:$D$501&lt;J$7)*($E$2:$E$501&gt;=$H113)*($E$2:$E$501&lt;$H112)," ")))</f>
        <v xml:space="preserve"> </v>
      </c>
      <c r="K112" t="str" cm="1">
        <f t="array" ref="K112">_xlfn.TEXTJOIN(",",TRUE,(_xlfn._xlws.FILTER($A$2:$A$501,($D$2:$D$501&gt;=L$7)*($D$2:$D$501&lt;K$7)*($E$2:$E$501&gt;=$H113)*($E$2:$E$501&lt;$H112)," ")))</f>
        <v xml:space="preserve"> </v>
      </c>
      <c r="L112" t="str" cm="1">
        <f t="array" ref="L112">_xlfn.TEXTJOIN(",",TRUE,(_xlfn._xlws.FILTER($A$2:$A$501,($D$2:$D$501&gt;=M$7)*($D$2:$D$501&lt;L$7)*($E$2:$E$501&gt;=$H113)*($E$2:$E$501&lt;$H112)," ")))</f>
        <v xml:space="preserve"> </v>
      </c>
      <c r="M112" t="str" cm="1">
        <f t="array" ref="M112">_xlfn.TEXTJOIN(",",TRUE,(_xlfn._xlws.FILTER($A$2:$A$501,($D$2:$D$501&gt;=N$7)*($D$2:$D$501&lt;M$7)*($E$2:$E$501&gt;=$H113)*($E$2:$E$501&lt;$H112)," ")))</f>
        <v xml:space="preserve"> </v>
      </c>
      <c r="N112" t="str" cm="1">
        <f t="array" ref="N112">_xlfn.TEXTJOIN(",",TRUE,(_xlfn._xlws.FILTER($A$2:$A$501,($D$2:$D$501&gt;=O$7)*($D$2:$D$501&lt;N$7)*($E$2:$E$501&gt;=$H113)*($E$2:$E$501&lt;$H112)," ")))</f>
        <v xml:space="preserve"> </v>
      </c>
      <c r="O112" t="str" cm="1">
        <f t="array" ref="O112">_xlfn.TEXTJOIN(",",TRUE,(_xlfn._xlws.FILTER($A$2:$A$501,($D$2:$D$501&gt;=P$7)*($D$2:$D$501&lt;O$7)*($E$2:$E$501&gt;=$H113)*($E$2:$E$501&lt;$H112)," ")))</f>
        <v xml:space="preserve"> </v>
      </c>
      <c r="P112" t="str" cm="1">
        <f t="array" ref="P112">_xlfn.TEXTJOIN(",",TRUE,(_xlfn._xlws.FILTER($A$2:$A$501,($D$2:$D$501&gt;=Q$7)*($D$2:$D$501&lt;P$7)*($E$2:$E$501&gt;=$H113)*($E$2:$E$501&lt;$H112)," ")))</f>
        <v xml:space="preserve"> </v>
      </c>
      <c r="Q112" t="str" cm="1">
        <f t="array" ref="Q112">_xlfn.TEXTJOIN(",",TRUE,(_xlfn._xlws.FILTER($A$2:$A$501,($D$2:$D$501&gt;=R$7)*($D$2:$D$501&lt;Q$7)*($E$2:$E$501&gt;=$H113)*($E$2:$E$501&lt;$H112)," ")))</f>
        <v xml:space="preserve"> </v>
      </c>
      <c r="R112" t="str" cm="1">
        <f t="array" ref="R112">_xlfn.TEXTJOIN(",",TRUE,(_xlfn._xlws.FILTER($A$2:$A$501,($D$2:$D$501&gt;=S$7)*($D$2:$D$501&lt;R$7)*($E$2:$E$501&gt;=$H113)*($E$2:$E$501&lt;$H112)," ")))</f>
        <v xml:space="preserve"> </v>
      </c>
      <c r="S112" t="str" cm="1">
        <f t="array" ref="S112">_xlfn.TEXTJOIN(",",TRUE,(_xlfn._xlws.FILTER($A$2:$A$501,($D$2:$D$501&gt;=T$7)*($D$2:$D$501&lt;S$7)*($E$2:$E$501&gt;=$H113)*($E$2:$E$501&lt;$H112)," ")))</f>
        <v xml:space="preserve"> </v>
      </c>
      <c r="T112" t="str" cm="1">
        <f t="array" ref="T112">_xlfn.TEXTJOIN(",",TRUE,(_xlfn._xlws.FILTER($A$2:$A$501,($D$2:$D$501&gt;=U$7)*($D$2:$D$501&lt;T$7)*($E$2:$E$501&gt;=$H113)*($E$2:$E$501&lt;$H112)," ")))</f>
        <v xml:space="preserve"> </v>
      </c>
      <c r="U112" t="str" cm="1">
        <f t="array" ref="U112">_xlfn.TEXTJOIN(",",TRUE,(_xlfn._xlws.FILTER($A$2:$A$501,($D$2:$D$501&gt;=V$7)*($D$2:$D$501&lt;U$7)*($E$2:$E$501&gt;=$H113)*($E$2:$E$501&lt;$H112)," ")))</f>
        <v xml:space="preserve"> </v>
      </c>
      <c r="V112" t="str" cm="1">
        <f t="array" ref="V112">_xlfn.TEXTJOIN(",",TRUE,(_xlfn._xlws.FILTER($A$2:$A$501,($D$2:$D$501&gt;=W$7)*($D$2:$D$501&lt;V$7)*($E$2:$E$501&gt;=$H113)*($E$2:$E$501&lt;$H112)," ")))</f>
        <v xml:space="preserve"> </v>
      </c>
      <c r="W112" t="str" cm="1">
        <f t="array" ref="W112">_xlfn.TEXTJOIN(",",TRUE,(_xlfn._xlws.FILTER($A$2:$A$501,($D$2:$D$501&gt;=X$7)*($D$2:$D$501&lt;W$7)*($E$2:$E$501&gt;=$H113)*($E$2:$E$501&lt;$H112)," ")))</f>
        <v>Wyoming Valley West SD,Pottstown SD</v>
      </c>
      <c r="X112" t="str" cm="1">
        <f t="array" ref="X112">_xlfn.TEXTJOIN(",",TRUE,(_xlfn._xlws.FILTER($A$2:$A$501,($D$2:$D$501&gt;=Y$7)*($D$2:$D$501&lt;X$7)*($E$2:$E$501&gt;=$H113)*($E$2:$E$501&lt;$H112)," ")))</f>
        <v xml:space="preserve"> </v>
      </c>
      <c r="Y112" t="str" cm="1">
        <f t="array" ref="Y112">_xlfn.TEXTJOIN(",",TRUE,(_xlfn._xlws.FILTER($A$2:$A$501,($D$2:$D$501&gt;=Z$7)*($D$2:$D$501&lt;Y$7)*($E$2:$E$501&gt;=$H113)*($E$2:$E$501&lt;$H112)," ")))</f>
        <v xml:space="preserve"> </v>
      </c>
      <c r="Z112" t="str" cm="1">
        <f t="array" ref="Z112">_xlfn.TEXTJOIN(",",TRUE,(_xlfn._xlws.FILTER($A$2:$A$501,($D$2:$D$501&gt;=AA$7)*($D$2:$D$501&lt;Z$7)*($E$2:$E$501&gt;=$H113)*($E$2:$E$501&lt;$H112)," ")))</f>
        <v>Bangor Area SD,Middletown Area SD</v>
      </c>
      <c r="AA112" t="str" cm="1">
        <f t="array" ref="AA112">_xlfn.TEXTJOIN(",",TRUE,(_xlfn._xlws.FILTER($A$2:$A$501,($D$2:$D$501&gt;=AB$7)*($D$2:$D$501&lt;AA$7)*($E$2:$E$501&gt;=$H113)*($E$2:$E$501&lt;$H112)," ")))</f>
        <v xml:space="preserve"> </v>
      </c>
      <c r="AB112" t="str" cm="1">
        <f t="array" ref="AB112">_xlfn.TEXTJOIN(",",TRUE,(_xlfn._xlws.FILTER($A$2:$A$501,($D$2:$D$501&gt;=AC$7)*($D$2:$D$501&lt;AB$7)*($E$2:$E$501&gt;=$H113)*($E$2:$E$501&lt;$H112)," ")))</f>
        <v>Mid Valley SD</v>
      </c>
      <c r="AC112" t="str" cm="1">
        <f t="array" ref="AC112">_xlfn.TEXTJOIN(",",TRUE,(_xlfn._xlws.FILTER($A$2:$A$501,($D$2:$D$501&gt;=AD$7)*($D$2:$D$501&lt;AC$7)*($E$2:$E$501&gt;=$H113)*($E$2:$E$501&lt;$H112)," ")))</f>
        <v xml:space="preserve"> </v>
      </c>
      <c r="AD112" t="str" cm="1">
        <f t="array" ref="AD112">_xlfn.TEXTJOIN(",",TRUE,(_xlfn._xlws.FILTER($A$2:$A$501,($D$2:$D$501&gt;=AE$7)*($D$2:$D$501&lt;AD$7)*($E$2:$E$501&gt;=$H113)*($E$2:$E$501&lt;$H112)," ")))</f>
        <v xml:space="preserve"> </v>
      </c>
      <c r="AE112" t="str" cm="1">
        <f t="array" ref="AE112">_xlfn.TEXTJOIN(",",TRUE,(_xlfn._xlws.FILTER($A$2:$A$501,($D$2:$D$501&gt;=AF$7)*($D$2:$D$501&lt;AE$7)*($E$2:$E$501&gt;=$H113)*($E$2:$E$501&lt;$H112)," ")))</f>
        <v xml:space="preserve"> </v>
      </c>
      <c r="AF112" t="str" cm="1">
        <f t="array" ref="AF112">_xlfn.TEXTJOIN(",",TRUE,(_xlfn._xlws.FILTER($A$2:$A$501,($D$2:$D$501&gt;=AG$7)*($D$2:$D$501&lt;AF$7)*($E$2:$E$501&gt;=$H113)*($E$2:$E$501&lt;$H112)," ")))</f>
        <v xml:space="preserve"> </v>
      </c>
      <c r="AG112" t="str" cm="1">
        <f t="array" ref="AG112">_xlfn.TEXTJOIN(",",TRUE,(_xlfn._xlws.FILTER($A$2:$A$501,($D$2:$D$501&gt;=AH$7)*($D$2:$D$501&lt;AG$7)*($E$2:$E$501&gt;=$H113)*($E$2:$E$501&lt;$H112)," ")))</f>
        <v xml:space="preserve"> </v>
      </c>
      <c r="AH112" t="str" cm="1">
        <f t="array" ref="AH112">_xlfn.TEXTJOIN(",",TRUE,(_xlfn._xlws.FILTER($A$2:$A$501,($D$2:$D$501&gt;=AI$7)*($D$2:$D$501&lt;AH$7)*($E$2:$E$501&gt;=$H113)*($E$2:$E$501&lt;$H112)," ")))</f>
        <v xml:space="preserve"> </v>
      </c>
      <c r="AI112" t="str" cm="1">
        <f t="array" ref="AI112">_xlfn.TEXTJOIN(",",TRUE,(_xlfn._xlws.FILTER($A$2:$A$501,($D$2:$D$501&gt;=AJ$7)*($D$2:$D$501&lt;AI$7)*($E$2:$E$501&gt;=$H113)*($E$2:$E$501&lt;$H112)," ")))</f>
        <v xml:space="preserve"> </v>
      </c>
      <c r="AJ112" t="str" cm="1">
        <f t="array" ref="AJ112">_xlfn.TEXTJOIN(",",TRUE,(_xlfn._xlws.FILTER($A$2:$A$501,($D$2:$D$501&gt;=AK$7)*($D$2:$D$501&lt;AJ$7)*($E$2:$E$501&gt;=$H113)*($E$2:$E$501&lt;$H112)," ")))</f>
        <v xml:space="preserve"> </v>
      </c>
      <c r="AK112" t="str" cm="1">
        <f t="array" ref="AK112">_xlfn.TEXTJOIN(",",TRUE,(_xlfn._xlws.FILTER($A$2:$A$501,($D$2:$D$501&gt;=AL$7)*($D$2:$D$501&lt;AK$7)*($E$2:$E$501&gt;=$H113)*($E$2:$E$501&lt;$H112)," ")))</f>
        <v xml:space="preserve"> </v>
      </c>
      <c r="AL112" t="str" cm="1">
        <f t="array" ref="AL112">_xlfn.TEXTJOIN(",",TRUE,(_xlfn._xlws.FILTER($A$2:$A$501,($D$2:$D$501&gt;=AM$7)*($D$2:$D$501&lt;AL$7)*($E$2:$E$501&gt;=$H113)*($E$2:$E$501&lt;$H112)," ")))</f>
        <v xml:space="preserve"> </v>
      </c>
      <c r="AM112" t="str" cm="1">
        <f t="array" ref="AM112">_xlfn.TEXTJOIN(",",TRUE,(_xlfn._xlws.FILTER($A$2:$A$501,($D$2:$D$501&gt;=AN$7)*($D$2:$D$501&lt;AM$7)*($E$2:$E$501&gt;=$H113)*($E$2:$E$501&lt;$H112)," ")))</f>
        <v xml:space="preserve"> </v>
      </c>
      <c r="AN112" t="str" cm="1">
        <f t="array" ref="AN112">_xlfn.TEXTJOIN(",",TRUE,(_xlfn._xlws.FILTER($A$2:$A$501,($D$2:$D$501&gt;=AO$7)*($D$2:$D$501&lt;AN$7)*($E$2:$E$501&gt;=$H113)*($E$2:$E$501&lt;$H112)," ")))</f>
        <v xml:space="preserve"> </v>
      </c>
      <c r="AO112" t="str" cm="1">
        <f t="array" ref="AO112">_xlfn.TEXTJOIN(",",TRUE,(_xlfn._xlws.FILTER($A$2:$A$501,($D$2:$D$501&gt;=AP$7)*($D$2:$D$501&lt;AO$7)*($E$2:$E$501&gt;=$H113)*($E$2:$E$501&lt;$H112)," ")))</f>
        <v xml:space="preserve"> </v>
      </c>
      <c r="AP112" t="str" cm="1">
        <f t="array" ref="AP112">_xlfn.TEXTJOIN(",",TRUE,(_xlfn._xlws.FILTER($A$2:$A$501,($D$2:$D$501&gt;=AQ$7)*($D$2:$D$501&lt;AP$7)*($E$2:$E$501&gt;=$H113)*($E$2:$E$501&lt;$H112)," ")))</f>
        <v xml:space="preserve"> </v>
      </c>
      <c r="AQ112" t="str" cm="1">
        <f t="array" ref="AQ112">_xlfn.TEXTJOIN(",",TRUE,(_xlfn._xlws.FILTER($A$2:$A$501,($D$2:$D$501&gt;=AR$7)*($D$2:$D$501&lt;AQ$7)*($E$2:$E$501&gt;=$H113)*($E$2:$E$501&lt;$H112)," ")))</f>
        <v xml:space="preserve"> </v>
      </c>
      <c r="AR112" t="str" cm="1">
        <f t="array" ref="AR112">_xlfn.TEXTJOIN(",",TRUE,(_xlfn._xlws.FILTER($A$2:$A$501,($D$2:$D$501&gt;=AS$7)*($D$2:$D$501&lt;AR$7)*($E$2:$E$501&gt;=$H113)*($E$2:$E$501&lt;$H112)," ")))</f>
        <v xml:space="preserve"> </v>
      </c>
      <c r="AS112" t="str" cm="1">
        <f t="array" ref="AS112">_xlfn.TEXTJOIN(",",TRUE,(_xlfn._xlws.FILTER($A$2:$A$501,($D$2:$D$501&gt;=AT$7)*($D$2:$D$501&lt;AS$7)*($E$2:$E$501&gt;=$H113)*($E$2:$E$501&lt;$H112)," ")))</f>
        <v xml:space="preserve"> </v>
      </c>
      <c r="AT112" t="str" cm="1">
        <f t="array" ref="AT112">_xlfn.TEXTJOIN(",",TRUE,(_xlfn._xlws.FILTER($A$2:$A$501,($D$2:$D$501&gt;=AU$7)*($D$2:$D$501&lt;AT$7)*($E$2:$E$501&gt;=$H113)*($E$2:$E$501&lt;$H112)," ")))</f>
        <v xml:space="preserve"> </v>
      </c>
      <c r="AU112" t="str" cm="1">
        <f t="array" ref="AU112">_xlfn.TEXTJOIN(",",TRUE,(_xlfn._xlws.FILTER($A$2:$A$501,($D$2:$D$501&gt;=AV$7)*($D$2:$D$501&lt;AU$7)*($E$2:$E$501&gt;=$H113)*($E$2:$E$501&lt;$H112)," ")))</f>
        <v xml:space="preserve"> </v>
      </c>
      <c r="AV112" t="str" cm="1">
        <f t="array" ref="AV112">_xlfn.TEXTJOIN(",",TRUE,(_xlfn._xlws.FILTER($A$2:$A$501,($D$2:$D$501&gt;=AW$7)*($D$2:$D$501&lt;AV$7)*($E$2:$E$501&gt;=$H113)*($E$2:$E$501&lt;$H112)," ")))</f>
        <v xml:space="preserve"> </v>
      </c>
      <c r="AW112" t="str" cm="1">
        <f t="array" ref="AW112">_xlfn.TEXTJOIN(",",TRUE,(_xlfn._xlws.FILTER($A$2:$A$501,($D$2:$D$501&gt;=AX$7)*($D$2:$D$501&lt;AW$7)*($E$2:$E$501&gt;=$H113)*($E$2:$E$501&lt;$H112)," ")))</f>
        <v xml:space="preserve"> </v>
      </c>
      <c r="AX112" t="str" cm="1">
        <f t="array" ref="AX112">_xlfn.TEXTJOIN(",",TRUE,(_xlfn._xlws.FILTER($A$2:$A$501,($D$2:$D$501&gt;=AY$7)*($D$2:$D$501&lt;AX$7)*($E$2:$E$501&gt;=$H113)*($E$2:$E$501&lt;$H112)," ")))</f>
        <v xml:space="preserve"> </v>
      </c>
      <c r="AY112" t="str" cm="1">
        <f t="array" ref="AY112">_xlfn.TEXTJOIN(",",TRUE,(_xlfn._xlws.FILTER($A$2:$A$501,($D$2:$D$501&gt;=AZ$7)*($D$2:$D$501&lt;AY$7)*($E$2:$E$501&gt;=$H113)*($E$2:$E$501&lt;$H112)," ")))</f>
        <v xml:space="preserve"> </v>
      </c>
      <c r="AZ112" t="str" cm="1">
        <f t="array" ref="AZ112">_xlfn.TEXTJOIN(",",TRUE,(_xlfn._xlws.FILTER($A$2:$A$501,($D$2:$D$501&gt;=BA$7)*($D$2:$D$501&lt;AZ$7)*($E$2:$E$501&gt;=$H113)*($E$2:$E$501&lt;$H112)," ")))</f>
        <v xml:space="preserve"> </v>
      </c>
      <c r="BA112" t="str" cm="1">
        <f t="array" ref="BA112">_xlfn.TEXTJOIN(",",TRUE,(_xlfn._xlws.FILTER($A$2:$A$501,($D$2:$D$501&gt;=BB$7)*($D$2:$D$501&lt;BA$7)*($E$2:$E$501&gt;=$H113)*($E$2:$E$501&lt;$H112)," ")))</f>
        <v xml:space="preserve"> </v>
      </c>
      <c r="BB112" t="str" cm="1">
        <f t="array" ref="BB112">_xlfn.TEXTJOIN(",",TRUE,(_xlfn._xlws.FILTER($A$2:$A$501,($D$2:$D$501&gt;=BC$7)*($D$2:$D$501&lt;BB$7)*($E$2:$E$501&gt;=$H113)*($E$2:$E$501&lt;$H112)," ")))</f>
        <v xml:space="preserve"> </v>
      </c>
    </row>
    <row r="113" spans="1:54" x14ac:dyDescent="0.2">
      <c r="A113" s="3" t="s">
        <v>462</v>
      </c>
      <c r="B113" s="3" t="s">
        <v>463</v>
      </c>
      <c r="C113" s="13">
        <v>2068575.51</v>
      </c>
      <c r="D113" s="15">
        <v>51044331.07</v>
      </c>
      <c r="E113" s="22">
        <f>TuitionRates3[[#This Row],[Tuition]]/D113</f>
        <v>4.0525078233726766E-2</v>
      </c>
      <c r="F113"/>
      <c r="H113" s="18">
        <v>4.4999999999999998E-2</v>
      </c>
      <c r="I113" t="str" cm="1">
        <f t="array" ref="I113">_xlfn.TEXTJOIN(",",TRUE,(_xlfn._xlws.FILTER($A$2:$A$501,($D$2:$D$501&gt;=J$7)*($D$2:$D$501&lt;I$7)*($E$2:$E$501&gt;=$H114)*($E$2:$E$501&lt;$H113)," ")))</f>
        <v xml:space="preserve"> </v>
      </c>
      <c r="J113" t="str" cm="1">
        <f t="array" ref="J113">_xlfn.TEXTJOIN(",",TRUE,(_xlfn._xlws.FILTER($A$2:$A$501,($D$2:$D$501&gt;=K$7)*($D$2:$D$501&lt;J$7)*($E$2:$E$501&gt;=$H114)*($E$2:$E$501&lt;$H113)," ")))</f>
        <v xml:space="preserve"> </v>
      </c>
      <c r="K113" t="str" cm="1">
        <f t="array" ref="K113">_xlfn.TEXTJOIN(",",TRUE,(_xlfn._xlws.FILTER($A$2:$A$501,($D$2:$D$501&gt;=L$7)*($D$2:$D$501&lt;K$7)*($E$2:$E$501&gt;=$H114)*($E$2:$E$501&lt;$H113)," ")))</f>
        <v xml:space="preserve"> </v>
      </c>
      <c r="L113" t="str" cm="1">
        <f t="array" ref="L113">_xlfn.TEXTJOIN(",",TRUE,(_xlfn._xlws.FILTER($A$2:$A$501,($D$2:$D$501&gt;=M$7)*($D$2:$D$501&lt;L$7)*($E$2:$E$501&gt;=$H114)*($E$2:$E$501&lt;$H113)," ")))</f>
        <v xml:space="preserve"> </v>
      </c>
      <c r="M113" t="str" cm="1">
        <f t="array" ref="M113">_xlfn.TEXTJOIN(",",TRUE,(_xlfn._xlws.FILTER($A$2:$A$501,($D$2:$D$501&gt;=N$7)*($D$2:$D$501&lt;M$7)*($E$2:$E$501&gt;=$H114)*($E$2:$E$501&lt;$H113)," ")))</f>
        <v xml:space="preserve"> </v>
      </c>
      <c r="N113" t="str" cm="1">
        <f t="array" ref="N113">_xlfn.TEXTJOIN(",",TRUE,(_xlfn._xlws.FILTER($A$2:$A$501,($D$2:$D$501&gt;=O$7)*($D$2:$D$501&lt;N$7)*($E$2:$E$501&gt;=$H114)*($E$2:$E$501&lt;$H113)," ")))</f>
        <v xml:space="preserve"> </v>
      </c>
      <c r="O113" t="str" cm="1">
        <f t="array" ref="O113">_xlfn.TEXTJOIN(",",TRUE,(_xlfn._xlws.FILTER($A$2:$A$501,($D$2:$D$501&gt;=P$7)*($D$2:$D$501&lt;O$7)*($E$2:$E$501&gt;=$H114)*($E$2:$E$501&lt;$H113)," ")))</f>
        <v xml:space="preserve"> </v>
      </c>
      <c r="P113" t="str" cm="1">
        <f t="array" ref="P113">_xlfn.TEXTJOIN(",",TRUE,(_xlfn._xlws.FILTER($A$2:$A$501,($D$2:$D$501&gt;=Q$7)*($D$2:$D$501&lt;P$7)*($E$2:$E$501&gt;=$H114)*($E$2:$E$501&lt;$H113)," ")))</f>
        <v xml:space="preserve"> </v>
      </c>
      <c r="Q113" t="str" cm="1">
        <f t="array" ref="Q113">_xlfn.TEXTJOIN(",",TRUE,(_xlfn._xlws.FILTER($A$2:$A$501,($D$2:$D$501&gt;=R$7)*($D$2:$D$501&lt;Q$7)*($E$2:$E$501&gt;=$H114)*($E$2:$E$501&lt;$H113)," ")))</f>
        <v xml:space="preserve"> </v>
      </c>
      <c r="R113" t="str" cm="1">
        <f t="array" ref="R113">_xlfn.TEXTJOIN(",",TRUE,(_xlfn._xlws.FILTER($A$2:$A$501,($D$2:$D$501&gt;=S$7)*($D$2:$D$501&lt;R$7)*($E$2:$E$501&gt;=$H114)*($E$2:$E$501&lt;$H113)," ")))</f>
        <v xml:space="preserve"> </v>
      </c>
      <c r="S113" t="str" cm="1">
        <f t="array" ref="S113">_xlfn.TEXTJOIN(",",TRUE,(_xlfn._xlws.FILTER($A$2:$A$501,($D$2:$D$501&gt;=T$7)*($D$2:$D$501&lt;S$7)*($E$2:$E$501&gt;=$H114)*($E$2:$E$501&lt;$H113)," ")))</f>
        <v xml:space="preserve"> </v>
      </c>
      <c r="T113" t="str" cm="1">
        <f t="array" ref="T113">_xlfn.TEXTJOIN(",",TRUE,(_xlfn._xlws.FILTER($A$2:$A$501,($D$2:$D$501&gt;=U$7)*($D$2:$D$501&lt;T$7)*($E$2:$E$501&gt;=$H114)*($E$2:$E$501&lt;$H113)," ")))</f>
        <v xml:space="preserve"> </v>
      </c>
      <c r="U113" t="str" cm="1">
        <f t="array" ref="U113">_xlfn.TEXTJOIN(",",TRUE,(_xlfn._xlws.FILTER($A$2:$A$501,($D$2:$D$501&gt;=V$7)*($D$2:$D$501&lt;U$7)*($E$2:$E$501&gt;=$H114)*($E$2:$E$501&lt;$H113)," ")))</f>
        <v>Woodland Hills SD</v>
      </c>
      <c r="V113" t="str" cm="1">
        <f t="array" ref="V113">_xlfn.TEXTJOIN(",",TRUE,(_xlfn._xlws.FILTER($A$2:$A$501,($D$2:$D$501&gt;=W$7)*($D$2:$D$501&lt;V$7)*($E$2:$E$501&gt;=$H114)*($E$2:$E$501&lt;$H113)," ")))</f>
        <v xml:space="preserve"> </v>
      </c>
      <c r="W113" t="str" cm="1">
        <f t="array" ref="W113">_xlfn.TEXTJOIN(",",TRUE,(_xlfn._xlws.FILTER($A$2:$A$501,($D$2:$D$501&gt;=X$7)*($D$2:$D$501&lt;W$7)*($E$2:$E$501&gt;=$H114)*($E$2:$E$501&lt;$H113)," ")))</f>
        <v>Northeastern York SD</v>
      </c>
      <c r="X113" t="str" cm="1">
        <f t="array" ref="X113">_xlfn.TEXTJOIN(",",TRUE,(_xlfn._xlws.FILTER($A$2:$A$501,($D$2:$D$501&gt;=Y$7)*($D$2:$D$501&lt;X$7)*($E$2:$E$501&gt;=$H114)*($E$2:$E$501&lt;$H113)," ")))</f>
        <v>Waynesboro Area SD</v>
      </c>
      <c r="Y113" t="str" cm="1">
        <f t="array" ref="Y113">_xlfn.TEXTJOIN(",",TRUE,(_xlfn._xlws.FILTER($A$2:$A$501,($D$2:$D$501&gt;=Z$7)*($D$2:$D$501&lt;Y$7)*($E$2:$E$501&gt;=$H114)*($E$2:$E$501&lt;$H113)," ")))</f>
        <v>Northern York County SD</v>
      </c>
      <c r="Z113" t="str" cm="1">
        <f t="array" ref="Z113">_xlfn.TEXTJOIN(",",TRUE,(_xlfn._xlws.FILTER($A$2:$A$501,($D$2:$D$501&gt;=AA$7)*($D$2:$D$501&lt;Z$7)*($E$2:$E$501&gt;=$H114)*($E$2:$E$501&lt;$H113)," ")))</f>
        <v xml:space="preserve"> </v>
      </c>
      <c r="AA113" t="str" cm="1">
        <f t="array" ref="AA113">_xlfn.TEXTJOIN(",",TRUE,(_xlfn._xlws.FILTER($A$2:$A$501,($D$2:$D$501&gt;=AB$7)*($D$2:$D$501&lt;AA$7)*($E$2:$E$501&gt;=$H114)*($E$2:$E$501&lt;$H113)," ")))</f>
        <v>Steel Valley SD</v>
      </c>
      <c r="AB113" t="str" cm="1">
        <f t="array" ref="AB113">_xlfn.TEXTJOIN(",",TRUE,(_xlfn._xlws.FILTER($A$2:$A$501,($D$2:$D$501&gt;=AC$7)*($D$2:$D$501&lt;AB$7)*($E$2:$E$501&gt;=$H114)*($E$2:$E$501&lt;$H113)," ")))</f>
        <v xml:space="preserve"> </v>
      </c>
      <c r="AC113" t="str" cm="1">
        <f t="array" ref="AC113">_xlfn.TEXTJOIN(",",TRUE,(_xlfn._xlws.FILTER($A$2:$A$501,($D$2:$D$501&gt;=AD$7)*($D$2:$D$501&lt;AC$7)*($E$2:$E$501&gt;=$H114)*($E$2:$E$501&lt;$H113)," ")))</f>
        <v xml:space="preserve"> </v>
      </c>
      <c r="AD113" t="str" cm="1">
        <f t="array" ref="AD113">_xlfn.TEXTJOIN(",",TRUE,(_xlfn._xlws.FILTER($A$2:$A$501,($D$2:$D$501&gt;=AE$7)*($D$2:$D$501&lt;AD$7)*($E$2:$E$501&gt;=$H114)*($E$2:$E$501&lt;$H113)," ")))</f>
        <v xml:space="preserve"> </v>
      </c>
      <c r="AE113" t="str" cm="1">
        <f t="array" ref="AE113">_xlfn.TEXTJOIN(",",TRUE,(_xlfn._xlws.FILTER($A$2:$A$501,($D$2:$D$501&gt;=AF$7)*($D$2:$D$501&lt;AE$7)*($E$2:$E$501&gt;=$H114)*($E$2:$E$501&lt;$H113)," ")))</f>
        <v xml:space="preserve"> </v>
      </c>
      <c r="AF113" t="str" cm="1">
        <f t="array" ref="AF113">_xlfn.TEXTJOIN(",",TRUE,(_xlfn._xlws.FILTER($A$2:$A$501,($D$2:$D$501&gt;=AG$7)*($D$2:$D$501&lt;AF$7)*($E$2:$E$501&gt;=$H114)*($E$2:$E$501&lt;$H113)," ")))</f>
        <v xml:space="preserve"> </v>
      </c>
      <c r="AG113" t="str" cm="1">
        <f t="array" ref="AG113">_xlfn.TEXTJOIN(",",TRUE,(_xlfn._xlws.FILTER($A$2:$A$501,($D$2:$D$501&gt;=AH$7)*($D$2:$D$501&lt;AG$7)*($E$2:$E$501&gt;=$H114)*($E$2:$E$501&lt;$H113)," ")))</f>
        <v xml:space="preserve"> </v>
      </c>
      <c r="AH113" t="str" cm="1">
        <f t="array" ref="AH113">_xlfn.TEXTJOIN(",",TRUE,(_xlfn._xlws.FILTER($A$2:$A$501,($D$2:$D$501&gt;=AI$7)*($D$2:$D$501&lt;AH$7)*($E$2:$E$501&gt;=$H114)*($E$2:$E$501&lt;$H113)," ")))</f>
        <v xml:space="preserve"> </v>
      </c>
      <c r="AI113" t="str" cm="1">
        <f t="array" ref="AI113">_xlfn.TEXTJOIN(",",TRUE,(_xlfn._xlws.FILTER($A$2:$A$501,($D$2:$D$501&gt;=AJ$7)*($D$2:$D$501&lt;AI$7)*($E$2:$E$501&gt;=$H114)*($E$2:$E$501&lt;$H113)," ")))</f>
        <v xml:space="preserve"> </v>
      </c>
      <c r="AJ113" t="str" cm="1">
        <f t="array" ref="AJ113">_xlfn.TEXTJOIN(",",TRUE,(_xlfn._xlws.FILTER($A$2:$A$501,($D$2:$D$501&gt;=AK$7)*($D$2:$D$501&lt;AJ$7)*($E$2:$E$501&gt;=$H114)*($E$2:$E$501&lt;$H113)," ")))</f>
        <v xml:space="preserve"> </v>
      </c>
      <c r="AK113" t="str" cm="1">
        <f t="array" ref="AK113">_xlfn.TEXTJOIN(",",TRUE,(_xlfn._xlws.FILTER($A$2:$A$501,($D$2:$D$501&gt;=AL$7)*($D$2:$D$501&lt;AK$7)*($E$2:$E$501&gt;=$H114)*($E$2:$E$501&lt;$H113)," ")))</f>
        <v xml:space="preserve"> </v>
      </c>
      <c r="AL113" t="str" cm="1">
        <f t="array" ref="AL113">_xlfn.TEXTJOIN(",",TRUE,(_xlfn._xlws.FILTER($A$2:$A$501,($D$2:$D$501&gt;=AM$7)*($D$2:$D$501&lt;AL$7)*($E$2:$E$501&gt;=$H114)*($E$2:$E$501&lt;$H113)," ")))</f>
        <v xml:space="preserve"> </v>
      </c>
      <c r="AM113" t="str" cm="1">
        <f t="array" ref="AM113">_xlfn.TEXTJOIN(",",TRUE,(_xlfn._xlws.FILTER($A$2:$A$501,($D$2:$D$501&gt;=AN$7)*($D$2:$D$501&lt;AM$7)*($E$2:$E$501&gt;=$H114)*($E$2:$E$501&lt;$H113)," ")))</f>
        <v xml:space="preserve"> </v>
      </c>
      <c r="AN113" t="str" cm="1">
        <f t="array" ref="AN113">_xlfn.TEXTJOIN(",",TRUE,(_xlfn._xlws.FILTER($A$2:$A$501,($D$2:$D$501&gt;=AO$7)*($D$2:$D$501&lt;AN$7)*($E$2:$E$501&gt;=$H114)*($E$2:$E$501&lt;$H113)," ")))</f>
        <v xml:space="preserve"> </v>
      </c>
      <c r="AO113" t="str" cm="1">
        <f t="array" ref="AO113">_xlfn.TEXTJOIN(",",TRUE,(_xlfn._xlws.FILTER($A$2:$A$501,($D$2:$D$501&gt;=AP$7)*($D$2:$D$501&lt;AO$7)*($E$2:$E$501&gt;=$H114)*($E$2:$E$501&lt;$H113)," ")))</f>
        <v xml:space="preserve"> </v>
      </c>
      <c r="AP113" t="str" cm="1">
        <f t="array" ref="AP113">_xlfn.TEXTJOIN(",",TRUE,(_xlfn._xlws.FILTER($A$2:$A$501,($D$2:$D$501&gt;=AQ$7)*($D$2:$D$501&lt;AP$7)*($E$2:$E$501&gt;=$H114)*($E$2:$E$501&lt;$H113)," ")))</f>
        <v xml:space="preserve"> </v>
      </c>
      <c r="AQ113" t="str" cm="1">
        <f t="array" ref="AQ113">_xlfn.TEXTJOIN(",",TRUE,(_xlfn._xlws.FILTER($A$2:$A$501,($D$2:$D$501&gt;=AR$7)*($D$2:$D$501&lt;AQ$7)*($E$2:$E$501&gt;=$H114)*($E$2:$E$501&lt;$H113)," ")))</f>
        <v xml:space="preserve"> </v>
      </c>
      <c r="AR113" t="str" cm="1">
        <f t="array" ref="AR113">_xlfn.TEXTJOIN(",",TRUE,(_xlfn._xlws.FILTER($A$2:$A$501,($D$2:$D$501&gt;=AS$7)*($D$2:$D$501&lt;AR$7)*($E$2:$E$501&gt;=$H114)*($E$2:$E$501&lt;$H113)," ")))</f>
        <v xml:space="preserve"> </v>
      </c>
      <c r="AS113" t="str" cm="1">
        <f t="array" ref="AS113">_xlfn.TEXTJOIN(",",TRUE,(_xlfn._xlws.FILTER($A$2:$A$501,($D$2:$D$501&gt;=AT$7)*($D$2:$D$501&lt;AS$7)*($E$2:$E$501&gt;=$H114)*($E$2:$E$501&lt;$H113)," ")))</f>
        <v xml:space="preserve"> </v>
      </c>
      <c r="AT113" t="str" cm="1">
        <f t="array" ref="AT113">_xlfn.TEXTJOIN(",",TRUE,(_xlfn._xlws.FILTER($A$2:$A$501,($D$2:$D$501&gt;=AU$7)*($D$2:$D$501&lt;AT$7)*($E$2:$E$501&gt;=$H114)*($E$2:$E$501&lt;$H113)," ")))</f>
        <v xml:space="preserve"> </v>
      </c>
      <c r="AU113" t="str" cm="1">
        <f t="array" ref="AU113">_xlfn.TEXTJOIN(",",TRUE,(_xlfn._xlws.FILTER($A$2:$A$501,($D$2:$D$501&gt;=AV$7)*($D$2:$D$501&lt;AU$7)*($E$2:$E$501&gt;=$H114)*($E$2:$E$501&lt;$H113)," ")))</f>
        <v xml:space="preserve"> </v>
      </c>
      <c r="AV113" t="str" cm="1">
        <f t="array" ref="AV113">_xlfn.TEXTJOIN(",",TRUE,(_xlfn._xlws.FILTER($A$2:$A$501,($D$2:$D$501&gt;=AW$7)*($D$2:$D$501&lt;AV$7)*($E$2:$E$501&gt;=$H114)*($E$2:$E$501&lt;$H113)," ")))</f>
        <v xml:space="preserve"> </v>
      </c>
      <c r="AW113" t="str" cm="1">
        <f t="array" ref="AW113">_xlfn.TEXTJOIN(",",TRUE,(_xlfn._xlws.FILTER($A$2:$A$501,($D$2:$D$501&gt;=AX$7)*($D$2:$D$501&lt;AW$7)*($E$2:$E$501&gt;=$H114)*($E$2:$E$501&lt;$H113)," ")))</f>
        <v xml:space="preserve"> </v>
      </c>
      <c r="AX113" t="str" cm="1">
        <f t="array" ref="AX113">_xlfn.TEXTJOIN(",",TRUE,(_xlfn._xlws.FILTER($A$2:$A$501,($D$2:$D$501&gt;=AY$7)*($D$2:$D$501&lt;AX$7)*($E$2:$E$501&gt;=$H114)*($E$2:$E$501&lt;$H113)," ")))</f>
        <v xml:space="preserve"> </v>
      </c>
      <c r="AY113" t="str" cm="1">
        <f t="array" ref="AY113">_xlfn.TEXTJOIN(",",TRUE,(_xlfn._xlws.FILTER($A$2:$A$501,($D$2:$D$501&gt;=AZ$7)*($D$2:$D$501&lt;AY$7)*($E$2:$E$501&gt;=$H114)*($E$2:$E$501&lt;$H113)," ")))</f>
        <v xml:space="preserve"> </v>
      </c>
      <c r="AZ113" t="str" cm="1">
        <f t="array" ref="AZ113">_xlfn.TEXTJOIN(",",TRUE,(_xlfn._xlws.FILTER($A$2:$A$501,($D$2:$D$501&gt;=BA$7)*($D$2:$D$501&lt;AZ$7)*($E$2:$E$501&gt;=$H114)*($E$2:$E$501&lt;$H113)," ")))</f>
        <v xml:space="preserve"> </v>
      </c>
      <c r="BA113" t="str" cm="1">
        <f t="array" ref="BA113">_xlfn.TEXTJOIN(",",TRUE,(_xlfn._xlws.FILTER($A$2:$A$501,($D$2:$D$501&gt;=BB$7)*($D$2:$D$501&lt;BA$7)*($E$2:$E$501&gt;=$H114)*($E$2:$E$501&lt;$H113)," ")))</f>
        <v xml:space="preserve"> </v>
      </c>
      <c r="BB113" t="str" cm="1">
        <f t="array" ref="BB113">_xlfn.TEXTJOIN(",",TRUE,(_xlfn._xlws.FILTER($A$2:$A$501,($D$2:$D$501&gt;=BC$7)*($D$2:$D$501&lt;BB$7)*($E$2:$E$501&gt;=$H114)*($E$2:$E$501&lt;$H113)," ")))</f>
        <v xml:space="preserve"> </v>
      </c>
    </row>
    <row r="114" spans="1:54" x14ac:dyDescent="0.2">
      <c r="A114" s="3" t="s">
        <v>468</v>
      </c>
      <c r="B114" s="3" t="s">
        <v>463</v>
      </c>
      <c r="C114" s="13">
        <v>1784781.96</v>
      </c>
      <c r="D114" s="15">
        <v>44086858.310000002</v>
      </c>
      <c r="E114" s="22">
        <f>TuitionRates3[[#This Row],[Tuition]]/D114</f>
        <v>4.0483310183959439E-2</v>
      </c>
      <c r="F114"/>
      <c r="H114" s="18">
        <v>4.3999999999999997E-2</v>
      </c>
      <c r="I114" t="str" cm="1">
        <f t="array" ref="I114">_xlfn.TEXTJOIN(",",TRUE,(_xlfn._xlws.FILTER($A$2:$A$501,($D$2:$D$501&gt;=J$7)*($D$2:$D$501&lt;I$7)*($E$2:$E$501&gt;=$H115)*($E$2:$E$501&lt;$H114)," ")))</f>
        <v xml:space="preserve"> </v>
      </c>
      <c r="J114" t="str" cm="1">
        <f t="array" ref="J114">_xlfn.TEXTJOIN(",",TRUE,(_xlfn._xlws.FILTER($A$2:$A$501,($D$2:$D$501&gt;=K$7)*($D$2:$D$501&lt;J$7)*($E$2:$E$501&gt;=$H115)*($E$2:$E$501&lt;$H114)," ")))</f>
        <v xml:space="preserve"> </v>
      </c>
      <c r="K114" t="str" cm="1">
        <f t="array" ref="K114">_xlfn.TEXTJOIN(",",TRUE,(_xlfn._xlws.FILTER($A$2:$A$501,($D$2:$D$501&gt;=L$7)*($D$2:$D$501&lt;K$7)*($E$2:$E$501&gt;=$H115)*($E$2:$E$501&lt;$H114)," ")))</f>
        <v xml:space="preserve"> </v>
      </c>
      <c r="L114" t="str" cm="1">
        <f t="array" ref="L114">_xlfn.TEXTJOIN(",",TRUE,(_xlfn._xlws.FILTER($A$2:$A$501,($D$2:$D$501&gt;=M$7)*($D$2:$D$501&lt;L$7)*($E$2:$E$501&gt;=$H115)*($E$2:$E$501&lt;$H114)," ")))</f>
        <v xml:space="preserve"> </v>
      </c>
      <c r="M114" t="str" cm="1">
        <f t="array" ref="M114">_xlfn.TEXTJOIN(",",TRUE,(_xlfn._xlws.FILTER($A$2:$A$501,($D$2:$D$501&gt;=N$7)*($D$2:$D$501&lt;M$7)*($E$2:$E$501&gt;=$H115)*($E$2:$E$501&lt;$H114)," ")))</f>
        <v xml:space="preserve"> </v>
      </c>
      <c r="N114" t="str" cm="1">
        <f t="array" ref="N114">_xlfn.TEXTJOIN(",",TRUE,(_xlfn._xlws.FILTER($A$2:$A$501,($D$2:$D$501&gt;=O$7)*($D$2:$D$501&lt;N$7)*($E$2:$E$501&gt;=$H115)*($E$2:$E$501&lt;$H114)," ")))</f>
        <v xml:space="preserve"> </v>
      </c>
      <c r="O114" t="str" cm="1">
        <f t="array" ref="O114">_xlfn.TEXTJOIN(",",TRUE,(_xlfn._xlws.FILTER($A$2:$A$501,($D$2:$D$501&gt;=P$7)*($D$2:$D$501&lt;O$7)*($E$2:$E$501&gt;=$H115)*($E$2:$E$501&lt;$H114)," ")))</f>
        <v xml:space="preserve"> </v>
      </c>
      <c r="P114" t="str" cm="1">
        <f t="array" ref="P114">_xlfn.TEXTJOIN(",",TRUE,(_xlfn._xlws.FILTER($A$2:$A$501,($D$2:$D$501&gt;=Q$7)*($D$2:$D$501&lt;P$7)*($E$2:$E$501&gt;=$H115)*($E$2:$E$501&lt;$H114)," ")))</f>
        <v xml:space="preserve"> </v>
      </c>
      <c r="Q114" t="str" cm="1">
        <f t="array" ref="Q114">_xlfn.TEXTJOIN(",",TRUE,(_xlfn._xlws.FILTER($A$2:$A$501,($D$2:$D$501&gt;=R$7)*($D$2:$D$501&lt;Q$7)*($E$2:$E$501&gt;=$H115)*($E$2:$E$501&lt;$H114)," ")))</f>
        <v xml:space="preserve"> </v>
      </c>
      <c r="R114" t="str" cm="1">
        <f t="array" ref="R114">_xlfn.TEXTJOIN(",",TRUE,(_xlfn._xlws.FILTER($A$2:$A$501,($D$2:$D$501&gt;=S$7)*($D$2:$D$501&lt;R$7)*($E$2:$E$501&gt;=$H115)*($E$2:$E$501&lt;$H114)," ")))</f>
        <v xml:space="preserve"> </v>
      </c>
      <c r="S114" t="str" cm="1">
        <f t="array" ref="S114">_xlfn.TEXTJOIN(",",TRUE,(_xlfn._xlws.FILTER($A$2:$A$501,($D$2:$D$501&gt;=T$7)*($D$2:$D$501&lt;S$7)*($E$2:$E$501&gt;=$H115)*($E$2:$E$501&lt;$H114)," ")))</f>
        <v xml:space="preserve"> </v>
      </c>
      <c r="T114" t="str" cm="1">
        <f t="array" ref="T114">_xlfn.TEXTJOIN(",",TRUE,(_xlfn._xlws.FILTER($A$2:$A$501,($D$2:$D$501&gt;=U$7)*($D$2:$D$501&lt;T$7)*($E$2:$E$501&gt;=$H115)*($E$2:$E$501&lt;$H114)," ")))</f>
        <v xml:space="preserve"> </v>
      </c>
      <c r="U114" t="str" cm="1">
        <f t="array" ref="U114">_xlfn.TEXTJOIN(",",TRUE,(_xlfn._xlws.FILTER($A$2:$A$501,($D$2:$D$501&gt;=V$7)*($D$2:$D$501&lt;U$7)*($E$2:$E$501&gt;=$H115)*($E$2:$E$501&lt;$H114)," ")))</f>
        <v xml:space="preserve"> </v>
      </c>
      <c r="V114" t="str" cm="1">
        <f t="array" ref="V114">_xlfn.TEXTJOIN(",",TRUE,(_xlfn._xlws.FILTER($A$2:$A$501,($D$2:$D$501&gt;=W$7)*($D$2:$D$501&lt;V$7)*($E$2:$E$501&gt;=$H115)*($E$2:$E$501&lt;$H114)," ")))</f>
        <v xml:space="preserve"> </v>
      </c>
      <c r="W114" t="str" cm="1">
        <f t="array" ref="W114">_xlfn.TEXTJOIN(",",TRUE,(_xlfn._xlws.FILTER($A$2:$A$501,($D$2:$D$501&gt;=X$7)*($D$2:$D$501&lt;W$7)*($E$2:$E$501&gt;=$H115)*($E$2:$E$501&lt;$H114)," ")))</f>
        <v xml:space="preserve"> </v>
      </c>
      <c r="X114" t="str" cm="1">
        <f t="array" ref="X114">_xlfn.TEXTJOIN(",",TRUE,(_xlfn._xlws.FILTER($A$2:$A$501,($D$2:$D$501&gt;=Y$7)*($D$2:$D$501&lt;X$7)*($E$2:$E$501&gt;=$H115)*($E$2:$E$501&lt;$H114)," ")))</f>
        <v xml:space="preserve"> </v>
      </c>
      <c r="Y114" t="str" cm="1">
        <f t="array" ref="Y114">_xlfn.TEXTJOIN(",",TRUE,(_xlfn._xlws.FILTER($A$2:$A$501,($D$2:$D$501&gt;=Z$7)*($D$2:$D$501&lt;Y$7)*($E$2:$E$501&gt;=$H115)*($E$2:$E$501&lt;$H114)," ")))</f>
        <v xml:space="preserve"> </v>
      </c>
      <c r="Z114" t="str" cm="1">
        <f t="array" ref="Z114">_xlfn.TEXTJOIN(",",TRUE,(_xlfn._xlws.FILTER($A$2:$A$501,($D$2:$D$501&gt;=AA$7)*($D$2:$D$501&lt;Z$7)*($E$2:$E$501&gt;=$H115)*($E$2:$E$501&lt;$H114)," ")))</f>
        <v>Juniata County SD,Western Wayne SD</v>
      </c>
      <c r="AA114" t="str" cm="1">
        <f t="array" ref="AA114">_xlfn.TEXTJOIN(",",TRUE,(_xlfn._xlws.FILTER($A$2:$A$501,($D$2:$D$501&gt;=AB$7)*($D$2:$D$501&lt;AA$7)*($E$2:$E$501&gt;=$H115)*($E$2:$E$501&lt;$H114)," ")))</f>
        <v xml:space="preserve"> </v>
      </c>
      <c r="AB114" t="str" cm="1">
        <f t="array" ref="AB114">_xlfn.TEXTJOIN(",",TRUE,(_xlfn._xlws.FILTER($A$2:$A$501,($D$2:$D$501&gt;=AC$7)*($D$2:$D$501&lt;AB$7)*($E$2:$E$501&gt;=$H115)*($E$2:$E$501&lt;$H114)," ")))</f>
        <v xml:space="preserve"> </v>
      </c>
      <c r="AC114" t="str" cm="1">
        <f t="array" ref="AC114">_xlfn.TEXTJOIN(",",TRUE,(_xlfn._xlws.FILTER($A$2:$A$501,($D$2:$D$501&gt;=AD$7)*($D$2:$D$501&lt;AC$7)*($E$2:$E$501&gt;=$H115)*($E$2:$E$501&lt;$H114)," ")))</f>
        <v>Halifax Area SD</v>
      </c>
      <c r="AD114" t="str" cm="1">
        <f t="array" ref="AD114">_xlfn.TEXTJOIN(",",TRUE,(_xlfn._xlws.FILTER($A$2:$A$501,($D$2:$D$501&gt;=AE$7)*($D$2:$D$501&lt;AD$7)*($E$2:$E$501&gt;=$H115)*($E$2:$E$501&lt;$H114)," ")))</f>
        <v>Clarion-Limestone Area SD,Moshannon Valley SD</v>
      </c>
      <c r="AE114" t="str" cm="1">
        <f t="array" ref="AE114">_xlfn.TEXTJOIN(",",TRUE,(_xlfn._xlws.FILTER($A$2:$A$501,($D$2:$D$501&gt;=AF$7)*($D$2:$D$501&lt;AE$7)*($E$2:$E$501&gt;=$H115)*($E$2:$E$501&lt;$H114)," ")))</f>
        <v xml:space="preserve"> </v>
      </c>
      <c r="AF114" t="str" cm="1">
        <f t="array" ref="AF114">_xlfn.TEXTJOIN(",",TRUE,(_xlfn._xlws.FILTER($A$2:$A$501,($D$2:$D$501&gt;=AG$7)*($D$2:$D$501&lt;AF$7)*($E$2:$E$501&gt;=$H115)*($E$2:$E$501&lt;$H114)," ")))</f>
        <v xml:space="preserve"> </v>
      </c>
      <c r="AG114" t="str" cm="1">
        <f t="array" ref="AG114">_xlfn.TEXTJOIN(",",TRUE,(_xlfn._xlws.FILTER($A$2:$A$501,($D$2:$D$501&gt;=AH$7)*($D$2:$D$501&lt;AG$7)*($E$2:$E$501&gt;=$H115)*($E$2:$E$501&lt;$H114)," ")))</f>
        <v xml:space="preserve"> </v>
      </c>
      <c r="AH114" t="str" cm="1">
        <f t="array" ref="AH114">_xlfn.TEXTJOIN(",",TRUE,(_xlfn._xlws.FILTER($A$2:$A$501,($D$2:$D$501&gt;=AI$7)*($D$2:$D$501&lt;AH$7)*($E$2:$E$501&gt;=$H115)*($E$2:$E$501&lt;$H114)," ")))</f>
        <v xml:space="preserve"> </v>
      </c>
      <c r="AI114" t="str" cm="1">
        <f t="array" ref="AI114">_xlfn.TEXTJOIN(",",TRUE,(_xlfn._xlws.FILTER($A$2:$A$501,($D$2:$D$501&gt;=AJ$7)*($D$2:$D$501&lt;AI$7)*($E$2:$E$501&gt;=$H115)*($E$2:$E$501&lt;$H114)," ")))</f>
        <v xml:space="preserve"> </v>
      </c>
      <c r="AJ114" t="str" cm="1">
        <f t="array" ref="AJ114">_xlfn.TEXTJOIN(",",TRUE,(_xlfn._xlws.FILTER($A$2:$A$501,($D$2:$D$501&gt;=AK$7)*($D$2:$D$501&lt;AJ$7)*($E$2:$E$501&gt;=$H115)*($E$2:$E$501&lt;$H114)," ")))</f>
        <v xml:space="preserve"> </v>
      </c>
      <c r="AK114" t="str" cm="1">
        <f t="array" ref="AK114">_xlfn.TEXTJOIN(",",TRUE,(_xlfn._xlws.FILTER($A$2:$A$501,($D$2:$D$501&gt;=AL$7)*($D$2:$D$501&lt;AK$7)*($E$2:$E$501&gt;=$H115)*($E$2:$E$501&lt;$H114)," ")))</f>
        <v xml:space="preserve"> </v>
      </c>
      <c r="AL114" t="str" cm="1">
        <f t="array" ref="AL114">_xlfn.TEXTJOIN(",",TRUE,(_xlfn._xlws.FILTER($A$2:$A$501,($D$2:$D$501&gt;=AM$7)*($D$2:$D$501&lt;AL$7)*($E$2:$E$501&gt;=$H115)*($E$2:$E$501&lt;$H114)," ")))</f>
        <v xml:space="preserve"> </v>
      </c>
      <c r="AM114" t="str" cm="1">
        <f t="array" ref="AM114">_xlfn.TEXTJOIN(",",TRUE,(_xlfn._xlws.FILTER($A$2:$A$501,($D$2:$D$501&gt;=AN$7)*($D$2:$D$501&lt;AM$7)*($E$2:$E$501&gt;=$H115)*($E$2:$E$501&lt;$H114)," ")))</f>
        <v xml:space="preserve"> </v>
      </c>
      <c r="AN114" t="str" cm="1">
        <f t="array" ref="AN114">_xlfn.TEXTJOIN(",",TRUE,(_xlfn._xlws.FILTER($A$2:$A$501,($D$2:$D$501&gt;=AO$7)*($D$2:$D$501&lt;AN$7)*($E$2:$E$501&gt;=$H115)*($E$2:$E$501&lt;$H114)," ")))</f>
        <v xml:space="preserve"> </v>
      </c>
      <c r="AO114" t="str" cm="1">
        <f t="array" ref="AO114">_xlfn.TEXTJOIN(",",TRUE,(_xlfn._xlws.FILTER($A$2:$A$501,($D$2:$D$501&gt;=AP$7)*($D$2:$D$501&lt;AO$7)*($E$2:$E$501&gt;=$H115)*($E$2:$E$501&lt;$H114)," ")))</f>
        <v xml:space="preserve"> </v>
      </c>
      <c r="AP114" t="str" cm="1">
        <f t="array" ref="AP114">_xlfn.TEXTJOIN(",",TRUE,(_xlfn._xlws.FILTER($A$2:$A$501,($D$2:$D$501&gt;=AQ$7)*($D$2:$D$501&lt;AP$7)*($E$2:$E$501&gt;=$H115)*($E$2:$E$501&lt;$H114)," ")))</f>
        <v xml:space="preserve"> </v>
      </c>
      <c r="AQ114" t="str" cm="1">
        <f t="array" ref="AQ114">_xlfn.TEXTJOIN(",",TRUE,(_xlfn._xlws.FILTER($A$2:$A$501,($D$2:$D$501&gt;=AR$7)*($D$2:$D$501&lt;AQ$7)*($E$2:$E$501&gt;=$H115)*($E$2:$E$501&lt;$H114)," ")))</f>
        <v xml:space="preserve"> </v>
      </c>
      <c r="AR114" t="str" cm="1">
        <f t="array" ref="AR114">_xlfn.TEXTJOIN(",",TRUE,(_xlfn._xlws.FILTER($A$2:$A$501,($D$2:$D$501&gt;=AS$7)*($D$2:$D$501&lt;AR$7)*($E$2:$E$501&gt;=$H115)*($E$2:$E$501&lt;$H114)," ")))</f>
        <v xml:space="preserve"> </v>
      </c>
      <c r="AS114" t="str" cm="1">
        <f t="array" ref="AS114">_xlfn.TEXTJOIN(",",TRUE,(_xlfn._xlws.FILTER($A$2:$A$501,($D$2:$D$501&gt;=AT$7)*($D$2:$D$501&lt;AS$7)*($E$2:$E$501&gt;=$H115)*($E$2:$E$501&lt;$H114)," ")))</f>
        <v xml:space="preserve"> </v>
      </c>
      <c r="AT114" t="str" cm="1">
        <f t="array" ref="AT114">_xlfn.TEXTJOIN(",",TRUE,(_xlfn._xlws.FILTER($A$2:$A$501,($D$2:$D$501&gt;=AU$7)*($D$2:$D$501&lt;AT$7)*($E$2:$E$501&gt;=$H115)*($E$2:$E$501&lt;$H114)," ")))</f>
        <v xml:space="preserve"> </v>
      </c>
      <c r="AU114" t="str" cm="1">
        <f t="array" ref="AU114">_xlfn.TEXTJOIN(",",TRUE,(_xlfn._xlws.FILTER($A$2:$A$501,($D$2:$D$501&gt;=AV$7)*($D$2:$D$501&lt;AU$7)*($E$2:$E$501&gt;=$H115)*($E$2:$E$501&lt;$H114)," ")))</f>
        <v xml:space="preserve"> </v>
      </c>
      <c r="AV114" t="str" cm="1">
        <f t="array" ref="AV114">_xlfn.TEXTJOIN(",",TRUE,(_xlfn._xlws.FILTER($A$2:$A$501,($D$2:$D$501&gt;=AW$7)*($D$2:$D$501&lt;AV$7)*($E$2:$E$501&gt;=$H115)*($E$2:$E$501&lt;$H114)," ")))</f>
        <v xml:space="preserve"> </v>
      </c>
      <c r="AW114" t="str" cm="1">
        <f t="array" ref="AW114">_xlfn.TEXTJOIN(",",TRUE,(_xlfn._xlws.FILTER($A$2:$A$501,($D$2:$D$501&gt;=AX$7)*($D$2:$D$501&lt;AW$7)*($E$2:$E$501&gt;=$H115)*($E$2:$E$501&lt;$H114)," ")))</f>
        <v xml:space="preserve"> </v>
      </c>
      <c r="AX114" t="str" cm="1">
        <f t="array" ref="AX114">_xlfn.TEXTJOIN(",",TRUE,(_xlfn._xlws.FILTER($A$2:$A$501,($D$2:$D$501&gt;=AY$7)*($D$2:$D$501&lt;AX$7)*($E$2:$E$501&gt;=$H115)*($E$2:$E$501&lt;$H114)," ")))</f>
        <v xml:space="preserve"> </v>
      </c>
      <c r="AY114" t="str" cm="1">
        <f t="array" ref="AY114">_xlfn.TEXTJOIN(",",TRUE,(_xlfn._xlws.FILTER($A$2:$A$501,($D$2:$D$501&gt;=AZ$7)*($D$2:$D$501&lt;AY$7)*($E$2:$E$501&gt;=$H115)*($E$2:$E$501&lt;$H114)," ")))</f>
        <v xml:space="preserve"> </v>
      </c>
      <c r="AZ114" t="str" cm="1">
        <f t="array" ref="AZ114">_xlfn.TEXTJOIN(",",TRUE,(_xlfn._xlws.FILTER($A$2:$A$501,($D$2:$D$501&gt;=BA$7)*($D$2:$D$501&lt;AZ$7)*($E$2:$E$501&gt;=$H115)*($E$2:$E$501&lt;$H114)," ")))</f>
        <v xml:space="preserve"> </v>
      </c>
      <c r="BA114" t="str" cm="1">
        <f t="array" ref="BA114">_xlfn.TEXTJOIN(",",TRUE,(_xlfn._xlws.FILTER($A$2:$A$501,($D$2:$D$501&gt;=BB$7)*($D$2:$D$501&lt;BA$7)*($E$2:$E$501&gt;=$H115)*($E$2:$E$501&lt;$H114)," ")))</f>
        <v xml:space="preserve"> </v>
      </c>
      <c r="BB114" t="str" cm="1">
        <f t="array" ref="BB114">_xlfn.TEXTJOIN(",",TRUE,(_xlfn._xlws.FILTER($A$2:$A$501,($D$2:$D$501&gt;=BC$7)*($D$2:$D$501&lt;BB$7)*($E$2:$E$501&gt;=$H115)*($E$2:$E$501&lt;$H114)," ")))</f>
        <v xml:space="preserve"> </v>
      </c>
    </row>
    <row r="115" spans="1:54" x14ac:dyDescent="0.2">
      <c r="A115" s="3" t="s">
        <v>215</v>
      </c>
      <c r="B115" s="3" t="s">
        <v>216</v>
      </c>
      <c r="C115" s="13">
        <v>10034220.16</v>
      </c>
      <c r="D115" s="15">
        <v>248220115.5</v>
      </c>
      <c r="E115" s="22">
        <f>TuitionRates3[[#This Row],[Tuition]]/D115</f>
        <v>4.0424685726165491E-2</v>
      </c>
      <c r="F115"/>
      <c r="H115" s="18">
        <v>4.2999999999999997E-2</v>
      </c>
      <c r="I115" t="str" cm="1">
        <f t="array" ref="I115">_xlfn.TEXTJOIN(",",TRUE,(_xlfn._xlws.FILTER($A$2:$A$501,($D$2:$D$501&gt;=J$7)*($D$2:$D$501&lt;I$7)*($E$2:$E$501&gt;=$H116)*($E$2:$E$501&lt;$H115)," ")))</f>
        <v xml:space="preserve"> </v>
      </c>
      <c r="J115" t="str" cm="1">
        <f t="array" ref="J115">_xlfn.TEXTJOIN(",",TRUE,(_xlfn._xlws.FILTER($A$2:$A$501,($D$2:$D$501&gt;=K$7)*($D$2:$D$501&lt;J$7)*($E$2:$E$501&gt;=$H116)*($E$2:$E$501&lt;$H115)," ")))</f>
        <v xml:space="preserve"> </v>
      </c>
      <c r="K115" t="str" cm="1">
        <f t="array" ref="K115">_xlfn.TEXTJOIN(",",TRUE,(_xlfn._xlws.FILTER($A$2:$A$501,($D$2:$D$501&gt;=L$7)*($D$2:$D$501&lt;K$7)*($E$2:$E$501&gt;=$H116)*($E$2:$E$501&lt;$H115)," ")))</f>
        <v xml:space="preserve"> </v>
      </c>
      <c r="L115" t="str" cm="1">
        <f t="array" ref="L115">_xlfn.TEXTJOIN(",",TRUE,(_xlfn._xlws.FILTER($A$2:$A$501,($D$2:$D$501&gt;=M$7)*($D$2:$D$501&lt;L$7)*($E$2:$E$501&gt;=$H116)*($E$2:$E$501&lt;$H115)," ")))</f>
        <v xml:space="preserve"> </v>
      </c>
      <c r="M115" t="str" cm="1">
        <f t="array" ref="M115">_xlfn.TEXTJOIN(",",TRUE,(_xlfn._xlws.FILTER($A$2:$A$501,($D$2:$D$501&gt;=N$7)*($D$2:$D$501&lt;M$7)*($E$2:$E$501&gt;=$H116)*($E$2:$E$501&lt;$H115)," ")))</f>
        <v xml:space="preserve"> </v>
      </c>
      <c r="N115" t="str" cm="1">
        <f t="array" ref="N115">_xlfn.TEXTJOIN(",",TRUE,(_xlfn._xlws.FILTER($A$2:$A$501,($D$2:$D$501&gt;=O$7)*($D$2:$D$501&lt;N$7)*($E$2:$E$501&gt;=$H116)*($E$2:$E$501&lt;$H115)," ")))</f>
        <v xml:space="preserve"> </v>
      </c>
      <c r="O115" t="str" cm="1">
        <f t="array" ref="O115">_xlfn.TEXTJOIN(",",TRUE,(_xlfn._xlws.FILTER($A$2:$A$501,($D$2:$D$501&gt;=P$7)*($D$2:$D$501&lt;O$7)*($E$2:$E$501&gt;=$H116)*($E$2:$E$501&lt;$H115)," ")))</f>
        <v xml:space="preserve"> </v>
      </c>
      <c r="P115" t="str" cm="1">
        <f t="array" ref="P115">_xlfn.TEXTJOIN(",",TRUE,(_xlfn._xlws.FILTER($A$2:$A$501,($D$2:$D$501&gt;=Q$7)*($D$2:$D$501&lt;P$7)*($E$2:$E$501&gt;=$H116)*($E$2:$E$501&lt;$H115)," ")))</f>
        <v xml:space="preserve"> </v>
      </c>
      <c r="Q115" t="str" cm="1">
        <f t="array" ref="Q115">_xlfn.TEXTJOIN(",",TRUE,(_xlfn._xlws.FILTER($A$2:$A$501,($D$2:$D$501&gt;=R$7)*($D$2:$D$501&lt;Q$7)*($E$2:$E$501&gt;=$H116)*($E$2:$E$501&lt;$H115)," ")))</f>
        <v xml:space="preserve"> </v>
      </c>
      <c r="R115" t="str" cm="1">
        <f t="array" ref="R115">_xlfn.TEXTJOIN(",",TRUE,(_xlfn._xlws.FILTER($A$2:$A$501,($D$2:$D$501&gt;=S$7)*($D$2:$D$501&lt;R$7)*($E$2:$E$501&gt;=$H116)*($E$2:$E$501&lt;$H115)," ")))</f>
        <v xml:space="preserve"> </v>
      </c>
      <c r="S115" t="str" cm="1">
        <f t="array" ref="S115">_xlfn.TEXTJOIN(",",TRUE,(_xlfn._xlws.FILTER($A$2:$A$501,($D$2:$D$501&gt;=T$7)*($D$2:$D$501&lt;S$7)*($E$2:$E$501&gt;=$H116)*($E$2:$E$501&lt;$H115)," ")))</f>
        <v>Reading SD</v>
      </c>
      <c r="T115" t="str" cm="1">
        <f t="array" ref="T115">_xlfn.TEXTJOIN(",",TRUE,(_xlfn._xlws.FILTER($A$2:$A$501,($D$2:$D$501&gt;=U$7)*($D$2:$D$501&lt;T$7)*($E$2:$E$501&gt;=$H116)*($E$2:$E$501&lt;$H115)," ")))</f>
        <v xml:space="preserve"> </v>
      </c>
      <c r="U115" t="str" cm="1">
        <f t="array" ref="U115">_xlfn.TEXTJOIN(",",TRUE,(_xlfn._xlws.FILTER($A$2:$A$501,($D$2:$D$501&gt;=V$7)*($D$2:$D$501&lt;U$7)*($E$2:$E$501&gt;=$H116)*($E$2:$E$501&lt;$H115)," ")))</f>
        <v xml:space="preserve"> </v>
      </c>
      <c r="V115" t="str" cm="1">
        <f t="array" ref="V115">_xlfn.TEXTJOIN(",",TRUE,(_xlfn._xlws.FILTER($A$2:$A$501,($D$2:$D$501&gt;=W$7)*($D$2:$D$501&lt;V$7)*($E$2:$E$501&gt;=$H116)*($E$2:$E$501&lt;$H115)," ")))</f>
        <v xml:space="preserve"> </v>
      </c>
      <c r="W115" t="str" cm="1">
        <f t="array" ref="W115">_xlfn.TEXTJOIN(",",TRUE,(_xlfn._xlws.FILTER($A$2:$A$501,($D$2:$D$501&gt;=X$7)*($D$2:$D$501&lt;W$7)*($E$2:$E$501&gt;=$H116)*($E$2:$E$501&lt;$H115)," ")))</f>
        <v xml:space="preserve"> </v>
      </c>
      <c r="X115" t="str" cm="1">
        <f t="array" ref="X115">_xlfn.TEXTJOIN(",",TRUE,(_xlfn._xlws.FILTER($A$2:$A$501,($D$2:$D$501&gt;=Y$7)*($D$2:$D$501&lt;X$7)*($E$2:$E$501&gt;=$H116)*($E$2:$E$501&lt;$H115)," ")))</f>
        <v xml:space="preserve"> </v>
      </c>
      <c r="Y115" t="str" cm="1">
        <f t="array" ref="Y115">_xlfn.TEXTJOIN(",",TRUE,(_xlfn._xlws.FILTER($A$2:$A$501,($D$2:$D$501&gt;=Z$7)*($D$2:$D$501&lt;Y$7)*($E$2:$E$501&gt;=$H116)*($E$2:$E$501&lt;$H115)," ")))</f>
        <v xml:space="preserve"> </v>
      </c>
      <c r="Z115" t="str" cm="1">
        <f t="array" ref="Z115">_xlfn.TEXTJOIN(",",TRUE,(_xlfn._xlws.FILTER($A$2:$A$501,($D$2:$D$501&gt;=AA$7)*($D$2:$D$501&lt;Z$7)*($E$2:$E$501&gt;=$H116)*($E$2:$E$501&lt;$H115)," ")))</f>
        <v>Greensburg Salem SD</v>
      </c>
      <c r="AA115" t="str" cm="1">
        <f t="array" ref="AA115">_xlfn.TEXTJOIN(",",TRUE,(_xlfn._xlws.FILTER($A$2:$A$501,($D$2:$D$501&gt;=AB$7)*($D$2:$D$501&lt;AA$7)*($E$2:$E$501&gt;=$H116)*($E$2:$E$501&lt;$H115)," ")))</f>
        <v xml:space="preserve"> </v>
      </c>
      <c r="AB115" t="str" cm="1">
        <f t="array" ref="AB115">_xlfn.TEXTJOIN(",",TRUE,(_xlfn._xlws.FILTER($A$2:$A$501,($D$2:$D$501&gt;=AC$7)*($D$2:$D$501&lt;AB$7)*($E$2:$E$501&gt;=$H116)*($E$2:$E$501&lt;$H115)," ")))</f>
        <v>Mount Pleasant Area SD</v>
      </c>
      <c r="AC115" t="str" cm="1">
        <f t="array" ref="AC115">_xlfn.TEXTJOIN(",",TRUE,(_xlfn._xlws.FILTER($A$2:$A$501,($D$2:$D$501&gt;=AD$7)*($D$2:$D$501&lt;AC$7)*($E$2:$E$501&gt;=$H116)*($E$2:$E$501&lt;$H115)," ")))</f>
        <v xml:space="preserve"> </v>
      </c>
      <c r="AD115" t="str" cm="1">
        <f t="array" ref="AD115">_xlfn.TEXTJOIN(",",TRUE,(_xlfn._xlws.FILTER($A$2:$A$501,($D$2:$D$501&gt;=AE$7)*($D$2:$D$501&lt;AD$7)*($E$2:$E$501&gt;=$H116)*($E$2:$E$501&lt;$H115)," ")))</f>
        <v>Meyersdale Area SD</v>
      </c>
      <c r="AE115" t="str" cm="1">
        <f t="array" ref="AE115">_xlfn.TEXTJOIN(",",TRUE,(_xlfn._xlws.FILTER($A$2:$A$501,($D$2:$D$501&gt;=AF$7)*($D$2:$D$501&lt;AE$7)*($E$2:$E$501&gt;=$H116)*($E$2:$E$501&lt;$H115)," ")))</f>
        <v xml:space="preserve"> </v>
      </c>
      <c r="AF115" t="str" cm="1">
        <f t="array" ref="AF115">_xlfn.TEXTJOIN(",",TRUE,(_xlfn._xlws.FILTER($A$2:$A$501,($D$2:$D$501&gt;=AG$7)*($D$2:$D$501&lt;AF$7)*($E$2:$E$501&gt;=$H116)*($E$2:$E$501&lt;$H115)," ")))</f>
        <v xml:space="preserve"> </v>
      </c>
      <c r="AG115" t="str" cm="1">
        <f t="array" ref="AG115">_xlfn.TEXTJOIN(",",TRUE,(_xlfn._xlws.FILTER($A$2:$A$501,($D$2:$D$501&gt;=AH$7)*($D$2:$D$501&lt;AG$7)*($E$2:$E$501&gt;=$H116)*($E$2:$E$501&lt;$H115)," ")))</f>
        <v xml:space="preserve"> </v>
      </c>
      <c r="AH115" t="str" cm="1">
        <f t="array" ref="AH115">_xlfn.TEXTJOIN(",",TRUE,(_xlfn._xlws.FILTER($A$2:$A$501,($D$2:$D$501&gt;=AI$7)*($D$2:$D$501&lt;AH$7)*($E$2:$E$501&gt;=$H116)*($E$2:$E$501&lt;$H115)," ")))</f>
        <v xml:space="preserve"> </v>
      </c>
      <c r="AI115" t="str" cm="1">
        <f t="array" ref="AI115">_xlfn.TEXTJOIN(",",TRUE,(_xlfn._xlws.FILTER($A$2:$A$501,($D$2:$D$501&gt;=AJ$7)*($D$2:$D$501&lt;AI$7)*($E$2:$E$501&gt;=$H116)*($E$2:$E$501&lt;$H115)," ")))</f>
        <v xml:space="preserve"> </v>
      </c>
      <c r="AJ115" t="str" cm="1">
        <f t="array" ref="AJ115">_xlfn.TEXTJOIN(",",TRUE,(_xlfn._xlws.FILTER($A$2:$A$501,($D$2:$D$501&gt;=AK$7)*($D$2:$D$501&lt;AJ$7)*($E$2:$E$501&gt;=$H116)*($E$2:$E$501&lt;$H115)," ")))</f>
        <v xml:space="preserve"> </v>
      </c>
      <c r="AK115" t="str" cm="1">
        <f t="array" ref="AK115">_xlfn.TEXTJOIN(",",TRUE,(_xlfn._xlws.FILTER($A$2:$A$501,($D$2:$D$501&gt;=AL$7)*($D$2:$D$501&lt;AK$7)*($E$2:$E$501&gt;=$H116)*($E$2:$E$501&lt;$H115)," ")))</f>
        <v xml:space="preserve"> </v>
      </c>
      <c r="AL115" t="str" cm="1">
        <f t="array" ref="AL115">_xlfn.TEXTJOIN(",",TRUE,(_xlfn._xlws.FILTER($A$2:$A$501,($D$2:$D$501&gt;=AM$7)*($D$2:$D$501&lt;AL$7)*($E$2:$E$501&gt;=$H116)*($E$2:$E$501&lt;$H115)," ")))</f>
        <v xml:space="preserve"> </v>
      </c>
      <c r="AM115" t="str" cm="1">
        <f t="array" ref="AM115">_xlfn.TEXTJOIN(",",TRUE,(_xlfn._xlws.FILTER($A$2:$A$501,($D$2:$D$501&gt;=AN$7)*($D$2:$D$501&lt;AM$7)*($E$2:$E$501&gt;=$H116)*($E$2:$E$501&lt;$H115)," ")))</f>
        <v xml:space="preserve"> </v>
      </c>
      <c r="AN115" t="str" cm="1">
        <f t="array" ref="AN115">_xlfn.TEXTJOIN(",",TRUE,(_xlfn._xlws.FILTER($A$2:$A$501,($D$2:$D$501&gt;=AO$7)*($D$2:$D$501&lt;AN$7)*($E$2:$E$501&gt;=$H116)*($E$2:$E$501&lt;$H115)," ")))</f>
        <v xml:space="preserve"> </v>
      </c>
      <c r="AO115" t="str" cm="1">
        <f t="array" ref="AO115">_xlfn.TEXTJOIN(",",TRUE,(_xlfn._xlws.FILTER($A$2:$A$501,($D$2:$D$501&gt;=AP$7)*($D$2:$D$501&lt;AO$7)*($E$2:$E$501&gt;=$H116)*($E$2:$E$501&lt;$H115)," ")))</f>
        <v xml:space="preserve"> </v>
      </c>
      <c r="AP115" t="str" cm="1">
        <f t="array" ref="AP115">_xlfn.TEXTJOIN(",",TRUE,(_xlfn._xlws.FILTER($A$2:$A$501,($D$2:$D$501&gt;=AQ$7)*($D$2:$D$501&lt;AP$7)*($E$2:$E$501&gt;=$H116)*($E$2:$E$501&lt;$H115)," ")))</f>
        <v xml:space="preserve"> </v>
      </c>
      <c r="AQ115" t="str" cm="1">
        <f t="array" ref="AQ115">_xlfn.TEXTJOIN(",",TRUE,(_xlfn._xlws.FILTER($A$2:$A$501,($D$2:$D$501&gt;=AR$7)*($D$2:$D$501&lt;AQ$7)*($E$2:$E$501&gt;=$H116)*($E$2:$E$501&lt;$H115)," ")))</f>
        <v xml:space="preserve"> </v>
      </c>
      <c r="AR115" t="str" cm="1">
        <f t="array" ref="AR115">_xlfn.TEXTJOIN(",",TRUE,(_xlfn._xlws.FILTER($A$2:$A$501,($D$2:$D$501&gt;=AS$7)*($D$2:$D$501&lt;AR$7)*($E$2:$E$501&gt;=$H116)*($E$2:$E$501&lt;$H115)," ")))</f>
        <v xml:space="preserve"> </v>
      </c>
      <c r="AS115" t="str" cm="1">
        <f t="array" ref="AS115">_xlfn.TEXTJOIN(",",TRUE,(_xlfn._xlws.FILTER($A$2:$A$501,($D$2:$D$501&gt;=AT$7)*($D$2:$D$501&lt;AS$7)*($E$2:$E$501&gt;=$H116)*($E$2:$E$501&lt;$H115)," ")))</f>
        <v xml:space="preserve"> </v>
      </c>
      <c r="AT115" t="str" cm="1">
        <f t="array" ref="AT115">_xlfn.TEXTJOIN(",",TRUE,(_xlfn._xlws.FILTER($A$2:$A$501,($D$2:$D$501&gt;=AU$7)*($D$2:$D$501&lt;AT$7)*($E$2:$E$501&gt;=$H116)*($E$2:$E$501&lt;$H115)," ")))</f>
        <v xml:space="preserve"> </v>
      </c>
      <c r="AU115" t="str" cm="1">
        <f t="array" ref="AU115">_xlfn.TEXTJOIN(",",TRUE,(_xlfn._xlws.FILTER($A$2:$A$501,($D$2:$D$501&gt;=AV$7)*($D$2:$D$501&lt;AU$7)*($E$2:$E$501&gt;=$H116)*($E$2:$E$501&lt;$H115)," ")))</f>
        <v xml:space="preserve"> </v>
      </c>
      <c r="AV115" t="str" cm="1">
        <f t="array" ref="AV115">_xlfn.TEXTJOIN(",",TRUE,(_xlfn._xlws.FILTER($A$2:$A$501,($D$2:$D$501&gt;=AW$7)*($D$2:$D$501&lt;AV$7)*($E$2:$E$501&gt;=$H116)*($E$2:$E$501&lt;$H115)," ")))</f>
        <v xml:space="preserve"> </v>
      </c>
      <c r="AW115" t="str" cm="1">
        <f t="array" ref="AW115">_xlfn.TEXTJOIN(",",TRUE,(_xlfn._xlws.FILTER($A$2:$A$501,($D$2:$D$501&gt;=AX$7)*($D$2:$D$501&lt;AW$7)*($E$2:$E$501&gt;=$H116)*($E$2:$E$501&lt;$H115)," ")))</f>
        <v xml:space="preserve"> </v>
      </c>
      <c r="AX115" t="str" cm="1">
        <f t="array" ref="AX115">_xlfn.TEXTJOIN(",",TRUE,(_xlfn._xlws.FILTER($A$2:$A$501,($D$2:$D$501&gt;=AY$7)*($D$2:$D$501&lt;AX$7)*($E$2:$E$501&gt;=$H116)*($E$2:$E$501&lt;$H115)," ")))</f>
        <v xml:space="preserve"> </v>
      </c>
      <c r="AY115" t="str" cm="1">
        <f t="array" ref="AY115">_xlfn.TEXTJOIN(",",TRUE,(_xlfn._xlws.FILTER($A$2:$A$501,($D$2:$D$501&gt;=AZ$7)*($D$2:$D$501&lt;AY$7)*($E$2:$E$501&gt;=$H116)*($E$2:$E$501&lt;$H115)," ")))</f>
        <v xml:space="preserve"> </v>
      </c>
      <c r="AZ115" t="str" cm="1">
        <f t="array" ref="AZ115">_xlfn.TEXTJOIN(",",TRUE,(_xlfn._xlws.FILTER($A$2:$A$501,($D$2:$D$501&gt;=BA$7)*($D$2:$D$501&lt;AZ$7)*($E$2:$E$501&gt;=$H116)*($E$2:$E$501&lt;$H115)," ")))</f>
        <v xml:space="preserve"> </v>
      </c>
      <c r="BA115" t="str" cm="1">
        <f t="array" ref="BA115">_xlfn.TEXTJOIN(",",TRUE,(_xlfn._xlws.FILTER($A$2:$A$501,($D$2:$D$501&gt;=BB$7)*($D$2:$D$501&lt;BA$7)*($E$2:$E$501&gt;=$H116)*($E$2:$E$501&lt;$H115)," ")))</f>
        <v xml:space="preserve"> </v>
      </c>
      <c r="BB115" t="str" cm="1">
        <f t="array" ref="BB115">_xlfn.TEXTJOIN(",",TRUE,(_xlfn._xlws.FILTER($A$2:$A$501,($D$2:$D$501&gt;=BC$7)*($D$2:$D$501&lt;BB$7)*($E$2:$E$501&gt;=$H116)*($E$2:$E$501&lt;$H115)," ")))</f>
        <v xml:space="preserve"> </v>
      </c>
    </row>
    <row r="116" spans="1:54" x14ac:dyDescent="0.2">
      <c r="A116" s="3" t="s">
        <v>375</v>
      </c>
      <c r="B116" s="3" t="s">
        <v>371</v>
      </c>
      <c r="C116" s="13">
        <v>1485737.93</v>
      </c>
      <c r="D116" s="15">
        <v>36808687.990000002</v>
      </c>
      <c r="E116" s="22">
        <f>TuitionRates3[[#This Row],[Tuition]]/D116</f>
        <v>4.0363783963276216E-2</v>
      </c>
      <c r="F116"/>
      <c r="H116" s="18">
        <v>4.2000000000000003E-2</v>
      </c>
      <c r="I116" t="str" cm="1">
        <f t="array" ref="I116">_xlfn.TEXTJOIN(",",TRUE,(_xlfn._xlws.FILTER($A$2:$A$501,($D$2:$D$501&gt;=J$7)*($D$2:$D$501&lt;I$7)*($E$2:$E$501&gt;=$H117)*($E$2:$E$501&lt;$H116)," ")))</f>
        <v xml:space="preserve"> </v>
      </c>
      <c r="J116" t="str" cm="1">
        <f t="array" ref="J116">_xlfn.TEXTJOIN(",",TRUE,(_xlfn._xlws.FILTER($A$2:$A$501,($D$2:$D$501&gt;=K$7)*($D$2:$D$501&lt;J$7)*($E$2:$E$501&gt;=$H117)*($E$2:$E$501&lt;$H116)," ")))</f>
        <v xml:space="preserve"> </v>
      </c>
      <c r="K116" t="str" cm="1">
        <f t="array" ref="K116">_xlfn.TEXTJOIN(",",TRUE,(_xlfn._xlws.FILTER($A$2:$A$501,($D$2:$D$501&gt;=L$7)*($D$2:$D$501&lt;K$7)*($E$2:$E$501&gt;=$H117)*($E$2:$E$501&lt;$H116)," ")))</f>
        <v xml:space="preserve"> </v>
      </c>
      <c r="L116" t="str" cm="1">
        <f t="array" ref="L116">_xlfn.TEXTJOIN(",",TRUE,(_xlfn._xlws.FILTER($A$2:$A$501,($D$2:$D$501&gt;=M$7)*($D$2:$D$501&lt;L$7)*($E$2:$E$501&gt;=$H117)*($E$2:$E$501&lt;$H116)," ")))</f>
        <v xml:space="preserve"> </v>
      </c>
      <c r="M116" t="str" cm="1">
        <f t="array" ref="M116">_xlfn.TEXTJOIN(",",TRUE,(_xlfn._xlws.FILTER($A$2:$A$501,($D$2:$D$501&gt;=N$7)*($D$2:$D$501&lt;M$7)*($E$2:$E$501&gt;=$H117)*($E$2:$E$501&lt;$H116)," ")))</f>
        <v xml:space="preserve"> </v>
      </c>
      <c r="N116" t="str" cm="1">
        <f t="array" ref="N116">_xlfn.TEXTJOIN(",",TRUE,(_xlfn._xlws.FILTER($A$2:$A$501,($D$2:$D$501&gt;=O$7)*($D$2:$D$501&lt;N$7)*($E$2:$E$501&gt;=$H117)*($E$2:$E$501&lt;$H116)," ")))</f>
        <v xml:space="preserve"> </v>
      </c>
      <c r="O116" t="str" cm="1">
        <f t="array" ref="O116">_xlfn.TEXTJOIN(",",TRUE,(_xlfn._xlws.FILTER($A$2:$A$501,($D$2:$D$501&gt;=P$7)*($D$2:$D$501&lt;O$7)*($E$2:$E$501&gt;=$H117)*($E$2:$E$501&lt;$H116)," ")))</f>
        <v xml:space="preserve"> </v>
      </c>
      <c r="P116" t="str" cm="1">
        <f t="array" ref="P116">_xlfn.TEXTJOIN(",",TRUE,(_xlfn._xlws.FILTER($A$2:$A$501,($D$2:$D$501&gt;=Q$7)*($D$2:$D$501&lt;P$7)*($E$2:$E$501&gt;=$H117)*($E$2:$E$501&lt;$H116)," ")))</f>
        <v xml:space="preserve"> </v>
      </c>
      <c r="Q116" t="str" cm="1">
        <f t="array" ref="Q116">_xlfn.TEXTJOIN(",",TRUE,(_xlfn._xlws.FILTER($A$2:$A$501,($D$2:$D$501&gt;=R$7)*($D$2:$D$501&lt;Q$7)*($E$2:$E$501&gt;=$H117)*($E$2:$E$501&lt;$H116)," ")))</f>
        <v xml:space="preserve"> </v>
      </c>
      <c r="R116" t="str" cm="1">
        <f t="array" ref="R116">_xlfn.TEXTJOIN(",",TRUE,(_xlfn._xlws.FILTER($A$2:$A$501,($D$2:$D$501&gt;=S$7)*($D$2:$D$501&lt;R$7)*($E$2:$E$501&gt;=$H117)*($E$2:$E$501&lt;$H116)," ")))</f>
        <v xml:space="preserve"> </v>
      </c>
      <c r="S116" t="str" cm="1">
        <f t="array" ref="S116">_xlfn.TEXTJOIN(",",TRUE,(_xlfn._xlws.FILTER($A$2:$A$501,($D$2:$D$501&gt;=T$7)*($D$2:$D$501&lt;S$7)*($E$2:$E$501&gt;=$H117)*($E$2:$E$501&lt;$H116)," ")))</f>
        <v xml:space="preserve"> </v>
      </c>
      <c r="T116" t="str" cm="1">
        <f t="array" ref="T116">_xlfn.TEXTJOIN(",",TRUE,(_xlfn._xlws.FILTER($A$2:$A$501,($D$2:$D$501&gt;=U$7)*($D$2:$D$501&lt;T$7)*($E$2:$E$501&gt;=$H117)*($E$2:$E$501&lt;$H116)," ")))</f>
        <v xml:space="preserve"> </v>
      </c>
      <c r="U116" t="str" cm="1">
        <f t="array" ref="U116">_xlfn.TEXTJOIN(",",TRUE,(_xlfn._xlws.FILTER($A$2:$A$501,($D$2:$D$501&gt;=V$7)*($D$2:$D$501&lt;U$7)*($E$2:$E$501&gt;=$H117)*($E$2:$E$501&lt;$H116)," ")))</f>
        <v xml:space="preserve"> </v>
      </c>
      <c r="V116" t="str" cm="1">
        <f t="array" ref="V116">_xlfn.TEXTJOIN(",",TRUE,(_xlfn._xlws.FILTER($A$2:$A$501,($D$2:$D$501&gt;=W$7)*($D$2:$D$501&lt;V$7)*($E$2:$E$501&gt;=$H117)*($E$2:$E$501&lt;$H116)," ")))</f>
        <v xml:space="preserve"> </v>
      </c>
      <c r="W116" t="str" cm="1">
        <f t="array" ref="W116">_xlfn.TEXTJOIN(",",TRUE,(_xlfn._xlws.FILTER($A$2:$A$501,($D$2:$D$501&gt;=X$7)*($D$2:$D$501&lt;W$7)*($E$2:$E$501&gt;=$H117)*($E$2:$E$501&lt;$H116)," ")))</f>
        <v xml:space="preserve"> </v>
      </c>
      <c r="X116" t="str" cm="1">
        <f t="array" ref="X116">_xlfn.TEXTJOIN(",",TRUE,(_xlfn._xlws.FILTER($A$2:$A$501,($D$2:$D$501&gt;=Y$7)*($D$2:$D$501&lt;X$7)*($E$2:$E$501&gt;=$H117)*($E$2:$E$501&lt;$H116)," ")))</f>
        <v xml:space="preserve"> </v>
      </c>
      <c r="Y116" t="str" cm="1">
        <f t="array" ref="Y116">_xlfn.TEXTJOIN(",",TRUE,(_xlfn._xlws.FILTER($A$2:$A$501,($D$2:$D$501&gt;=Z$7)*($D$2:$D$501&lt;Y$7)*($E$2:$E$501&gt;=$H117)*($E$2:$E$501&lt;$H116)," ")))</f>
        <v>New Castle Area SD</v>
      </c>
      <c r="Z116" t="str" cm="1">
        <f t="array" ref="Z116">_xlfn.TEXTJOIN(",",TRUE,(_xlfn._xlws.FILTER($A$2:$A$501,($D$2:$D$501&gt;=AA$7)*($D$2:$D$501&lt;Z$7)*($E$2:$E$501&gt;=$H117)*($E$2:$E$501&lt;$H116)," ")))</f>
        <v xml:space="preserve"> </v>
      </c>
      <c r="AA116" t="str" cm="1">
        <f t="array" ref="AA116">_xlfn.TEXTJOIN(",",TRUE,(_xlfn._xlws.FILTER($A$2:$A$501,($D$2:$D$501&gt;=AB$7)*($D$2:$D$501&lt;AA$7)*($E$2:$E$501&gt;=$H117)*($E$2:$E$501&lt;$H116)," ")))</f>
        <v>New Kensington-Arnold SD</v>
      </c>
      <c r="AB116" t="str" cm="1">
        <f t="array" ref="AB116">_xlfn.TEXTJOIN(",",TRUE,(_xlfn._xlws.FILTER($A$2:$A$501,($D$2:$D$501&gt;=AC$7)*($D$2:$D$501&lt;AB$7)*($E$2:$E$501&gt;=$H117)*($E$2:$E$501&lt;$H116)," ")))</f>
        <v>Derry Area SD</v>
      </c>
      <c r="AC116" t="str" cm="1">
        <f t="array" ref="AC116">_xlfn.TEXTJOIN(",",TRUE,(_xlfn._xlws.FILTER($A$2:$A$501,($D$2:$D$501&gt;=AD$7)*($D$2:$D$501&lt;AC$7)*($E$2:$E$501&gt;=$H117)*($E$2:$E$501&lt;$H116)," ")))</f>
        <v>Shenandoah Valley SD,Line Mountain SD,Muncy SD,United SD</v>
      </c>
      <c r="AD116" t="str" cm="1">
        <f t="array" ref="AD116">_xlfn.TEXTJOIN(",",TRUE,(_xlfn._xlws.FILTER($A$2:$A$501,($D$2:$D$501&gt;=AE$7)*($D$2:$D$501&lt;AD$7)*($E$2:$E$501&gt;=$H117)*($E$2:$E$501&lt;$H116)," ")))</f>
        <v>Blacklick Valley SD</v>
      </c>
      <c r="AE116" t="str" cm="1">
        <f t="array" ref="AE116">_xlfn.TEXTJOIN(",",TRUE,(_xlfn._xlws.FILTER($A$2:$A$501,($D$2:$D$501&gt;=AF$7)*($D$2:$D$501&lt;AE$7)*($E$2:$E$501&gt;=$H117)*($E$2:$E$501&lt;$H116)," ")))</f>
        <v xml:space="preserve"> </v>
      </c>
      <c r="AF116" t="str" cm="1">
        <f t="array" ref="AF116">_xlfn.TEXTJOIN(",",TRUE,(_xlfn._xlws.FILTER($A$2:$A$501,($D$2:$D$501&gt;=AG$7)*($D$2:$D$501&lt;AF$7)*($E$2:$E$501&gt;=$H117)*($E$2:$E$501&lt;$H116)," ")))</f>
        <v xml:space="preserve"> </v>
      </c>
      <c r="AG116" t="str" cm="1">
        <f t="array" ref="AG116">_xlfn.TEXTJOIN(",",TRUE,(_xlfn._xlws.FILTER($A$2:$A$501,($D$2:$D$501&gt;=AH$7)*($D$2:$D$501&lt;AG$7)*($E$2:$E$501&gt;=$H117)*($E$2:$E$501&lt;$H116)," ")))</f>
        <v xml:space="preserve"> </v>
      </c>
      <c r="AH116" t="str" cm="1">
        <f t="array" ref="AH116">_xlfn.TEXTJOIN(",",TRUE,(_xlfn._xlws.FILTER($A$2:$A$501,($D$2:$D$501&gt;=AI$7)*($D$2:$D$501&lt;AH$7)*($E$2:$E$501&gt;=$H117)*($E$2:$E$501&lt;$H116)," ")))</f>
        <v xml:space="preserve"> </v>
      </c>
      <c r="AI116" t="str" cm="1">
        <f t="array" ref="AI116">_xlfn.TEXTJOIN(",",TRUE,(_xlfn._xlws.FILTER($A$2:$A$501,($D$2:$D$501&gt;=AJ$7)*($D$2:$D$501&lt;AI$7)*($E$2:$E$501&gt;=$H117)*($E$2:$E$501&lt;$H116)," ")))</f>
        <v xml:space="preserve"> </v>
      </c>
      <c r="AJ116" t="str" cm="1">
        <f t="array" ref="AJ116">_xlfn.TEXTJOIN(",",TRUE,(_xlfn._xlws.FILTER($A$2:$A$501,($D$2:$D$501&gt;=AK$7)*($D$2:$D$501&lt;AJ$7)*($E$2:$E$501&gt;=$H117)*($E$2:$E$501&lt;$H116)," ")))</f>
        <v xml:space="preserve"> </v>
      </c>
      <c r="AK116" t="str" cm="1">
        <f t="array" ref="AK116">_xlfn.TEXTJOIN(",",TRUE,(_xlfn._xlws.FILTER($A$2:$A$501,($D$2:$D$501&gt;=AL$7)*($D$2:$D$501&lt;AK$7)*($E$2:$E$501&gt;=$H117)*($E$2:$E$501&lt;$H116)," ")))</f>
        <v xml:space="preserve"> </v>
      </c>
      <c r="AL116" t="str" cm="1">
        <f t="array" ref="AL116">_xlfn.TEXTJOIN(",",TRUE,(_xlfn._xlws.FILTER($A$2:$A$501,($D$2:$D$501&gt;=AM$7)*($D$2:$D$501&lt;AL$7)*($E$2:$E$501&gt;=$H117)*($E$2:$E$501&lt;$H116)," ")))</f>
        <v xml:space="preserve"> </v>
      </c>
      <c r="AM116" t="str" cm="1">
        <f t="array" ref="AM116">_xlfn.TEXTJOIN(",",TRUE,(_xlfn._xlws.FILTER($A$2:$A$501,($D$2:$D$501&gt;=AN$7)*($D$2:$D$501&lt;AM$7)*($E$2:$E$501&gt;=$H117)*($E$2:$E$501&lt;$H116)," ")))</f>
        <v xml:space="preserve"> </v>
      </c>
      <c r="AN116" t="str" cm="1">
        <f t="array" ref="AN116">_xlfn.TEXTJOIN(",",TRUE,(_xlfn._xlws.FILTER($A$2:$A$501,($D$2:$D$501&gt;=AO$7)*($D$2:$D$501&lt;AN$7)*($E$2:$E$501&gt;=$H117)*($E$2:$E$501&lt;$H116)," ")))</f>
        <v xml:space="preserve"> </v>
      </c>
      <c r="AO116" t="str" cm="1">
        <f t="array" ref="AO116">_xlfn.TEXTJOIN(",",TRUE,(_xlfn._xlws.FILTER($A$2:$A$501,($D$2:$D$501&gt;=AP$7)*($D$2:$D$501&lt;AO$7)*($E$2:$E$501&gt;=$H117)*($E$2:$E$501&lt;$H116)," ")))</f>
        <v xml:space="preserve"> </v>
      </c>
      <c r="AP116" t="str" cm="1">
        <f t="array" ref="AP116">_xlfn.TEXTJOIN(",",TRUE,(_xlfn._xlws.FILTER($A$2:$A$501,($D$2:$D$501&gt;=AQ$7)*($D$2:$D$501&lt;AP$7)*($E$2:$E$501&gt;=$H117)*($E$2:$E$501&lt;$H116)," ")))</f>
        <v xml:space="preserve"> </v>
      </c>
      <c r="AQ116" t="str" cm="1">
        <f t="array" ref="AQ116">_xlfn.TEXTJOIN(",",TRUE,(_xlfn._xlws.FILTER($A$2:$A$501,($D$2:$D$501&gt;=AR$7)*($D$2:$D$501&lt;AQ$7)*($E$2:$E$501&gt;=$H117)*($E$2:$E$501&lt;$H116)," ")))</f>
        <v xml:space="preserve"> </v>
      </c>
      <c r="AR116" t="str" cm="1">
        <f t="array" ref="AR116">_xlfn.TEXTJOIN(",",TRUE,(_xlfn._xlws.FILTER($A$2:$A$501,($D$2:$D$501&gt;=AS$7)*($D$2:$D$501&lt;AR$7)*($E$2:$E$501&gt;=$H117)*($E$2:$E$501&lt;$H116)," ")))</f>
        <v xml:space="preserve"> </v>
      </c>
      <c r="AS116" t="str" cm="1">
        <f t="array" ref="AS116">_xlfn.TEXTJOIN(",",TRUE,(_xlfn._xlws.FILTER($A$2:$A$501,($D$2:$D$501&gt;=AT$7)*($D$2:$D$501&lt;AS$7)*($E$2:$E$501&gt;=$H117)*($E$2:$E$501&lt;$H116)," ")))</f>
        <v xml:space="preserve"> </v>
      </c>
      <c r="AT116" t="str" cm="1">
        <f t="array" ref="AT116">_xlfn.TEXTJOIN(",",TRUE,(_xlfn._xlws.FILTER($A$2:$A$501,($D$2:$D$501&gt;=AU$7)*($D$2:$D$501&lt;AT$7)*($E$2:$E$501&gt;=$H117)*($E$2:$E$501&lt;$H116)," ")))</f>
        <v xml:space="preserve"> </v>
      </c>
      <c r="AU116" t="str" cm="1">
        <f t="array" ref="AU116">_xlfn.TEXTJOIN(",",TRUE,(_xlfn._xlws.FILTER($A$2:$A$501,($D$2:$D$501&gt;=AV$7)*($D$2:$D$501&lt;AU$7)*($E$2:$E$501&gt;=$H117)*($E$2:$E$501&lt;$H116)," ")))</f>
        <v xml:space="preserve"> </v>
      </c>
      <c r="AV116" t="str" cm="1">
        <f t="array" ref="AV116">_xlfn.TEXTJOIN(",",TRUE,(_xlfn._xlws.FILTER($A$2:$A$501,($D$2:$D$501&gt;=AW$7)*($D$2:$D$501&lt;AV$7)*($E$2:$E$501&gt;=$H117)*($E$2:$E$501&lt;$H116)," ")))</f>
        <v xml:space="preserve"> </v>
      </c>
      <c r="AW116" t="str" cm="1">
        <f t="array" ref="AW116">_xlfn.TEXTJOIN(",",TRUE,(_xlfn._xlws.FILTER($A$2:$A$501,($D$2:$D$501&gt;=AX$7)*($D$2:$D$501&lt;AW$7)*($E$2:$E$501&gt;=$H117)*($E$2:$E$501&lt;$H116)," ")))</f>
        <v xml:space="preserve"> </v>
      </c>
      <c r="AX116" t="str" cm="1">
        <f t="array" ref="AX116">_xlfn.TEXTJOIN(",",TRUE,(_xlfn._xlws.FILTER($A$2:$A$501,($D$2:$D$501&gt;=AY$7)*($D$2:$D$501&lt;AX$7)*($E$2:$E$501&gt;=$H117)*($E$2:$E$501&lt;$H116)," ")))</f>
        <v xml:space="preserve"> </v>
      </c>
      <c r="AY116" t="str" cm="1">
        <f t="array" ref="AY116">_xlfn.TEXTJOIN(",",TRUE,(_xlfn._xlws.FILTER($A$2:$A$501,($D$2:$D$501&gt;=AZ$7)*($D$2:$D$501&lt;AY$7)*($E$2:$E$501&gt;=$H117)*($E$2:$E$501&lt;$H116)," ")))</f>
        <v xml:space="preserve"> </v>
      </c>
      <c r="AZ116" t="str" cm="1">
        <f t="array" ref="AZ116">_xlfn.TEXTJOIN(",",TRUE,(_xlfn._xlws.FILTER($A$2:$A$501,($D$2:$D$501&gt;=BA$7)*($D$2:$D$501&lt;AZ$7)*($E$2:$E$501&gt;=$H117)*($E$2:$E$501&lt;$H116)," ")))</f>
        <v xml:space="preserve"> </v>
      </c>
      <c r="BA116" t="str" cm="1">
        <f t="array" ref="BA116">_xlfn.TEXTJOIN(",",TRUE,(_xlfn._xlws.FILTER($A$2:$A$501,($D$2:$D$501&gt;=BB$7)*($D$2:$D$501&lt;BA$7)*($E$2:$E$501&gt;=$H117)*($E$2:$E$501&lt;$H116)," ")))</f>
        <v xml:space="preserve"> </v>
      </c>
      <c r="BB116" t="str" cm="1">
        <f t="array" ref="BB116">_xlfn.TEXTJOIN(",",TRUE,(_xlfn._xlws.FILTER($A$2:$A$501,($D$2:$D$501&gt;=BC$7)*($D$2:$D$501&lt;BB$7)*($E$2:$E$501&gt;=$H117)*($E$2:$E$501&lt;$H116)," ")))</f>
        <v xml:space="preserve"> </v>
      </c>
    </row>
    <row r="117" spans="1:54" x14ac:dyDescent="0.2">
      <c r="A117" s="3" t="s">
        <v>368</v>
      </c>
      <c r="B117" s="3" t="s">
        <v>359</v>
      </c>
      <c r="C117" s="13">
        <v>1788352.86</v>
      </c>
      <c r="D117" s="15">
        <v>44347073.270000003</v>
      </c>
      <c r="E117" s="22">
        <f>TuitionRates3[[#This Row],[Tuition]]/D117</f>
        <v>4.0326288256090817E-2</v>
      </c>
      <c r="F117"/>
      <c r="H117" s="18">
        <v>4.1000000000000002E-2</v>
      </c>
      <c r="I117" t="str" cm="1">
        <f t="array" ref="I117">_xlfn.TEXTJOIN(",",TRUE,(_xlfn._xlws.FILTER($A$2:$A$501,($D$2:$D$501&gt;=J$7)*($D$2:$D$501&lt;I$7)*($E$2:$E$501&gt;=$H118)*($E$2:$E$501&lt;$H117)," ")))</f>
        <v xml:space="preserve"> </v>
      </c>
      <c r="J117" t="str" cm="1">
        <f t="array" ref="J117">_xlfn.TEXTJOIN(",",TRUE,(_xlfn._xlws.FILTER($A$2:$A$501,($D$2:$D$501&gt;=K$7)*($D$2:$D$501&lt;J$7)*($E$2:$E$501&gt;=$H118)*($E$2:$E$501&lt;$H117)," ")))</f>
        <v xml:space="preserve"> </v>
      </c>
      <c r="K117" t="str" cm="1">
        <f t="array" ref="K117">_xlfn.TEXTJOIN(",",TRUE,(_xlfn._xlws.FILTER($A$2:$A$501,($D$2:$D$501&gt;=L$7)*($D$2:$D$501&lt;K$7)*($E$2:$E$501&gt;=$H118)*($E$2:$E$501&lt;$H117)," ")))</f>
        <v xml:space="preserve"> </v>
      </c>
      <c r="L117" t="str" cm="1">
        <f t="array" ref="L117">_xlfn.TEXTJOIN(",",TRUE,(_xlfn._xlws.FILTER($A$2:$A$501,($D$2:$D$501&gt;=M$7)*($D$2:$D$501&lt;L$7)*($E$2:$E$501&gt;=$H118)*($E$2:$E$501&lt;$H117)," ")))</f>
        <v xml:space="preserve"> </v>
      </c>
      <c r="M117" t="str" cm="1">
        <f t="array" ref="M117">_xlfn.TEXTJOIN(",",TRUE,(_xlfn._xlws.FILTER($A$2:$A$501,($D$2:$D$501&gt;=N$7)*($D$2:$D$501&lt;M$7)*($E$2:$E$501&gt;=$H118)*($E$2:$E$501&lt;$H117)," ")))</f>
        <v xml:space="preserve"> </v>
      </c>
      <c r="N117" t="str" cm="1">
        <f t="array" ref="N117">_xlfn.TEXTJOIN(",",TRUE,(_xlfn._xlws.FILTER($A$2:$A$501,($D$2:$D$501&gt;=O$7)*($D$2:$D$501&lt;N$7)*($E$2:$E$501&gt;=$H118)*($E$2:$E$501&lt;$H117)," ")))</f>
        <v xml:space="preserve"> </v>
      </c>
      <c r="O117" t="str" cm="1">
        <f t="array" ref="O117">_xlfn.TEXTJOIN(",",TRUE,(_xlfn._xlws.FILTER($A$2:$A$501,($D$2:$D$501&gt;=P$7)*($D$2:$D$501&lt;O$7)*($E$2:$E$501&gt;=$H118)*($E$2:$E$501&lt;$H117)," ")))</f>
        <v xml:space="preserve"> </v>
      </c>
      <c r="P117" t="str" cm="1">
        <f t="array" ref="P117">_xlfn.TEXTJOIN(",",TRUE,(_xlfn._xlws.FILTER($A$2:$A$501,($D$2:$D$501&gt;=Q$7)*($D$2:$D$501&lt;P$7)*($E$2:$E$501&gt;=$H118)*($E$2:$E$501&lt;$H117)," ")))</f>
        <v xml:space="preserve"> </v>
      </c>
      <c r="Q117" t="str" cm="1">
        <f t="array" ref="Q117">_xlfn.TEXTJOIN(",",TRUE,(_xlfn._xlws.FILTER($A$2:$A$501,($D$2:$D$501&gt;=R$7)*($D$2:$D$501&lt;Q$7)*($E$2:$E$501&gt;=$H118)*($E$2:$E$501&lt;$H117)," ")))</f>
        <v xml:space="preserve"> </v>
      </c>
      <c r="R117" t="str" cm="1">
        <f t="array" ref="R117">_xlfn.TEXTJOIN(",",TRUE,(_xlfn._xlws.FILTER($A$2:$A$501,($D$2:$D$501&gt;=S$7)*($D$2:$D$501&lt;R$7)*($E$2:$E$501&gt;=$H118)*($E$2:$E$501&lt;$H117)," ")))</f>
        <v xml:space="preserve"> </v>
      </c>
      <c r="S117" t="str" cm="1">
        <f t="array" ref="S117">_xlfn.TEXTJOIN(",",TRUE,(_xlfn._xlws.FILTER($A$2:$A$501,($D$2:$D$501&gt;=T$7)*($D$2:$D$501&lt;S$7)*($E$2:$E$501&gt;=$H118)*($E$2:$E$501&lt;$H117)," ")))</f>
        <v xml:space="preserve"> </v>
      </c>
      <c r="T117" t="str" cm="1">
        <f t="array" ref="T117">_xlfn.TEXTJOIN(",",TRUE,(_xlfn._xlws.FILTER($A$2:$A$501,($D$2:$D$501&gt;=U$7)*($D$2:$D$501&lt;T$7)*($E$2:$E$501&gt;=$H118)*($E$2:$E$501&lt;$H117)," ")))</f>
        <v>Central Dauphin SD</v>
      </c>
      <c r="U117" t="str" cm="1">
        <f t="array" ref="U117">_xlfn.TEXTJOIN(",",TRUE,(_xlfn._xlws.FILTER($A$2:$A$501,($D$2:$D$501&gt;=V$7)*($D$2:$D$501&lt;U$7)*($E$2:$E$501&gt;=$H118)*($E$2:$E$501&lt;$H117)," ")))</f>
        <v xml:space="preserve"> </v>
      </c>
      <c r="V117" t="str" cm="1">
        <f t="array" ref="V117">_xlfn.TEXTJOIN(",",TRUE,(_xlfn._xlws.FILTER($A$2:$A$501,($D$2:$D$501&gt;=W$7)*($D$2:$D$501&lt;V$7)*($E$2:$E$501&gt;=$H118)*($E$2:$E$501&lt;$H117)," ")))</f>
        <v xml:space="preserve"> </v>
      </c>
      <c r="W117" t="str" cm="1">
        <f t="array" ref="W117">_xlfn.TEXTJOIN(",",TRUE,(_xlfn._xlws.FILTER($A$2:$A$501,($D$2:$D$501&gt;=X$7)*($D$2:$D$501&lt;W$7)*($E$2:$E$501&gt;=$H118)*($E$2:$E$501&lt;$H117)," ")))</f>
        <v xml:space="preserve"> </v>
      </c>
      <c r="X117" t="str" cm="1">
        <f t="array" ref="X117">_xlfn.TEXTJOIN(",",TRUE,(_xlfn._xlws.FILTER($A$2:$A$501,($D$2:$D$501&gt;=Y$7)*($D$2:$D$501&lt;X$7)*($E$2:$E$501&gt;=$H118)*($E$2:$E$501&lt;$H117)," ")))</f>
        <v xml:space="preserve"> </v>
      </c>
      <c r="Y117" t="str" cm="1">
        <f t="array" ref="Y117">_xlfn.TEXTJOIN(",",TRUE,(_xlfn._xlws.FILTER($A$2:$A$501,($D$2:$D$501&gt;=Z$7)*($D$2:$D$501&lt;Y$7)*($E$2:$E$501&gt;=$H118)*($E$2:$E$501&lt;$H117)," ")))</f>
        <v xml:space="preserve"> </v>
      </c>
      <c r="Z117" t="str" cm="1">
        <f t="array" ref="Z117">_xlfn.TEXTJOIN(",",TRUE,(_xlfn._xlws.FILTER($A$2:$A$501,($D$2:$D$501&gt;=AA$7)*($D$2:$D$501&lt;Z$7)*($E$2:$E$501&gt;=$H118)*($E$2:$E$501&lt;$H117)," ")))</f>
        <v>Blue Mountain SD</v>
      </c>
      <c r="AA117" t="str" cm="1">
        <f t="array" ref="AA117">_xlfn.TEXTJOIN(",",TRUE,(_xlfn._xlws.FILTER($A$2:$A$501,($D$2:$D$501&gt;=AB$7)*($D$2:$D$501&lt;AA$7)*($E$2:$E$501&gt;=$H118)*($E$2:$E$501&lt;$H117)," ")))</f>
        <v>Pottsville Area SD,Wyoming Area SD</v>
      </c>
      <c r="AB117" t="str" cm="1">
        <f t="array" ref="AB117">_xlfn.TEXTJOIN(",",TRUE,(_xlfn._xlws.FILTER($A$2:$A$501,($D$2:$D$501&gt;=AC$7)*($D$2:$D$501&lt;AB$7)*($E$2:$E$501&gt;=$H118)*($E$2:$E$501&lt;$H117)," ")))</f>
        <v>Tamaqua Area SD,Montoursville Area SD,McGuffey SD</v>
      </c>
      <c r="AC117" t="str" cm="1">
        <f t="array" ref="AC117">_xlfn.TEXTJOIN(",",TRUE,(_xlfn._xlws.FILTER($A$2:$A$501,($D$2:$D$501&gt;=AD$7)*($D$2:$D$501&lt;AC$7)*($E$2:$E$501&gt;=$H118)*($E$2:$E$501&lt;$H117)," ")))</f>
        <v xml:space="preserve"> </v>
      </c>
      <c r="AD117" t="str" cm="1">
        <f t="array" ref="AD117">_xlfn.TEXTJOIN(",",TRUE,(_xlfn._xlws.FILTER($A$2:$A$501,($D$2:$D$501&gt;=AE$7)*($D$2:$D$501&lt;AD$7)*($E$2:$E$501&gt;=$H118)*($E$2:$E$501&lt;$H117)," ")))</f>
        <v>Coudersport Area SD</v>
      </c>
      <c r="AE117" t="str" cm="1">
        <f t="array" ref="AE117">_xlfn.TEXTJOIN(",",TRUE,(_xlfn._xlws.FILTER($A$2:$A$501,($D$2:$D$501&gt;=AF$7)*($D$2:$D$501&lt;AE$7)*($E$2:$E$501&gt;=$H118)*($E$2:$E$501&lt;$H117)," ")))</f>
        <v xml:space="preserve"> </v>
      </c>
      <c r="AF117" t="str" cm="1">
        <f t="array" ref="AF117">_xlfn.TEXTJOIN(",",TRUE,(_xlfn._xlws.FILTER($A$2:$A$501,($D$2:$D$501&gt;=AG$7)*($D$2:$D$501&lt;AF$7)*($E$2:$E$501&gt;=$H118)*($E$2:$E$501&lt;$H117)," ")))</f>
        <v xml:space="preserve"> </v>
      </c>
      <c r="AG117" t="str" cm="1">
        <f t="array" ref="AG117">_xlfn.TEXTJOIN(",",TRUE,(_xlfn._xlws.FILTER($A$2:$A$501,($D$2:$D$501&gt;=AH$7)*($D$2:$D$501&lt;AG$7)*($E$2:$E$501&gt;=$H118)*($E$2:$E$501&lt;$H117)," ")))</f>
        <v xml:space="preserve"> </v>
      </c>
      <c r="AH117" t="str" cm="1">
        <f t="array" ref="AH117">_xlfn.TEXTJOIN(",",TRUE,(_xlfn._xlws.FILTER($A$2:$A$501,($D$2:$D$501&gt;=AI$7)*($D$2:$D$501&lt;AH$7)*($E$2:$E$501&gt;=$H118)*($E$2:$E$501&lt;$H117)," ")))</f>
        <v xml:space="preserve"> </v>
      </c>
      <c r="AI117" t="str" cm="1">
        <f t="array" ref="AI117">_xlfn.TEXTJOIN(",",TRUE,(_xlfn._xlws.FILTER($A$2:$A$501,($D$2:$D$501&gt;=AJ$7)*($D$2:$D$501&lt;AI$7)*($E$2:$E$501&gt;=$H118)*($E$2:$E$501&lt;$H117)," ")))</f>
        <v xml:space="preserve"> </v>
      </c>
      <c r="AJ117" t="str" cm="1">
        <f t="array" ref="AJ117">_xlfn.TEXTJOIN(",",TRUE,(_xlfn._xlws.FILTER($A$2:$A$501,($D$2:$D$501&gt;=AK$7)*($D$2:$D$501&lt;AJ$7)*($E$2:$E$501&gt;=$H118)*($E$2:$E$501&lt;$H117)," ")))</f>
        <v xml:space="preserve"> </v>
      </c>
      <c r="AK117" t="str" cm="1">
        <f t="array" ref="AK117">_xlfn.TEXTJOIN(",",TRUE,(_xlfn._xlws.FILTER($A$2:$A$501,($D$2:$D$501&gt;=AL$7)*($D$2:$D$501&lt;AK$7)*($E$2:$E$501&gt;=$H118)*($E$2:$E$501&lt;$H117)," ")))</f>
        <v xml:space="preserve"> </v>
      </c>
      <c r="AL117" t="str" cm="1">
        <f t="array" ref="AL117">_xlfn.TEXTJOIN(",",TRUE,(_xlfn._xlws.FILTER($A$2:$A$501,($D$2:$D$501&gt;=AM$7)*($D$2:$D$501&lt;AL$7)*($E$2:$E$501&gt;=$H118)*($E$2:$E$501&lt;$H117)," ")))</f>
        <v xml:space="preserve"> </v>
      </c>
      <c r="AM117" t="str" cm="1">
        <f t="array" ref="AM117">_xlfn.TEXTJOIN(",",TRUE,(_xlfn._xlws.FILTER($A$2:$A$501,($D$2:$D$501&gt;=AN$7)*($D$2:$D$501&lt;AM$7)*($E$2:$E$501&gt;=$H118)*($E$2:$E$501&lt;$H117)," ")))</f>
        <v xml:space="preserve"> </v>
      </c>
      <c r="AN117" t="str" cm="1">
        <f t="array" ref="AN117">_xlfn.TEXTJOIN(",",TRUE,(_xlfn._xlws.FILTER($A$2:$A$501,($D$2:$D$501&gt;=AO$7)*($D$2:$D$501&lt;AN$7)*($E$2:$E$501&gt;=$H118)*($E$2:$E$501&lt;$H117)," ")))</f>
        <v xml:space="preserve"> </v>
      </c>
      <c r="AO117" t="str" cm="1">
        <f t="array" ref="AO117">_xlfn.TEXTJOIN(",",TRUE,(_xlfn._xlws.FILTER($A$2:$A$501,($D$2:$D$501&gt;=AP$7)*($D$2:$D$501&lt;AO$7)*($E$2:$E$501&gt;=$H118)*($E$2:$E$501&lt;$H117)," ")))</f>
        <v xml:space="preserve"> </v>
      </c>
      <c r="AP117" t="str" cm="1">
        <f t="array" ref="AP117">_xlfn.TEXTJOIN(",",TRUE,(_xlfn._xlws.FILTER($A$2:$A$501,($D$2:$D$501&gt;=AQ$7)*($D$2:$D$501&lt;AP$7)*($E$2:$E$501&gt;=$H118)*($E$2:$E$501&lt;$H117)," ")))</f>
        <v xml:space="preserve"> </v>
      </c>
      <c r="AQ117" t="str" cm="1">
        <f t="array" ref="AQ117">_xlfn.TEXTJOIN(",",TRUE,(_xlfn._xlws.FILTER($A$2:$A$501,($D$2:$D$501&gt;=AR$7)*($D$2:$D$501&lt;AQ$7)*($E$2:$E$501&gt;=$H118)*($E$2:$E$501&lt;$H117)," ")))</f>
        <v xml:space="preserve"> </v>
      </c>
      <c r="AR117" t="str" cm="1">
        <f t="array" ref="AR117">_xlfn.TEXTJOIN(",",TRUE,(_xlfn._xlws.FILTER($A$2:$A$501,($D$2:$D$501&gt;=AS$7)*($D$2:$D$501&lt;AR$7)*($E$2:$E$501&gt;=$H118)*($E$2:$E$501&lt;$H117)," ")))</f>
        <v xml:space="preserve"> </v>
      </c>
      <c r="AS117" t="str" cm="1">
        <f t="array" ref="AS117">_xlfn.TEXTJOIN(",",TRUE,(_xlfn._xlws.FILTER($A$2:$A$501,($D$2:$D$501&gt;=AT$7)*($D$2:$D$501&lt;AS$7)*($E$2:$E$501&gt;=$H118)*($E$2:$E$501&lt;$H117)," ")))</f>
        <v xml:space="preserve"> </v>
      </c>
      <c r="AT117" t="str" cm="1">
        <f t="array" ref="AT117">_xlfn.TEXTJOIN(",",TRUE,(_xlfn._xlws.FILTER($A$2:$A$501,($D$2:$D$501&gt;=AU$7)*($D$2:$D$501&lt;AT$7)*($E$2:$E$501&gt;=$H118)*($E$2:$E$501&lt;$H117)," ")))</f>
        <v xml:space="preserve"> </v>
      </c>
      <c r="AU117" t="str" cm="1">
        <f t="array" ref="AU117">_xlfn.TEXTJOIN(",",TRUE,(_xlfn._xlws.FILTER($A$2:$A$501,($D$2:$D$501&gt;=AV$7)*($D$2:$D$501&lt;AU$7)*($E$2:$E$501&gt;=$H118)*($E$2:$E$501&lt;$H117)," ")))</f>
        <v xml:space="preserve"> </v>
      </c>
      <c r="AV117" t="str" cm="1">
        <f t="array" ref="AV117">_xlfn.TEXTJOIN(",",TRUE,(_xlfn._xlws.FILTER($A$2:$A$501,($D$2:$D$501&gt;=AW$7)*($D$2:$D$501&lt;AV$7)*($E$2:$E$501&gt;=$H118)*($E$2:$E$501&lt;$H117)," ")))</f>
        <v xml:space="preserve"> </v>
      </c>
      <c r="AW117" t="str" cm="1">
        <f t="array" ref="AW117">_xlfn.TEXTJOIN(",",TRUE,(_xlfn._xlws.FILTER($A$2:$A$501,($D$2:$D$501&gt;=AX$7)*($D$2:$D$501&lt;AW$7)*($E$2:$E$501&gt;=$H118)*($E$2:$E$501&lt;$H117)," ")))</f>
        <v xml:space="preserve"> </v>
      </c>
      <c r="AX117" t="str" cm="1">
        <f t="array" ref="AX117">_xlfn.TEXTJOIN(",",TRUE,(_xlfn._xlws.FILTER($A$2:$A$501,($D$2:$D$501&gt;=AY$7)*($D$2:$D$501&lt;AX$7)*($E$2:$E$501&gt;=$H118)*($E$2:$E$501&lt;$H117)," ")))</f>
        <v xml:space="preserve"> </v>
      </c>
      <c r="AY117" t="str" cm="1">
        <f t="array" ref="AY117">_xlfn.TEXTJOIN(",",TRUE,(_xlfn._xlws.FILTER($A$2:$A$501,($D$2:$D$501&gt;=AZ$7)*($D$2:$D$501&lt;AY$7)*($E$2:$E$501&gt;=$H118)*($E$2:$E$501&lt;$H117)," ")))</f>
        <v xml:space="preserve"> </v>
      </c>
      <c r="AZ117" t="str" cm="1">
        <f t="array" ref="AZ117">_xlfn.TEXTJOIN(",",TRUE,(_xlfn._xlws.FILTER($A$2:$A$501,($D$2:$D$501&gt;=BA$7)*($D$2:$D$501&lt;AZ$7)*($E$2:$E$501&gt;=$H118)*($E$2:$E$501&lt;$H117)," ")))</f>
        <v xml:space="preserve"> </v>
      </c>
      <c r="BA117" t="str" cm="1">
        <f t="array" ref="BA117">_xlfn.TEXTJOIN(",",TRUE,(_xlfn._xlws.FILTER($A$2:$A$501,($D$2:$D$501&gt;=BB$7)*($D$2:$D$501&lt;BA$7)*($E$2:$E$501&gt;=$H118)*($E$2:$E$501&lt;$H117)," ")))</f>
        <v xml:space="preserve"> </v>
      </c>
      <c r="BB117" t="str" cm="1">
        <f t="array" ref="BB117">_xlfn.TEXTJOIN(",",TRUE,(_xlfn._xlws.FILTER($A$2:$A$501,($D$2:$D$501&gt;=BC$7)*($D$2:$D$501&lt;BB$7)*($E$2:$E$501&gt;=$H118)*($E$2:$E$501&lt;$H117)," ")))</f>
        <v xml:space="preserve"> </v>
      </c>
    </row>
    <row r="118" spans="1:54" x14ac:dyDescent="0.2">
      <c r="A118" s="3" t="s">
        <v>524</v>
      </c>
      <c r="B118" s="3" t="s">
        <v>515</v>
      </c>
      <c r="C118" s="13">
        <v>1369237.52</v>
      </c>
      <c r="D118" s="15">
        <v>34094573.399999999</v>
      </c>
      <c r="E118" s="22">
        <f>TuitionRates3[[#This Row],[Tuition]]/D118</f>
        <v>4.0159983934569488E-2</v>
      </c>
      <c r="F118"/>
      <c r="H118" s="18">
        <v>0.04</v>
      </c>
      <c r="I118" t="str" cm="1">
        <f t="array" ref="I118">_xlfn.TEXTJOIN(",",TRUE,(_xlfn._xlws.FILTER($A$2:$A$501,($D$2:$D$501&gt;=J$7)*($D$2:$D$501&lt;I$7)*($E$2:$E$501&gt;=$H119)*($E$2:$E$501&lt;$H118)," ")))</f>
        <v xml:space="preserve"> </v>
      </c>
      <c r="J118" t="str" cm="1">
        <f t="array" ref="J118">_xlfn.TEXTJOIN(",",TRUE,(_xlfn._xlws.FILTER($A$2:$A$501,($D$2:$D$501&gt;=K$7)*($D$2:$D$501&lt;J$7)*($E$2:$E$501&gt;=$H119)*($E$2:$E$501&lt;$H118)," ")))</f>
        <v xml:space="preserve"> </v>
      </c>
      <c r="K118" t="str" cm="1">
        <f t="array" ref="K118">_xlfn.TEXTJOIN(",",TRUE,(_xlfn._xlws.FILTER($A$2:$A$501,($D$2:$D$501&gt;=L$7)*($D$2:$D$501&lt;K$7)*($E$2:$E$501&gt;=$H119)*($E$2:$E$501&lt;$H118)," ")))</f>
        <v xml:space="preserve"> </v>
      </c>
      <c r="L118" t="str" cm="1">
        <f t="array" ref="L118">_xlfn.TEXTJOIN(",",TRUE,(_xlfn._xlws.FILTER($A$2:$A$501,($D$2:$D$501&gt;=M$7)*($D$2:$D$501&lt;L$7)*($E$2:$E$501&gt;=$H119)*($E$2:$E$501&lt;$H118)," ")))</f>
        <v xml:space="preserve"> </v>
      </c>
      <c r="M118" t="str" cm="1">
        <f t="array" ref="M118">_xlfn.TEXTJOIN(",",TRUE,(_xlfn._xlws.FILTER($A$2:$A$501,($D$2:$D$501&gt;=N$7)*($D$2:$D$501&lt;M$7)*($E$2:$E$501&gt;=$H119)*($E$2:$E$501&lt;$H118)," ")))</f>
        <v xml:space="preserve"> </v>
      </c>
      <c r="N118" t="str" cm="1">
        <f t="array" ref="N118">_xlfn.TEXTJOIN(",",TRUE,(_xlfn._xlws.FILTER($A$2:$A$501,($D$2:$D$501&gt;=O$7)*($D$2:$D$501&lt;N$7)*($E$2:$E$501&gt;=$H119)*($E$2:$E$501&lt;$H118)," ")))</f>
        <v xml:space="preserve"> </v>
      </c>
      <c r="O118" t="str" cm="1">
        <f t="array" ref="O118">_xlfn.TEXTJOIN(",",TRUE,(_xlfn._xlws.FILTER($A$2:$A$501,($D$2:$D$501&gt;=P$7)*($D$2:$D$501&lt;O$7)*($E$2:$E$501&gt;=$H119)*($E$2:$E$501&lt;$H118)," ")))</f>
        <v xml:space="preserve"> </v>
      </c>
      <c r="P118" t="str" cm="1">
        <f t="array" ref="P118">_xlfn.TEXTJOIN(",",TRUE,(_xlfn._xlws.FILTER($A$2:$A$501,($D$2:$D$501&gt;=Q$7)*($D$2:$D$501&lt;P$7)*($E$2:$E$501&gt;=$H119)*($E$2:$E$501&lt;$H118)," ")))</f>
        <v xml:space="preserve"> </v>
      </c>
      <c r="Q118" t="str" cm="1">
        <f t="array" ref="Q118">_xlfn.TEXTJOIN(",",TRUE,(_xlfn._xlws.FILTER($A$2:$A$501,($D$2:$D$501&gt;=R$7)*($D$2:$D$501&lt;Q$7)*($E$2:$E$501&gt;=$H119)*($E$2:$E$501&lt;$H118)," ")))</f>
        <v xml:space="preserve"> </v>
      </c>
      <c r="R118" t="str" cm="1">
        <f t="array" ref="R118">_xlfn.TEXTJOIN(",",TRUE,(_xlfn._xlws.FILTER($A$2:$A$501,($D$2:$D$501&gt;=S$7)*($D$2:$D$501&lt;R$7)*($E$2:$E$501&gt;=$H119)*($E$2:$E$501&lt;$H118)," ")))</f>
        <v xml:space="preserve"> </v>
      </c>
      <c r="S118" t="str" cm="1">
        <f t="array" ref="S118">_xlfn.TEXTJOIN(",",TRUE,(_xlfn._xlws.FILTER($A$2:$A$501,($D$2:$D$501&gt;=T$7)*($D$2:$D$501&lt;S$7)*($E$2:$E$501&gt;=$H119)*($E$2:$E$501&lt;$H118)," ")))</f>
        <v xml:space="preserve"> </v>
      </c>
      <c r="T118" t="str" cm="1">
        <f t="array" ref="T118">_xlfn.TEXTJOIN(",",TRUE,(_xlfn._xlws.FILTER($A$2:$A$501,($D$2:$D$501&gt;=U$7)*($D$2:$D$501&lt;T$7)*($E$2:$E$501&gt;=$H119)*($E$2:$E$501&lt;$H118)," ")))</f>
        <v xml:space="preserve"> </v>
      </c>
      <c r="U118" t="str" cm="1">
        <f t="array" ref="U118">_xlfn.TEXTJOIN(",",TRUE,(_xlfn._xlws.FILTER($A$2:$A$501,($D$2:$D$501&gt;=V$7)*($D$2:$D$501&lt;U$7)*($E$2:$E$501&gt;=$H119)*($E$2:$E$501&lt;$H118)," ")))</f>
        <v>East Stroudsburg Area SD,Wilkes-Barre Area SD</v>
      </c>
      <c r="V118" t="str" cm="1">
        <f t="array" ref="V118">_xlfn.TEXTJOIN(",",TRUE,(_xlfn._xlws.FILTER($A$2:$A$501,($D$2:$D$501&gt;=W$7)*($D$2:$D$501&lt;V$7)*($E$2:$E$501&gt;=$H119)*($E$2:$E$501&lt;$H118)," ")))</f>
        <v xml:space="preserve"> </v>
      </c>
      <c r="W118" t="str" cm="1">
        <f t="array" ref="W118">_xlfn.TEXTJOIN(",",TRUE,(_xlfn._xlws.FILTER($A$2:$A$501,($D$2:$D$501&gt;=X$7)*($D$2:$D$501&lt;W$7)*($E$2:$E$501&gt;=$H119)*($E$2:$E$501&lt;$H118)," ")))</f>
        <v>Mechanicsburg Area SD</v>
      </c>
      <c r="X118" t="str" cm="1">
        <f t="array" ref="X118">_xlfn.TEXTJOIN(",",TRUE,(_xlfn._xlws.FILTER($A$2:$A$501,($D$2:$D$501&gt;=Y$7)*($D$2:$D$501&lt;X$7)*($E$2:$E$501&gt;=$H119)*($E$2:$E$501&lt;$H118)," ")))</f>
        <v xml:space="preserve"> </v>
      </c>
      <c r="Y118" t="str" cm="1">
        <f t="array" ref="Y118">_xlfn.TEXTJOIN(",",TRUE,(_xlfn._xlws.FILTER($A$2:$A$501,($D$2:$D$501&gt;=Z$7)*($D$2:$D$501&lt;Y$7)*($E$2:$E$501&gt;=$H119)*($E$2:$E$501&lt;$H118)," ")))</f>
        <v xml:space="preserve"> </v>
      </c>
      <c r="Z118" t="str" cm="1">
        <f t="array" ref="Z118">_xlfn.TEXTJOIN(",",TRUE,(_xlfn._xlws.FILTER($A$2:$A$501,($D$2:$D$501&gt;=AA$7)*($D$2:$D$501&lt;Z$7)*($E$2:$E$501&gt;=$H119)*($E$2:$E$501&lt;$H118)," ")))</f>
        <v xml:space="preserve"> </v>
      </c>
      <c r="AA118" t="str" cm="1">
        <f t="array" ref="AA118">_xlfn.TEXTJOIN(",",TRUE,(_xlfn._xlws.FILTER($A$2:$A$501,($D$2:$D$501&gt;=AB$7)*($D$2:$D$501&lt;AA$7)*($E$2:$E$501&gt;=$H119)*($E$2:$E$501&lt;$H118)," ")))</f>
        <v>Jersey Shore Area SD</v>
      </c>
      <c r="AB118" t="str" cm="1">
        <f t="array" ref="AB118">_xlfn.TEXTJOIN(",",TRUE,(_xlfn._xlws.FILTER($A$2:$A$501,($D$2:$D$501&gt;=AC$7)*($D$2:$D$501&lt;AB$7)*($E$2:$E$501&gt;=$H119)*($E$2:$E$501&lt;$H118)," ")))</f>
        <v>Pen Argyl Area SD,Slippery Rock Area SD</v>
      </c>
      <c r="AC118" t="str" cm="1">
        <f t="array" ref="AC118">_xlfn.TEXTJOIN(",",TRUE,(_xlfn._xlws.FILTER($A$2:$A$501,($D$2:$D$501&gt;=AD$7)*($D$2:$D$501&lt;AC$7)*($E$2:$E$501&gt;=$H119)*($E$2:$E$501&lt;$H118)," ")))</f>
        <v>Lakeview SD,Apollo-Ridge SD</v>
      </c>
      <c r="AD118" t="str" cm="1">
        <f t="array" ref="AD118">_xlfn.TEXTJOIN(",",TRUE,(_xlfn._xlws.FILTER($A$2:$A$501,($D$2:$D$501&gt;=AE$7)*($D$2:$D$501&lt;AD$7)*($E$2:$E$501&gt;=$H119)*($E$2:$E$501&lt;$H118)," ")))</f>
        <v>Greenwood SD,Ferndale Area SD</v>
      </c>
      <c r="AE118" t="str" cm="1">
        <f t="array" ref="AE118">_xlfn.TEXTJOIN(",",TRUE,(_xlfn._xlws.FILTER($A$2:$A$501,($D$2:$D$501&gt;=AF$7)*($D$2:$D$501&lt;AE$7)*($E$2:$E$501&gt;=$H119)*($E$2:$E$501&lt;$H118)," ")))</f>
        <v xml:space="preserve"> </v>
      </c>
      <c r="AF118" t="str" cm="1">
        <f t="array" ref="AF118">_xlfn.TEXTJOIN(",",TRUE,(_xlfn._xlws.FILTER($A$2:$A$501,($D$2:$D$501&gt;=AG$7)*($D$2:$D$501&lt;AF$7)*($E$2:$E$501&gt;=$H119)*($E$2:$E$501&lt;$H118)," ")))</f>
        <v xml:space="preserve"> </v>
      </c>
      <c r="AG118" t="str" cm="1">
        <f t="array" ref="AG118">_xlfn.TEXTJOIN(",",TRUE,(_xlfn._xlws.FILTER($A$2:$A$501,($D$2:$D$501&gt;=AH$7)*($D$2:$D$501&lt;AG$7)*($E$2:$E$501&gt;=$H119)*($E$2:$E$501&lt;$H118)," ")))</f>
        <v xml:space="preserve"> </v>
      </c>
      <c r="AH118" t="str" cm="1">
        <f t="array" ref="AH118">_xlfn.TEXTJOIN(",",TRUE,(_xlfn._xlws.FILTER($A$2:$A$501,($D$2:$D$501&gt;=AI$7)*($D$2:$D$501&lt;AH$7)*($E$2:$E$501&gt;=$H119)*($E$2:$E$501&lt;$H118)," ")))</f>
        <v xml:space="preserve"> </v>
      </c>
      <c r="AI118" t="str" cm="1">
        <f t="array" ref="AI118">_xlfn.TEXTJOIN(",",TRUE,(_xlfn._xlws.FILTER($A$2:$A$501,($D$2:$D$501&gt;=AJ$7)*($D$2:$D$501&lt;AI$7)*($E$2:$E$501&gt;=$H119)*($E$2:$E$501&lt;$H118)," ")))</f>
        <v xml:space="preserve"> </v>
      </c>
      <c r="AJ118" t="str" cm="1">
        <f t="array" ref="AJ118">_xlfn.TEXTJOIN(",",TRUE,(_xlfn._xlws.FILTER($A$2:$A$501,($D$2:$D$501&gt;=AK$7)*($D$2:$D$501&lt;AJ$7)*($E$2:$E$501&gt;=$H119)*($E$2:$E$501&lt;$H118)," ")))</f>
        <v xml:space="preserve"> </v>
      </c>
      <c r="AK118" t="str" cm="1">
        <f t="array" ref="AK118">_xlfn.TEXTJOIN(",",TRUE,(_xlfn._xlws.FILTER($A$2:$A$501,($D$2:$D$501&gt;=AL$7)*($D$2:$D$501&lt;AK$7)*($E$2:$E$501&gt;=$H119)*($E$2:$E$501&lt;$H118)," ")))</f>
        <v xml:space="preserve"> </v>
      </c>
      <c r="AL118" t="str" cm="1">
        <f t="array" ref="AL118">_xlfn.TEXTJOIN(",",TRUE,(_xlfn._xlws.FILTER($A$2:$A$501,($D$2:$D$501&gt;=AM$7)*($D$2:$D$501&lt;AL$7)*($E$2:$E$501&gt;=$H119)*($E$2:$E$501&lt;$H118)," ")))</f>
        <v xml:space="preserve"> </v>
      </c>
      <c r="AM118" t="str" cm="1">
        <f t="array" ref="AM118">_xlfn.TEXTJOIN(",",TRUE,(_xlfn._xlws.FILTER($A$2:$A$501,($D$2:$D$501&gt;=AN$7)*($D$2:$D$501&lt;AM$7)*($E$2:$E$501&gt;=$H119)*($E$2:$E$501&lt;$H118)," ")))</f>
        <v xml:space="preserve"> </v>
      </c>
      <c r="AN118" t="str" cm="1">
        <f t="array" ref="AN118">_xlfn.TEXTJOIN(",",TRUE,(_xlfn._xlws.FILTER($A$2:$A$501,($D$2:$D$501&gt;=AO$7)*($D$2:$D$501&lt;AN$7)*($E$2:$E$501&gt;=$H119)*($E$2:$E$501&lt;$H118)," ")))</f>
        <v xml:space="preserve"> </v>
      </c>
      <c r="AO118" t="str" cm="1">
        <f t="array" ref="AO118">_xlfn.TEXTJOIN(",",TRUE,(_xlfn._xlws.FILTER($A$2:$A$501,($D$2:$D$501&gt;=AP$7)*($D$2:$D$501&lt;AO$7)*($E$2:$E$501&gt;=$H119)*($E$2:$E$501&lt;$H118)," ")))</f>
        <v xml:space="preserve"> </v>
      </c>
      <c r="AP118" t="str" cm="1">
        <f t="array" ref="AP118">_xlfn.TEXTJOIN(",",TRUE,(_xlfn._xlws.FILTER($A$2:$A$501,($D$2:$D$501&gt;=AQ$7)*($D$2:$D$501&lt;AP$7)*($E$2:$E$501&gt;=$H119)*($E$2:$E$501&lt;$H118)," ")))</f>
        <v xml:space="preserve"> </v>
      </c>
      <c r="AQ118" t="str" cm="1">
        <f t="array" ref="AQ118">_xlfn.TEXTJOIN(",",TRUE,(_xlfn._xlws.FILTER($A$2:$A$501,($D$2:$D$501&gt;=AR$7)*($D$2:$D$501&lt;AQ$7)*($E$2:$E$501&gt;=$H119)*($E$2:$E$501&lt;$H118)," ")))</f>
        <v xml:space="preserve"> </v>
      </c>
      <c r="AR118" t="str" cm="1">
        <f t="array" ref="AR118">_xlfn.TEXTJOIN(",",TRUE,(_xlfn._xlws.FILTER($A$2:$A$501,($D$2:$D$501&gt;=AS$7)*($D$2:$D$501&lt;AR$7)*($E$2:$E$501&gt;=$H119)*($E$2:$E$501&lt;$H118)," ")))</f>
        <v xml:space="preserve"> </v>
      </c>
      <c r="AS118" t="str" cm="1">
        <f t="array" ref="AS118">_xlfn.TEXTJOIN(",",TRUE,(_xlfn._xlws.FILTER($A$2:$A$501,($D$2:$D$501&gt;=AT$7)*($D$2:$D$501&lt;AS$7)*($E$2:$E$501&gt;=$H119)*($E$2:$E$501&lt;$H118)," ")))</f>
        <v xml:space="preserve"> </v>
      </c>
      <c r="AT118" t="str" cm="1">
        <f t="array" ref="AT118">_xlfn.TEXTJOIN(",",TRUE,(_xlfn._xlws.FILTER($A$2:$A$501,($D$2:$D$501&gt;=AU$7)*($D$2:$D$501&lt;AT$7)*($E$2:$E$501&gt;=$H119)*($E$2:$E$501&lt;$H118)," ")))</f>
        <v xml:space="preserve"> </v>
      </c>
      <c r="AU118" t="str" cm="1">
        <f t="array" ref="AU118">_xlfn.TEXTJOIN(",",TRUE,(_xlfn._xlws.FILTER($A$2:$A$501,($D$2:$D$501&gt;=AV$7)*($D$2:$D$501&lt;AU$7)*($E$2:$E$501&gt;=$H119)*($E$2:$E$501&lt;$H118)," ")))</f>
        <v xml:space="preserve"> </v>
      </c>
      <c r="AV118" t="str" cm="1">
        <f t="array" ref="AV118">_xlfn.TEXTJOIN(",",TRUE,(_xlfn._xlws.FILTER($A$2:$A$501,($D$2:$D$501&gt;=AW$7)*($D$2:$D$501&lt;AV$7)*($E$2:$E$501&gt;=$H119)*($E$2:$E$501&lt;$H118)," ")))</f>
        <v xml:space="preserve"> </v>
      </c>
      <c r="AW118" t="str" cm="1">
        <f t="array" ref="AW118">_xlfn.TEXTJOIN(",",TRUE,(_xlfn._xlws.FILTER($A$2:$A$501,($D$2:$D$501&gt;=AX$7)*($D$2:$D$501&lt;AW$7)*($E$2:$E$501&gt;=$H119)*($E$2:$E$501&lt;$H118)," ")))</f>
        <v xml:space="preserve"> </v>
      </c>
      <c r="AX118" t="str" cm="1">
        <f t="array" ref="AX118">_xlfn.TEXTJOIN(",",TRUE,(_xlfn._xlws.FILTER($A$2:$A$501,($D$2:$D$501&gt;=AY$7)*($D$2:$D$501&lt;AX$7)*($E$2:$E$501&gt;=$H119)*($E$2:$E$501&lt;$H118)," ")))</f>
        <v xml:space="preserve"> </v>
      </c>
      <c r="AY118" t="str" cm="1">
        <f t="array" ref="AY118">_xlfn.TEXTJOIN(",",TRUE,(_xlfn._xlws.FILTER($A$2:$A$501,($D$2:$D$501&gt;=AZ$7)*($D$2:$D$501&lt;AY$7)*($E$2:$E$501&gt;=$H119)*($E$2:$E$501&lt;$H118)," ")))</f>
        <v xml:space="preserve"> </v>
      </c>
      <c r="AZ118" t="str" cm="1">
        <f t="array" ref="AZ118">_xlfn.TEXTJOIN(",",TRUE,(_xlfn._xlws.FILTER($A$2:$A$501,($D$2:$D$501&gt;=BA$7)*($D$2:$D$501&lt;AZ$7)*($E$2:$E$501&gt;=$H119)*($E$2:$E$501&lt;$H118)," ")))</f>
        <v xml:space="preserve"> </v>
      </c>
      <c r="BA118" t="str" cm="1">
        <f t="array" ref="BA118">_xlfn.TEXTJOIN(",",TRUE,(_xlfn._xlws.FILTER($A$2:$A$501,($D$2:$D$501&gt;=BB$7)*($D$2:$D$501&lt;BA$7)*($E$2:$E$501&gt;=$H119)*($E$2:$E$501&lt;$H118)," ")))</f>
        <v xml:space="preserve"> </v>
      </c>
      <c r="BB118" t="str" cm="1">
        <f t="array" ref="BB118">_xlfn.TEXTJOIN(",",TRUE,(_xlfn._xlws.FILTER($A$2:$A$501,($D$2:$D$501&gt;=BC$7)*($D$2:$D$501&lt;BB$7)*($E$2:$E$501&gt;=$H119)*($E$2:$E$501&lt;$H118)," ")))</f>
        <v xml:space="preserve"> </v>
      </c>
    </row>
    <row r="119" spans="1:54" x14ac:dyDescent="0.2">
      <c r="A119" s="3" t="s">
        <v>392</v>
      </c>
      <c r="B119" s="3" t="s">
        <v>386</v>
      </c>
      <c r="C119" s="13">
        <v>869268.78</v>
      </c>
      <c r="D119" s="15">
        <v>21739087.960000001</v>
      </c>
      <c r="E119" s="22">
        <f>TuitionRates3[[#This Row],[Tuition]]/D119</f>
        <v>3.9986442007109851E-2</v>
      </c>
      <c r="F119"/>
      <c r="H119" s="18">
        <v>3.9E-2</v>
      </c>
      <c r="I119" t="str" cm="1">
        <f t="array" ref="I119">_xlfn.TEXTJOIN(",",TRUE,(_xlfn._xlws.FILTER($A$2:$A$501,($D$2:$D$501&gt;=J$7)*($D$2:$D$501&lt;I$7)*($E$2:$E$501&gt;=$H120)*($E$2:$E$501&lt;$H119)," ")))</f>
        <v xml:space="preserve"> </v>
      </c>
      <c r="J119" t="str" cm="1">
        <f t="array" ref="J119">_xlfn.TEXTJOIN(",",TRUE,(_xlfn._xlws.FILTER($A$2:$A$501,($D$2:$D$501&gt;=K$7)*($D$2:$D$501&lt;J$7)*($E$2:$E$501&gt;=$H120)*($E$2:$E$501&lt;$H119)," ")))</f>
        <v xml:space="preserve"> </v>
      </c>
      <c r="K119" t="str" cm="1">
        <f t="array" ref="K119">_xlfn.TEXTJOIN(",",TRUE,(_xlfn._xlws.FILTER($A$2:$A$501,($D$2:$D$501&gt;=L$7)*($D$2:$D$501&lt;K$7)*($E$2:$E$501&gt;=$H120)*($E$2:$E$501&lt;$H119)," ")))</f>
        <v xml:space="preserve"> </v>
      </c>
      <c r="L119" t="str" cm="1">
        <f t="array" ref="L119">_xlfn.TEXTJOIN(",",TRUE,(_xlfn._xlws.FILTER($A$2:$A$501,($D$2:$D$501&gt;=M$7)*($D$2:$D$501&lt;L$7)*($E$2:$E$501&gt;=$H120)*($E$2:$E$501&lt;$H119)," ")))</f>
        <v xml:space="preserve"> </v>
      </c>
      <c r="M119" t="str" cm="1">
        <f t="array" ref="M119">_xlfn.TEXTJOIN(",",TRUE,(_xlfn._xlws.FILTER($A$2:$A$501,($D$2:$D$501&gt;=N$7)*($D$2:$D$501&lt;M$7)*($E$2:$E$501&gt;=$H120)*($E$2:$E$501&lt;$H119)," ")))</f>
        <v xml:space="preserve"> </v>
      </c>
      <c r="N119" t="str" cm="1">
        <f t="array" ref="N119">_xlfn.TEXTJOIN(",",TRUE,(_xlfn._xlws.FILTER($A$2:$A$501,($D$2:$D$501&gt;=O$7)*($D$2:$D$501&lt;N$7)*($E$2:$E$501&gt;=$H120)*($E$2:$E$501&lt;$H119)," ")))</f>
        <v xml:space="preserve"> </v>
      </c>
      <c r="O119" t="str" cm="1">
        <f t="array" ref="O119">_xlfn.TEXTJOIN(",",TRUE,(_xlfn._xlws.FILTER($A$2:$A$501,($D$2:$D$501&gt;=P$7)*($D$2:$D$501&lt;O$7)*($E$2:$E$501&gt;=$H120)*($E$2:$E$501&lt;$H119)," ")))</f>
        <v xml:space="preserve"> </v>
      </c>
      <c r="P119" t="str" cm="1">
        <f t="array" ref="P119">_xlfn.TEXTJOIN(",",TRUE,(_xlfn._xlws.FILTER($A$2:$A$501,($D$2:$D$501&gt;=Q$7)*($D$2:$D$501&lt;P$7)*($E$2:$E$501&gt;=$H120)*($E$2:$E$501&lt;$H119)," ")))</f>
        <v xml:space="preserve"> </v>
      </c>
      <c r="Q119" t="str" cm="1">
        <f t="array" ref="Q119">_xlfn.TEXTJOIN(",",TRUE,(_xlfn._xlws.FILTER($A$2:$A$501,($D$2:$D$501&gt;=R$7)*($D$2:$D$501&lt;Q$7)*($E$2:$E$501&gt;=$H120)*($E$2:$E$501&lt;$H119)," ")))</f>
        <v xml:space="preserve"> </v>
      </c>
      <c r="R119" t="str" cm="1">
        <f t="array" ref="R119">_xlfn.TEXTJOIN(",",TRUE,(_xlfn._xlws.FILTER($A$2:$A$501,($D$2:$D$501&gt;=S$7)*($D$2:$D$501&lt;R$7)*($E$2:$E$501&gt;=$H120)*($E$2:$E$501&lt;$H119)," ")))</f>
        <v xml:space="preserve"> </v>
      </c>
      <c r="S119" t="str" cm="1">
        <f t="array" ref="S119">_xlfn.TEXTJOIN(",",TRUE,(_xlfn._xlws.FILTER($A$2:$A$501,($D$2:$D$501&gt;=T$7)*($D$2:$D$501&lt;S$7)*($E$2:$E$501&gt;=$H120)*($E$2:$E$501&lt;$H119)," ")))</f>
        <v xml:space="preserve"> </v>
      </c>
      <c r="T119" t="str" cm="1">
        <f t="array" ref="T119">_xlfn.TEXTJOIN(",",TRUE,(_xlfn._xlws.FILTER($A$2:$A$501,($D$2:$D$501&gt;=U$7)*($D$2:$D$501&lt;T$7)*($E$2:$E$501&gt;=$H120)*($E$2:$E$501&lt;$H119)," ")))</f>
        <v xml:space="preserve"> </v>
      </c>
      <c r="U119" t="str" cm="1">
        <f t="array" ref="U119">_xlfn.TEXTJOIN(",",TRUE,(_xlfn._xlws.FILTER($A$2:$A$501,($D$2:$D$501&gt;=V$7)*($D$2:$D$501&lt;U$7)*($E$2:$E$501&gt;=$H120)*($E$2:$E$501&lt;$H119)," ")))</f>
        <v>William Penn SD,Boyertown Area SD</v>
      </c>
      <c r="V119" t="str" cm="1">
        <f t="array" ref="V119">_xlfn.TEXTJOIN(",",TRUE,(_xlfn._xlws.FILTER($A$2:$A$501,($D$2:$D$501&gt;=W$7)*($D$2:$D$501&lt;V$7)*($E$2:$E$501&gt;=$H120)*($E$2:$E$501&lt;$H119)," ")))</f>
        <v xml:space="preserve"> </v>
      </c>
      <c r="W119" t="str" cm="1">
        <f t="array" ref="W119">_xlfn.TEXTJOIN(",",TRUE,(_xlfn._xlws.FILTER($A$2:$A$501,($D$2:$D$501&gt;=X$7)*($D$2:$D$501&lt;W$7)*($E$2:$E$501&gt;=$H120)*($E$2:$E$501&lt;$H119)," ")))</f>
        <v xml:space="preserve"> </v>
      </c>
      <c r="X119" t="str" cm="1">
        <f t="array" ref="X119">_xlfn.TEXTJOIN(",",TRUE,(_xlfn._xlws.FILTER($A$2:$A$501,($D$2:$D$501&gt;=Y$7)*($D$2:$D$501&lt;X$7)*($E$2:$E$501&gt;=$H120)*($E$2:$E$501&lt;$H119)," ")))</f>
        <v>Upper Perkiomen SD</v>
      </c>
      <c r="Y119" t="str" cm="1">
        <f t="array" ref="Y119">_xlfn.TEXTJOIN(",",TRUE,(_xlfn._xlws.FILTER($A$2:$A$501,($D$2:$D$501&gt;=Z$7)*($D$2:$D$501&lt;Y$7)*($E$2:$E$501&gt;=$H120)*($E$2:$E$501&lt;$H119)," ")))</f>
        <v>Shippensburg Area SD,York Suburban SD</v>
      </c>
      <c r="Z119" t="str" cm="1">
        <f t="array" ref="Z119">_xlfn.TEXTJOIN(",",TRUE,(_xlfn._xlws.FILTER($A$2:$A$501,($D$2:$D$501&gt;=AA$7)*($D$2:$D$501&lt;Z$7)*($E$2:$E$501&gt;=$H120)*($E$2:$E$501&lt;$H119)," ")))</f>
        <v>Shikellamy SD</v>
      </c>
      <c r="AA119" t="str" cm="1">
        <f t="array" ref="AA119">_xlfn.TEXTJOIN(",",TRUE,(_xlfn._xlws.FILTER($A$2:$A$501,($D$2:$D$501&gt;=AB$7)*($D$2:$D$501&lt;AA$7)*($E$2:$E$501&gt;=$H120)*($E$2:$E$501&lt;$H119)," ")))</f>
        <v>Dallas SD</v>
      </c>
      <c r="AB119" t="str" cm="1">
        <f t="array" ref="AB119">_xlfn.TEXTJOIN(",",TRUE,(_xlfn._xlws.FILTER($A$2:$A$501,($D$2:$D$501&gt;=AC$7)*($D$2:$D$501&lt;AB$7)*($E$2:$E$501&gt;=$H120)*($E$2:$E$501&lt;$H119)," ")))</f>
        <v>Annville-Cleona SD</v>
      </c>
      <c r="AC119" t="str" cm="1">
        <f t="array" ref="AC119">_xlfn.TEXTJOIN(",",TRUE,(_xlfn._xlws.FILTER($A$2:$A$501,($D$2:$D$501&gt;=AD$7)*($D$2:$D$501&lt;AC$7)*($E$2:$E$501&gt;=$H120)*($E$2:$E$501&lt;$H119)," ")))</f>
        <v>Elk Lake SD,Bentworth SD,South Williamsport Area SD</v>
      </c>
      <c r="AD119" t="str" cm="1">
        <f t="array" ref="AD119">_xlfn.TEXTJOIN(",",TRUE,(_xlfn._xlws.FILTER($A$2:$A$501,($D$2:$D$501&gt;=AE$7)*($D$2:$D$501&lt;AD$7)*($E$2:$E$501&gt;=$H120)*($E$2:$E$501&lt;$H119)," ")))</f>
        <v>Forest Area SD</v>
      </c>
      <c r="AE119" t="str" cm="1">
        <f t="array" ref="AE119">_xlfn.TEXTJOIN(",",TRUE,(_xlfn._xlws.FILTER($A$2:$A$501,($D$2:$D$501&gt;=AF$7)*($D$2:$D$501&lt;AE$7)*($E$2:$E$501&gt;=$H120)*($E$2:$E$501&lt;$H119)," ")))</f>
        <v xml:space="preserve"> </v>
      </c>
      <c r="AF119" t="str" cm="1">
        <f t="array" ref="AF119">_xlfn.TEXTJOIN(",",TRUE,(_xlfn._xlws.FILTER($A$2:$A$501,($D$2:$D$501&gt;=AG$7)*($D$2:$D$501&lt;AF$7)*($E$2:$E$501&gt;=$H120)*($E$2:$E$501&lt;$H119)," ")))</f>
        <v xml:space="preserve"> </v>
      </c>
      <c r="AG119" t="str" cm="1">
        <f t="array" ref="AG119">_xlfn.TEXTJOIN(",",TRUE,(_xlfn._xlws.FILTER($A$2:$A$501,($D$2:$D$501&gt;=AH$7)*($D$2:$D$501&lt;AG$7)*($E$2:$E$501&gt;=$H120)*($E$2:$E$501&lt;$H119)," ")))</f>
        <v xml:space="preserve"> </v>
      </c>
      <c r="AH119" t="str" cm="1">
        <f t="array" ref="AH119">_xlfn.TEXTJOIN(",",TRUE,(_xlfn._xlws.FILTER($A$2:$A$501,($D$2:$D$501&gt;=AI$7)*($D$2:$D$501&lt;AH$7)*($E$2:$E$501&gt;=$H120)*($E$2:$E$501&lt;$H119)," ")))</f>
        <v xml:space="preserve"> </v>
      </c>
      <c r="AI119" t="str" cm="1">
        <f t="array" ref="AI119">_xlfn.TEXTJOIN(",",TRUE,(_xlfn._xlws.FILTER($A$2:$A$501,($D$2:$D$501&gt;=AJ$7)*($D$2:$D$501&lt;AI$7)*($E$2:$E$501&gt;=$H120)*($E$2:$E$501&lt;$H119)," ")))</f>
        <v xml:space="preserve"> </v>
      </c>
      <c r="AJ119" t="str" cm="1">
        <f t="array" ref="AJ119">_xlfn.TEXTJOIN(",",TRUE,(_xlfn._xlws.FILTER($A$2:$A$501,($D$2:$D$501&gt;=AK$7)*($D$2:$D$501&lt;AJ$7)*($E$2:$E$501&gt;=$H120)*($E$2:$E$501&lt;$H119)," ")))</f>
        <v xml:space="preserve"> </v>
      </c>
      <c r="AK119" t="str" cm="1">
        <f t="array" ref="AK119">_xlfn.TEXTJOIN(",",TRUE,(_xlfn._xlws.FILTER($A$2:$A$501,($D$2:$D$501&gt;=AL$7)*($D$2:$D$501&lt;AK$7)*($E$2:$E$501&gt;=$H120)*($E$2:$E$501&lt;$H119)," ")))</f>
        <v xml:space="preserve"> </v>
      </c>
      <c r="AL119" t="str" cm="1">
        <f t="array" ref="AL119">_xlfn.TEXTJOIN(",",TRUE,(_xlfn._xlws.FILTER($A$2:$A$501,($D$2:$D$501&gt;=AM$7)*($D$2:$D$501&lt;AL$7)*($E$2:$E$501&gt;=$H120)*($E$2:$E$501&lt;$H119)," ")))</f>
        <v xml:space="preserve"> </v>
      </c>
      <c r="AM119" t="str" cm="1">
        <f t="array" ref="AM119">_xlfn.TEXTJOIN(",",TRUE,(_xlfn._xlws.FILTER($A$2:$A$501,($D$2:$D$501&gt;=AN$7)*($D$2:$D$501&lt;AM$7)*($E$2:$E$501&gt;=$H120)*($E$2:$E$501&lt;$H119)," ")))</f>
        <v xml:space="preserve"> </v>
      </c>
      <c r="AN119" t="str" cm="1">
        <f t="array" ref="AN119">_xlfn.TEXTJOIN(",",TRUE,(_xlfn._xlws.FILTER($A$2:$A$501,($D$2:$D$501&gt;=AO$7)*($D$2:$D$501&lt;AN$7)*($E$2:$E$501&gt;=$H120)*($E$2:$E$501&lt;$H119)," ")))</f>
        <v xml:space="preserve"> </v>
      </c>
      <c r="AO119" t="str" cm="1">
        <f t="array" ref="AO119">_xlfn.TEXTJOIN(",",TRUE,(_xlfn._xlws.FILTER($A$2:$A$501,($D$2:$D$501&gt;=AP$7)*($D$2:$D$501&lt;AO$7)*($E$2:$E$501&gt;=$H120)*($E$2:$E$501&lt;$H119)," ")))</f>
        <v xml:space="preserve"> </v>
      </c>
      <c r="AP119" t="str" cm="1">
        <f t="array" ref="AP119">_xlfn.TEXTJOIN(",",TRUE,(_xlfn._xlws.FILTER($A$2:$A$501,($D$2:$D$501&gt;=AQ$7)*($D$2:$D$501&lt;AP$7)*($E$2:$E$501&gt;=$H120)*($E$2:$E$501&lt;$H119)," ")))</f>
        <v xml:space="preserve"> </v>
      </c>
      <c r="AQ119" t="str" cm="1">
        <f t="array" ref="AQ119">_xlfn.TEXTJOIN(",",TRUE,(_xlfn._xlws.FILTER($A$2:$A$501,($D$2:$D$501&gt;=AR$7)*($D$2:$D$501&lt;AQ$7)*($E$2:$E$501&gt;=$H120)*($E$2:$E$501&lt;$H119)," ")))</f>
        <v xml:space="preserve"> </v>
      </c>
      <c r="AR119" t="str" cm="1">
        <f t="array" ref="AR119">_xlfn.TEXTJOIN(",",TRUE,(_xlfn._xlws.FILTER($A$2:$A$501,($D$2:$D$501&gt;=AS$7)*($D$2:$D$501&lt;AR$7)*($E$2:$E$501&gt;=$H120)*($E$2:$E$501&lt;$H119)," ")))</f>
        <v xml:space="preserve"> </v>
      </c>
      <c r="AS119" t="str" cm="1">
        <f t="array" ref="AS119">_xlfn.TEXTJOIN(",",TRUE,(_xlfn._xlws.FILTER($A$2:$A$501,($D$2:$D$501&gt;=AT$7)*($D$2:$D$501&lt;AS$7)*($E$2:$E$501&gt;=$H120)*($E$2:$E$501&lt;$H119)," ")))</f>
        <v xml:space="preserve"> </v>
      </c>
      <c r="AT119" t="str" cm="1">
        <f t="array" ref="AT119">_xlfn.TEXTJOIN(",",TRUE,(_xlfn._xlws.FILTER($A$2:$A$501,($D$2:$D$501&gt;=AU$7)*($D$2:$D$501&lt;AT$7)*($E$2:$E$501&gt;=$H120)*($E$2:$E$501&lt;$H119)," ")))</f>
        <v xml:space="preserve"> </v>
      </c>
      <c r="AU119" t="str" cm="1">
        <f t="array" ref="AU119">_xlfn.TEXTJOIN(",",TRUE,(_xlfn._xlws.FILTER($A$2:$A$501,($D$2:$D$501&gt;=AV$7)*($D$2:$D$501&lt;AU$7)*($E$2:$E$501&gt;=$H120)*($E$2:$E$501&lt;$H119)," ")))</f>
        <v xml:space="preserve"> </v>
      </c>
      <c r="AV119" t="str" cm="1">
        <f t="array" ref="AV119">_xlfn.TEXTJOIN(",",TRUE,(_xlfn._xlws.FILTER($A$2:$A$501,($D$2:$D$501&gt;=AW$7)*($D$2:$D$501&lt;AV$7)*($E$2:$E$501&gt;=$H120)*($E$2:$E$501&lt;$H119)," ")))</f>
        <v xml:space="preserve"> </v>
      </c>
      <c r="AW119" t="str" cm="1">
        <f t="array" ref="AW119">_xlfn.TEXTJOIN(",",TRUE,(_xlfn._xlws.FILTER($A$2:$A$501,($D$2:$D$501&gt;=AX$7)*($D$2:$D$501&lt;AW$7)*($E$2:$E$501&gt;=$H120)*($E$2:$E$501&lt;$H119)," ")))</f>
        <v xml:space="preserve"> </v>
      </c>
      <c r="AX119" t="str" cm="1">
        <f t="array" ref="AX119">_xlfn.TEXTJOIN(",",TRUE,(_xlfn._xlws.FILTER($A$2:$A$501,($D$2:$D$501&gt;=AY$7)*($D$2:$D$501&lt;AX$7)*($E$2:$E$501&gt;=$H120)*($E$2:$E$501&lt;$H119)," ")))</f>
        <v xml:space="preserve"> </v>
      </c>
      <c r="AY119" t="str" cm="1">
        <f t="array" ref="AY119">_xlfn.TEXTJOIN(",",TRUE,(_xlfn._xlws.FILTER($A$2:$A$501,($D$2:$D$501&gt;=AZ$7)*($D$2:$D$501&lt;AY$7)*($E$2:$E$501&gt;=$H120)*($E$2:$E$501&lt;$H119)," ")))</f>
        <v xml:space="preserve"> </v>
      </c>
      <c r="AZ119" t="str" cm="1">
        <f t="array" ref="AZ119">_xlfn.TEXTJOIN(",",TRUE,(_xlfn._xlws.FILTER($A$2:$A$501,($D$2:$D$501&gt;=BA$7)*($D$2:$D$501&lt;AZ$7)*($E$2:$E$501&gt;=$H120)*($E$2:$E$501&lt;$H119)," ")))</f>
        <v xml:space="preserve"> </v>
      </c>
      <c r="BA119" t="str" cm="1">
        <f t="array" ref="BA119">_xlfn.TEXTJOIN(",",TRUE,(_xlfn._xlws.FILTER($A$2:$A$501,($D$2:$D$501&gt;=BB$7)*($D$2:$D$501&lt;BA$7)*($E$2:$E$501&gt;=$H120)*($E$2:$E$501&lt;$H119)," ")))</f>
        <v xml:space="preserve"> </v>
      </c>
      <c r="BB119" t="str" cm="1">
        <f t="array" ref="BB119">_xlfn.TEXTJOIN(",",TRUE,(_xlfn._xlws.FILTER($A$2:$A$501,($D$2:$D$501&gt;=BC$7)*($D$2:$D$501&lt;BB$7)*($E$2:$E$501&gt;=$H120)*($E$2:$E$501&lt;$H119)," ")))</f>
        <v xml:space="preserve"> </v>
      </c>
    </row>
    <row r="120" spans="1:54" x14ac:dyDescent="0.2">
      <c r="A120" s="3" t="s">
        <v>436</v>
      </c>
      <c r="B120" s="3" t="s">
        <v>431</v>
      </c>
      <c r="C120" s="13">
        <v>1422822.56</v>
      </c>
      <c r="D120" s="15">
        <v>35669640.57</v>
      </c>
      <c r="E120" s="22">
        <f>TuitionRates3[[#This Row],[Tuition]]/D120</f>
        <v>3.9888895353676956E-2</v>
      </c>
      <c r="F120"/>
      <c r="H120" s="18">
        <v>3.7999999999999999E-2</v>
      </c>
      <c r="I120" t="str" cm="1">
        <f t="array" ref="I120">_xlfn.TEXTJOIN(",",TRUE,(_xlfn._xlws.FILTER($A$2:$A$501,($D$2:$D$501&gt;=J$7)*($D$2:$D$501&lt;I$7)*($E$2:$E$501&gt;=$H121)*($E$2:$E$501&lt;$H120)," ")))</f>
        <v xml:space="preserve"> </v>
      </c>
      <c r="J120" t="str" cm="1">
        <f t="array" ref="J120">_xlfn.TEXTJOIN(",",TRUE,(_xlfn._xlws.FILTER($A$2:$A$501,($D$2:$D$501&gt;=K$7)*($D$2:$D$501&lt;J$7)*($E$2:$E$501&gt;=$H121)*($E$2:$E$501&lt;$H120)," ")))</f>
        <v xml:space="preserve"> </v>
      </c>
      <c r="K120" t="str" cm="1">
        <f t="array" ref="K120">_xlfn.TEXTJOIN(",",TRUE,(_xlfn._xlws.FILTER($A$2:$A$501,($D$2:$D$501&gt;=L$7)*($D$2:$D$501&lt;K$7)*($E$2:$E$501&gt;=$H121)*($E$2:$E$501&lt;$H120)," ")))</f>
        <v xml:space="preserve"> </v>
      </c>
      <c r="L120" t="str" cm="1">
        <f t="array" ref="L120">_xlfn.TEXTJOIN(",",TRUE,(_xlfn._xlws.FILTER($A$2:$A$501,($D$2:$D$501&gt;=M$7)*($D$2:$D$501&lt;L$7)*($E$2:$E$501&gt;=$H121)*($E$2:$E$501&lt;$H120)," ")))</f>
        <v xml:space="preserve"> </v>
      </c>
      <c r="M120" t="str" cm="1">
        <f t="array" ref="M120">_xlfn.TEXTJOIN(",",TRUE,(_xlfn._xlws.FILTER($A$2:$A$501,($D$2:$D$501&gt;=N$7)*($D$2:$D$501&lt;M$7)*($E$2:$E$501&gt;=$H121)*($E$2:$E$501&lt;$H120)," ")))</f>
        <v xml:space="preserve"> </v>
      </c>
      <c r="N120" t="str" cm="1">
        <f t="array" ref="N120">_xlfn.TEXTJOIN(",",TRUE,(_xlfn._xlws.FILTER($A$2:$A$501,($D$2:$D$501&gt;=O$7)*($D$2:$D$501&lt;N$7)*($E$2:$E$501&gt;=$H121)*($E$2:$E$501&lt;$H120)," ")))</f>
        <v xml:space="preserve"> </v>
      </c>
      <c r="O120" t="str" cm="1">
        <f t="array" ref="O120">_xlfn.TEXTJOIN(",",TRUE,(_xlfn._xlws.FILTER($A$2:$A$501,($D$2:$D$501&gt;=P$7)*($D$2:$D$501&lt;O$7)*($E$2:$E$501&gt;=$H121)*($E$2:$E$501&lt;$H120)," ")))</f>
        <v xml:space="preserve"> </v>
      </c>
      <c r="P120" t="str" cm="1">
        <f t="array" ref="P120">_xlfn.TEXTJOIN(",",TRUE,(_xlfn._xlws.FILTER($A$2:$A$501,($D$2:$D$501&gt;=Q$7)*($D$2:$D$501&lt;P$7)*($E$2:$E$501&gt;=$H121)*($E$2:$E$501&lt;$H120)," ")))</f>
        <v xml:space="preserve"> </v>
      </c>
      <c r="Q120" t="str" cm="1">
        <f t="array" ref="Q120">_xlfn.TEXTJOIN(",",TRUE,(_xlfn._xlws.FILTER($A$2:$A$501,($D$2:$D$501&gt;=R$7)*($D$2:$D$501&lt;Q$7)*($E$2:$E$501&gt;=$H121)*($E$2:$E$501&lt;$H120)," ")))</f>
        <v xml:space="preserve"> </v>
      </c>
      <c r="R120" t="str" cm="1">
        <f t="array" ref="R120">_xlfn.TEXTJOIN(",",TRUE,(_xlfn._xlws.FILTER($A$2:$A$501,($D$2:$D$501&gt;=S$7)*($D$2:$D$501&lt;R$7)*($E$2:$E$501&gt;=$H121)*($E$2:$E$501&lt;$H120)," ")))</f>
        <v xml:space="preserve"> </v>
      </c>
      <c r="S120" t="str" cm="1">
        <f t="array" ref="S120">_xlfn.TEXTJOIN(",",TRUE,(_xlfn._xlws.FILTER($A$2:$A$501,($D$2:$D$501&gt;=T$7)*($D$2:$D$501&lt;S$7)*($E$2:$E$501&gt;=$H121)*($E$2:$E$501&lt;$H120)," ")))</f>
        <v xml:space="preserve"> </v>
      </c>
      <c r="T120" t="str" cm="1">
        <f t="array" ref="T120">_xlfn.TEXTJOIN(",",TRUE,(_xlfn._xlws.FILTER($A$2:$A$501,($D$2:$D$501&gt;=U$7)*($D$2:$D$501&lt;T$7)*($E$2:$E$501&gt;=$H121)*($E$2:$E$501&lt;$H120)," ")))</f>
        <v xml:space="preserve"> </v>
      </c>
      <c r="U120" t="str" cm="1">
        <f t="array" ref="U120">_xlfn.TEXTJOIN(",",TRUE,(_xlfn._xlws.FILTER($A$2:$A$501,($D$2:$D$501&gt;=V$7)*($D$2:$D$501&lt;U$7)*($E$2:$E$501&gt;=$H121)*($E$2:$E$501&lt;$H120)," ")))</f>
        <v>Butler Area SD,Carlisle Area SD</v>
      </c>
      <c r="V120" t="str" cm="1">
        <f t="array" ref="V120">_xlfn.TEXTJOIN(",",TRUE,(_xlfn._xlws.FILTER($A$2:$A$501,($D$2:$D$501&gt;=W$7)*($D$2:$D$501&lt;V$7)*($E$2:$E$501&gt;=$H121)*($E$2:$E$501&lt;$H120)," ")))</f>
        <v>Penn Hills SD</v>
      </c>
      <c r="W120" t="str" cm="1">
        <f t="array" ref="W120">_xlfn.TEXTJOIN(",",TRUE,(_xlfn._xlws.FILTER($A$2:$A$501,($D$2:$D$501&gt;=X$7)*($D$2:$D$501&lt;W$7)*($E$2:$E$501&gt;=$H121)*($E$2:$E$501&lt;$H120)," ")))</f>
        <v xml:space="preserve"> </v>
      </c>
      <c r="X120" t="str" cm="1">
        <f t="array" ref="X120">_xlfn.TEXTJOIN(",",TRUE,(_xlfn._xlws.FILTER($A$2:$A$501,($D$2:$D$501&gt;=Y$7)*($D$2:$D$501&lt;X$7)*($E$2:$E$501&gt;=$H121)*($E$2:$E$501&lt;$H120)," ")))</f>
        <v xml:space="preserve"> </v>
      </c>
      <c r="Y120" t="str" cm="1">
        <f t="array" ref="Y120">_xlfn.TEXTJOIN(",",TRUE,(_xlfn._xlws.FILTER($A$2:$A$501,($D$2:$D$501&gt;=Z$7)*($D$2:$D$501&lt;Y$7)*($E$2:$E$501&gt;=$H121)*($E$2:$E$501&lt;$H120)," ")))</f>
        <v xml:space="preserve"> </v>
      </c>
      <c r="Z120" t="str" cm="1">
        <f t="array" ref="Z120">_xlfn.TEXTJOIN(",",TRUE,(_xlfn._xlws.FILTER($A$2:$A$501,($D$2:$D$501&gt;=AA$7)*($D$2:$D$501&lt;Z$7)*($E$2:$E$501&gt;=$H121)*($E$2:$E$501&lt;$H120)," ")))</f>
        <v>Berwick Area SD</v>
      </c>
      <c r="AA120" t="str" cm="1">
        <f t="array" ref="AA120">_xlfn.TEXTJOIN(",",TRUE,(_xlfn._xlws.FILTER($A$2:$A$501,($D$2:$D$501&gt;=AB$7)*($D$2:$D$501&lt;AA$7)*($E$2:$E$501&gt;=$H121)*($E$2:$E$501&lt;$H120)," ")))</f>
        <v>South Middleton SD,Valley View SD</v>
      </c>
      <c r="AB120" t="str" cm="1">
        <f t="array" ref="AB120">_xlfn.TEXTJOIN(",",TRUE,(_xlfn._xlws.FILTER($A$2:$A$501,($D$2:$D$501&gt;=AC$7)*($D$2:$D$501&lt;AB$7)*($E$2:$E$501&gt;=$H121)*($E$2:$E$501&lt;$H120)," ")))</f>
        <v xml:space="preserve"> </v>
      </c>
      <c r="AC120" t="str" cm="1">
        <f t="array" ref="AC120">_xlfn.TEXTJOIN(",",TRUE,(_xlfn._xlws.FILTER($A$2:$A$501,($D$2:$D$501&gt;=AD$7)*($D$2:$D$501&lt;AC$7)*($E$2:$E$501&gt;=$H121)*($E$2:$E$501&lt;$H120)," ")))</f>
        <v xml:space="preserve"> </v>
      </c>
      <c r="AD120" t="str" cm="1">
        <f t="array" ref="AD120">_xlfn.TEXTJOIN(",",TRUE,(_xlfn._xlws.FILTER($A$2:$A$501,($D$2:$D$501&gt;=AE$7)*($D$2:$D$501&lt;AD$7)*($E$2:$E$501&gt;=$H121)*($E$2:$E$501&lt;$H120)," ")))</f>
        <v xml:space="preserve"> </v>
      </c>
      <c r="AE120" t="str" cm="1">
        <f t="array" ref="AE120">_xlfn.TEXTJOIN(",",TRUE,(_xlfn._xlws.FILTER($A$2:$A$501,($D$2:$D$501&gt;=AF$7)*($D$2:$D$501&lt;AE$7)*($E$2:$E$501&gt;=$H121)*($E$2:$E$501&lt;$H120)," ")))</f>
        <v xml:space="preserve"> </v>
      </c>
      <c r="AF120" t="str" cm="1">
        <f t="array" ref="AF120">_xlfn.TEXTJOIN(",",TRUE,(_xlfn._xlws.FILTER($A$2:$A$501,($D$2:$D$501&gt;=AG$7)*($D$2:$D$501&lt;AF$7)*($E$2:$E$501&gt;=$H121)*($E$2:$E$501&lt;$H120)," ")))</f>
        <v xml:space="preserve"> </v>
      </c>
      <c r="AG120" t="str" cm="1">
        <f t="array" ref="AG120">_xlfn.TEXTJOIN(",",TRUE,(_xlfn._xlws.FILTER($A$2:$A$501,($D$2:$D$501&gt;=AH$7)*($D$2:$D$501&lt;AG$7)*($E$2:$E$501&gt;=$H121)*($E$2:$E$501&lt;$H120)," ")))</f>
        <v xml:space="preserve"> </v>
      </c>
      <c r="AH120" t="str" cm="1">
        <f t="array" ref="AH120">_xlfn.TEXTJOIN(",",TRUE,(_xlfn._xlws.FILTER($A$2:$A$501,($D$2:$D$501&gt;=AI$7)*($D$2:$D$501&lt;AH$7)*($E$2:$E$501&gt;=$H121)*($E$2:$E$501&lt;$H120)," ")))</f>
        <v xml:space="preserve"> </v>
      </c>
      <c r="AI120" t="str" cm="1">
        <f t="array" ref="AI120">_xlfn.TEXTJOIN(",",TRUE,(_xlfn._xlws.FILTER($A$2:$A$501,($D$2:$D$501&gt;=AJ$7)*($D$2:$D$501&lt;AI$7)*($E$2:$E$501&gt;=$H121)*($E$2:$E$501&lt;$H120)," ")))</f>
        <v xml:space="preserve"> </v>
      </c>
      <c r="AJ120" t="str" cm="1">
        <f t="array" ref="AJ120">_xlfn.TEXTJOIN(",",TRUE,(_xlfn._xlws.FILTER($A$2:$A$501,($D$2:$D$501&gt;=AK$7)*($D$2:$D$501&lt;AJ$7)*($E$2:$E$501&gt;=$H121)*($E$2:$E$501&lt;$H120)," ")))</f>
        <v xml:space="preserve"> </v>
      </c>
      <c r="AK120" t="str" cm="1">
        <f t="array" ref="AK120">_xlfn.TEXTJOIN(",",TRUE,(_xlfn._xlws.FILTER($A$2:$A$501,($D$2:$D$501&gt;=AL$7)*($D$2:$D$501&lt;AK$7)*($E$2:$E$501&gt;=$H121)*($E$2:$E$501&lt;$H120)," ")))</f>
        <v xml:space="preserve"> </v>
      </c>
      <c r="AL120" t="str" cm="1">
        <f t="array" ref="AL120">_xlfn.TEXTJOIN(",",TRUE,(_xlfn._xlws.FILTER($A$2:$A$501,($D$2:$D$501&gt;=AM$7)*($D$2:$D$501&lt;AL$7)*($E$2:$E$501&gt;=$H121)*($E$2:$E$501&lt;$H120)," ")))</f>
        <v xml:space="preserve"> </v>
      </c>
      <c r="AM120" t="str" cm="1">
        <f t="array" ref="AM120">_xlfn.TEXTJOIN(",",TRUE,(_xlfn._xlws.FILTER($A$2:$A$501,($D$2:$D$501&gt;=AN$7)*($D$2:$D$501&lt;AM$7)*($E$2:$E$501&gt;=$H121)*($E$2:$E$501&lt;$H120)," ")))</f>
        <v xml:space="preserve"> </v>
      </c>
      <c r="AN120" t="str" cm="1">
        <f t="array" ref="AN120">_xlfn.TEXTJOIN(",",TRUE,(_xlfn._xlws.FILTER($A$2:$A$501,($D$2:$D$501&gt;=AO$7)*($D$2:$D$501&lt;AN$7)*($E$2:$E$501&gt;=$H121)*($E$2:$E$501&lt;$H120)," ")))</f>
        <v xml:space="preserve"> </v>
      </c>
      <c r="AO120" t="str" cm="1">
        <f t="array" ref="AO120">_xlfn.TEXTJOIN(",",TRUE,(_xlfn._xlws.FILTER($A$2:$A$501,($D$2:$D$501&gt;=AP$7)*($D$2:$D$501&lt;AO$7)*($E$2:$E$501&gt;=$H121)*($E$2:$E$501&lt;$H120)," ")))</f>
        <v xml:space="preserve"> </v>
      </c>
      <c r="AP120" t="str" cm="1">
        <f t="array" ref="AP120">_xlfn.TEXTJOIN(",",TRUE,(_xlfn._xlws.FILTER($A$2:$A$501,($D$2:$D$501&gt;=AQ$7)*($D$2:$D$501&lt;AP$7)*($E$2:$E$501&gt;=$H121)*($E$2:$E$501&lt;$H120)," ")))</f>
        <v xml:space="preserve"> </v>
      </c>
      <c r="AQ120" t="str" cm="1">
        <f t="array" ref="AQ120">_xlfn.TEXTJOIN(",",TRUE,(_xlfn._xlws.FILTER($A$2:$A$501,($D$2:$D$501&gt;=AR$7)*($D$2:$D$501&lt;AQ$7)*($E$2:$E$501&gt;=$H121)*($E$2:$E$501&lt;$H120)," ")))</f>
        <v xml:space="preserve"> </v>
      </c>
      <c r="AR120" t="str" cm="1">
        <f t="array" ref="AR120">_xlfn.TEXTJOIN(",",TRUE,(_xlfn._xlws.FILTER($A$2:$A$501,($D$2:$D$501&gt;=AS$7)*($D$2:$D$501&lt;AR$7)*($E$2:$E$501&gt;=$H121)*($E$2:$E$501&lt;$H120)," ")))</f>
        <v xml:space="preserve"> </v>
      </c>
      <c r="AS120" t="str" cm="1">
        <f t="array" ref="AS120">_xlfn.TEXTJOIN(",",TRUE,(_xlfn._xlws.FILTER($A$2:$A$501,($D$2:$D$501&gt;=AT$7)*($D$2:$D$501&lt;AS$7)*($E$2:$E$501&gt;=$H121)*($E$2:$E$501&lt;$H120)," ")))</f>
        <v xml:space="preserve"> </v>
      </c>
      <c r="AT120" t="str" cm="1">
        <f t="array" ref="AT120">_xlfn.TEXTJOIN(",",TRUE,(_xlfn._xlws.FILTER($A$2:$A$501,($D$2:$D$501&gt;=AU$7)*($D$2:$D$501&lt;AT$7)*($E$2:$E$501&gt;=$H121)*($E$2:$E$501&lt;$H120)," ")))</f>
        <v xml:space="preserve"> </v>
      </c>
      <c r="AU120" t="str" cm="1">
        <f t="array" ref="AU120">_xlfn.TEXTJOIN(",",TRUE,(_xlfn._xlws.FILTER($A$2:$A$501,($D$2:$D$501&gt;=AV$7)*($D$2:$D$501&lt;AU$7)*($E$2:$E$501&gt;=$H121)*($E$2:$E$501&lt;$H120)," ")))</f>
        <v xml:space="preserve"> </v>
      </c>
      <c r="AV120" t="str" cm="1">
        <f t="array" ref="AV120">_xlfn.TEXTJOIN(",",TRUE,(_xlfn._xlws.FILTER($A$2:$A$501,($D$2:$D$501&gt;=AW$7)*($D$2:$D$501&lt;AV$7)*($E$2:$E$501&gt;=$H121)*($E$2:$E$501&lt;$H120)," ")))</f>
        <v xml:space="preserve"> </v>
      </c>
      <c r="AW120" t="str" cm="1">
        <f t="array" ref="AW120">_xlfn.TEXTJOIN(",",TRUE,(_xlfn._xlws.FILTER($A$2:$A$501,($D$2:$D$501&gt;=AX$7)*($D$2:$D$501&lt;AW$7)*($E$2:$E$501&gt;=$H121)*($E$2:$E$501&lt;$H120)," ")))</f>
        <v xml:space="preserve"> </v>
      </c>
      <c r="AX120" t="str" cm="1">
        <f t="array" ref="AX120">_xlfn.TEXTJOIN(",",TRUE,(_xlfn._xlws.FILTER($A$2:$A$501,($D$2:$D$501&gt;=AY$7)*($D$2:$D$501&lt;AX$7)*($E$2:$E$501&gt;=$H121)*($E$2:$E$501&lt;$H120)," ")))</f>
        <v xml:space="preserve"> </v>
      </c>
      <c r="AY120" t="str" cm="1">
        <f t="array" ref="AY120">_xlfn.TEXTJOIN(",",TRUE,(_xlfn._xlws.FILTER($A$2:$A$501,($D$2:$D$501&gt;=AZ$7)*($D$2:$D$501&lt;AY$7)*($E$2:$E$501&gt;=$H121)*($E$2:$E$501&lt;$H120)," ")))</f>
        <v xml:space="preserve"> </v>
      </c>
      <c r="AZ120" t="str" cm="1">
        <f t="array" ref="AZ120">_xlfn.TEXTJOIN(",",TRUE,(_xlfn._xlws.FILTER($A$2:$A$501,($D$2:$D$501&gt;=BA$7)*($D$2:$D$501&lt;AZ$7)*($E$2:$E$501&gt;=$H121)*($E$2:$E$501&lt;$H120)," ")))</f>
        <v xml:space="preserve"> </v>
      </c>
      <c r="BA120" t="str" cm="1">
        <f t="array" ref="BA120">_xlfn.TEXTJOIN(",",TRUE,(_xlfn._xlws.FILTER($A$2:$A$501,($D$2:$D$501&gt;=BB$7)*($D$2:$D$501&lt;BA$7)*($E$2:$E$501&gt;=$H121)*($E$2:$E$501&lt;$H120)," ")))</f>
        <v xml:space="preserve"> </v>
      </c>
      <c r="BB120" t="str" cm="1">
        <f t="array" ref="BB120">_xlfn.TEXTJOIN(",",TRUE,(_xlfn._xlws.FILTER($A$2:$A$501,($D$2:$D$501&gt;=BC$7)*($D$2:$D$501&lt;BB$7)*($E$2:$E$501&gt;=$H121)*($E$2:$E$501&lt;$H120)," ")))</f>
        <v xml:space="preserve"> </v>
      </c>
    </row>
    <row r="121" spans="1:54" x14ac:dyDescent="0.2">
      <c r="A121" s="3" t="s">
        <v>400</v>
      </c>
      <c r="B121" s="3" t="s">
        <v>401</v>
      </c>
      <c r="C121" s="13">
        <v>7052511.9199999999</v>
      </c>
      <c r="D121" s="15">
        <v>177113658.56999999</v>
      </c>
      <c r="E121" s="22">
        <f>TuitionRates3[[#This Row],[Tuition]]/D121</f>
        <v>3.981913070364735E-2</v>
      </c>
      <c r="F121"/>
      <c r="H121" s="18">
        <v>3.6999999999999998E-2</v>
      </c>
      <c r="I121" t="str" cm="1">
        <f t="array" ref="I121">_xlfn.TEXTJOIN(",",TRUE,(_xlfn._xlws.FILTER($A$2:$A$501,($D$2:$D$501&gt;=J$7)*($D$2:$D$501&lt;I$7)*($E$2:$E$501&gt;=$H122)*($E$2:$E$501&lt;$H121)," ")))</f>
        <v xml:space="preserve"> </v>
      </c>
      <c r="J121" t="str" cm="1">
        <f t="array" ref="J121">_xlfn.TEXTJOIN(",",TRUE,(_xlfn._xlws.FILTER($A$2:$A$501,($D$2:$D$501&gt;=K$7)*($D$2:$D$501&lt;J$7)*($E$2:$E$501&gt;=$H122)*($E$2:$E$501&lt;$H121)," ")))</f>
        <v xml:space="preserve"> </v>
      </c>
      <c r="K121" t="str" cm="1">
        <f t="array" ref="K121">_xlfn.TEXTJOIN(",",TRUE,(_xlfn._xlws.FILTER($A$2:$A$501,($D$2:$D$501&gt;=L$7)*($D$2:$D$501&lt;K$7)*($E$2:$E$501&gt;=$H122)*($E$2:$E$501&lt;$H121)," ")))</f>
        <v xml:space="preserve"> </v>
      </c>
      <c r="L121" t="str" cm="1">
        <f t="array" ref="L121">_xlfn.TEXTJOIN(",",TRUE,(_xlfn._xlws.FILTER($A$2:$A$501,($D$2:$D$501&gt;=M$7)*($D$2:$D$501&lt;L$7)*($E$2:$E$501&gt;=$H122)*($E$2:$E$501&lt;$H121)," ")))</f>
        <v xml:space="preserve"> </v>
      </c>
      <c r="M121" t="str" cm="1">
        <f t="array" ref="M121">_xlfn.TEXTJOIN(",",TRUE,(_xlfn._xlws.FILTER($A$2:$A$501,($D$2:$D$501&gt;=N$7)*($D$2:$D$501&lt;M$7)*($E$2:$E$501&gt;=$H122)*($E$2:$E$501&lt;$H121)," ")))</f>
        <v xml:space="preserve"> </v>
      </c>
      <c r="N121" t="str" cm="1">
        <f t="array" ref="N121">_xlfn.TEXTJOIN(",",TRUE,(_xlfn._xlws.FILTER($A$2:$A$501,($D$2:$D$501&gt;=O$7)*($D$2:$D$501&lt;N$7)*($E$2:$E$501&gt;=$H122)*($E$2:$E$501&lt;$H121)," ")))</f>
        <v xml:space="preserve"> </v>
      </c>
      <c r="O121" t="str" cm="1">
        <f t="array" ref="O121">_xlfn.TEXTJOIN(",",TRUE,(_xlfn._xlws.FILTER($A$2:$A$501,($D$2:$D$501&gt;=P$7)*($D$2:$D$501&lt;O$7)*($E$2:$E$501&gt;=$H122)*($E$2:$E$501&lt;$H121)," ")))</f>
        <v xml:space="preserve"> </v>
      </c>
      <c r="P121" t="str" cm="1">
        <f t="array" ref="P121">_xlfn.TEXTJOIN(",",TRUE,(_xlfn._xlws.FILTER($A$2:$A$501,($D$2:$D$501&gt;=Q$7)*($D$2:$D$501&lt;P$7)*($E$2:$E$501&gt;=$H122)*($E$2:$E$501&lt;$H121)," ")))</f>
        <v xml:space="preserve"> </v>
      </c>
      <c r="Q121" t="str" cm="1">
        <f t="array" ref="Q121">_xlfn.TEXTJOIN(",",TRUE,(_xlfn._xlws.FILTER($A$2:$A$501,($D$2:$D$501&gt;=R$7)*($D$2:$D$501&lt;Q$7)*($E$2:$E$501&gt;=$H122)*($E$2:$E$501&lt;$H121)," ")))</f>
        <v xml:space="preserve"> </v>
      </c>
      <c r="R121" t="str" cm="1">
        <f t="array" ref="R121">_xlfn.TEXTJOIN(",",TRUE,(_xlfn._xlws.FILTER($A$2:$A$501,($D$2:$D$501&gt;=S$7)*($D$2:$D$501&lt;R$7)*($E$2:$E$501&gt;=$H122)*($E$2:$E$501&lt;$H121)," ")))</f>
        <v xml:space="preserve"> </v>
      </c>
      <c r="S121" t="str" cm="1">
        <f t="array" ref="S121">_xlfn.TEXTJOIN(",",TRUE,(_xlfn._xlws.FILTER($A$2:$A$501,($D$2:$D$501&gt;=T$7)*($D$2:$D$501&lt;S$7)*($E$2:$E$501&gt;=$H122)*($E$2:$E$501&lt;$H121)," ")))</f>
        <v xml:space="preserve"> </v>
      </c>
      <c r="T121" t="str" cm="1">
        <f t="array" ref="T121">_xlfn.TEXTJOIN(",",TRUE,(_xlfn._xlws.FILTER($A$2:$A$501,($D$2:$D$501&gt;=U$7)*($D$2:$D$501&lt;T$7)*($E$2:$E$501&gt;=$H122)*($E$2:$E$501&lt;$H121)," ")))</f>
        <v xml:space="preserve"> </v>
      </c>
      <c r="U121" t="str" cm="1">
        <f t="array" ref="U121">_xlfn.TEXTJOIN(",",TRUE,(_xlfn._xlws.FILTER($A$2:$A$501,($D$2:$D$501&gt;=V$7)*($D$2:$D$501&lt;U$7)*($E$2:$E$501&gt;=$H122)*($E$2:$E$501&lt;$H121)," ")))</f>
        <v>Chambersburg Area SD</v>
      </c>
      <c r="V121" t="str" cm="1">
        <f t="array" ref="V121">_xlfn.TEXTJOIN(",",TRUE,(_xlfn._xlws.FILTER($A$2:$A$501,($D$2:$D$501&gt;=W$7)*($D$2:$D$501&lt;V$7)*($E$2:$E$501&gt;=$H122)*($E$2:$E$501&lt;$H121)," ")))</f>
        <v xml:space="preserve"> </v>
      </c>
      <c r="W121" t="str" cm="1">
        <f t="array" ref="W121">_xlfn.TEXTJOIN(",",TRUE,(_xlfn._xlws.FILTER($A$2:$A$501,($D$2:$D$501&gt;=X$7)*($D$2:$D$501&lt;W$7)*($E$2:$E$501&gt;=$H122)*($E$2:$E$501&lt;$H121)," ")))</f>
        <v xml:space="preserve"> </v>
      </c>
      <c r="X121" t="str" cm="1">
        <f t="array" ref="X121">_xlfn.TEXTJOIN(",",TRUE,(_xlfn._xlws.FILTER($A$2:$A$501,($D$2:$D$501&gt;=Y$7)*($D$2:$D$501&lt;X$7)*($E$2:$E$501&gt;=$H122)*($E$2:$E$501&lt;$H121)," ")))</f>
        <v xml:space="preserve"> </v>
      </c>
      <c r="Y121" t="str" cm="1">
        <f t="array" ref="Y121">_xlfn.TEXTJOIN(",",TRUE,(_xlfn._xlws.FILTER($A$2:$A$501,($D$2:$D$501&gt;=Z$7)*($D$2:$D$501&lt;Y$7)*($E$2:$E$501&gt;=$H122)*($E$2:$E$501&lt;$H121)," ")))</f>
        <v>Pittston Area SD</v>
      </c>
      <c r="Z121" t="str" cm="1">
        <f t="array" ref="Z121">_xlfn.TEXTJOIN(",",TRUE,(_xlfn._xlws.FILTER($A$2:$A$501,($D$2:$D$501&gt;=AA$7)*($D$2:$D$501&lt;Z$7)*($E$2:$E$501&gt;=$H122)*($E$2:$E$501&lt;$H121)," ")))</f>
        <v>Selinsgrove Area SD</v>
      </c>
      <c r="AA121" t="str" cm="1">
        <f t="array" ref="AA121">_xlfn.TEXTJOIN(",",TRUE,(_xlfn._xlws.FILTER($A$2:$A$501,($D$2:$D$501&gt;=AB$7)*($D$2:$D$501&lt;AA$7)*($E$2:$E$501&gt;=$H122)*($E$2:$E$501&lt;$H121)," ")))</f>
        <v>Tuscarora SD,Corry Area SD</v>
      </c>
      <c r="AB121" t="str" cm="1">
        <f t="array" ref="AB121">_xlfn.TEXTJOIN(",",TRUE,(_xlfn._xlws.FILTER($A$2:$A$501,($D$2:$D$501&gt;=AC$7)*($D$2:$D$501&lt;AB$7)*($E$2:$E$501&gt;=$H122)*($E$2:$E$501&lt;$H121)," ")))</f>
        <v>Northern Lehigh SD,Southmoreland SD</v>
      </c>
      <c r="AC121" t="str" cm="1">
        <f t="array" ref="AC121">_xlfn.TEXTJOIN(",",TRUE,(_xlfn._xlws.FILTER($A$2:$A$501,($D$2:$D$501&gt;=AD$7)*($D$2:$D$501&lt;AC$7)*($E$2:$E$501&gt;=$H122)*($E$2:$E$501&lt;$H121)," ")))</f>
        <v>Mount Carmel Area SD</v>
      </c>
      <c r="AD121" t="str" cm="1">
        <f t="array" ref="AD121">_xlfn.TEXTJOIN(",",TRUE,(_xlfn._xlws.FILTER($A$2:$A$501,($D$2:$D$501&gt;=AE$7)*($D$2:$D$501&lt;AD$7)*($E$2:$E$501&gt;=$H122)*($E$2:$E$501&lt;$H121)," ")))</f>
        <v xml:space="preserve"> </v>
      </c>
      <c r="AE121" t="str" cm="1">
        <f t="array" ref="AE121">_xlfn.TEXTJOIN(",",TRUE,(_xlfn._xlws.FILTER($A$2:$A$501,($D$2:$D$501&gt;=AF$7)*($D$2:$D$501&lt;AE$7)*($E$2:$E$501&gt;=$H122)*($E$2:$E$501&lt;$H121)," ")))</f>
        <v xml:space="preserve"> </v>
      </c>
      <c r="AF121" t="str" cm="1">
        <f t="array" ref="AF121">_xlfn.TEXTJOIN(",",TRUE,(_xlfn._xlws.FILTER($A$2:$A$501,($D$2:$D$501&gt;=AG$7)*($D$2:$D$501&lt;AF$7)*($E$2:$E$501&gt;=$H122)*($E$2:$E$501&lt;$H121)," ")))</f>
        <v xml:space="preserve"> </v>
      </c>
      <c r="AG121" t="str" cm="1">
        <f t="array" ref="AG121">_xlfn.TEXTJOIN(",",TRUE,(_xlfn._xlws.FILTER($A$2:$A$501,($D$2:$D$501&gt;=AH$7)*($D$2:$D$501&lt;AG$7)*($E$2:$E$501&gt;=$H122)*($E$2:$E$501&lt;$H121)," ")))</f>
        <v xml:space="preserve"> </v>
      </c>
      <c r="AH121" t="str" cm="1">
        <f t="array" ref="AH121">_xlfn.TEXTJOIN(",",TRUE,(_xlfn._xlws.FILTER($A$2:$A$501,($D$2:$D$501&gt;=AI$7)*($D$2:$D$501&lt;AH$7)*($E$2:$E$501&gt;=$H122)*($E$2:$E$501&lt;$H121)," ")))</f>
        <v>Turkeyfoot Valley Area SD,Salisbury-Elk Lick SD</v>
      </c>
      <c r="AI121" t="str" cm="1">
        <f t="array" ref="AI121">_xlfn.TEXTJOIN(",",TRUE,(_xlfn._xlws.FILTER($A$2:$A$501,($D$2:$D$501&gt;=AJ$7)*($D$2:$D$501&lt;AI$7)*($E$2:$E$501&gt;=$H122)*($E$2:$E$501&lt;$H121)," ")))</f>
        <v xml:space="preserve"> </v>
      </c>
      <c r="AJ121" t="str" cm="1">
        <f t="array" ref="AJ121">_xlfn.TEXTJOIN(",",TRUE,(_xlfn._xlws.FILTER($A$2:$A$501,($D$2:$D$501&gt;=AK$7)*($D$2:$D$501&lt;AJ$7)*($E$2:$E$501&gt;=$H122)*($E$2:$E$501&lt;$H121)," ")))</f>
        <v xml:space="preserve"> </v>
      </c>
      <c r="AK121" t="str" cm="1">
        <f t="array" ref="AK121">_xlfn.TEXTJOIN(",",TRUE,(_xlfn._xlws.FILTER($A$2:$A$501,($D$2:$D$501&gt;=AL$7)*($D$2:$D$501&lt;AK$7)*($E$2:$E$501&gt;=$H122)*($E$2:$E$501&lt;$H121)," ")))</f>
        <v xml:space="preserve"> </v>
      </c>
      <c r="AL121" t="str" cm="1">
        <f t="array" ref="AL121">_xlfn.TEXTJOIN(",",TRUE,(_xlfn._xlws.FILTER($A$2:$A$501,($D$2:$D$501&gt;=AM$7)*($D$2:$D$501&lt;AL$7)*($E$2:$E$501&gt;=$H122)*($E$2:$E$501&lt;$H121)," ")))</f>
        <v xml:space="preserve"> </v>
      </c>
      <c r="AM121" t="str" cm="1">
        <f t="array" ref="AM121">_xlfn.TEXTJOIN(",",TRUE,(_xlfn._xlws.FILTER($A$2:$A$501,($D$2:$D$501&gt;=AN$7)*($D$2:$D$501&lt;AM$7)*($E$2:$E$501&gt;=$H122)*($E$2:$E$501&lt;$H121)," ")))</f>
        <v xml:space="preserve"> </v>
      </c>
      <c r="AN121" t="str" cm="1">
        <f t="array" ref="AN121">_xlfn.TEXTJOIN(",",TRUE,(_xlfn._xlws.FILTER($A$2:$A$501,($D$2:$D$501&gt;=AO$7)*($D$2:$D$501&lt;AN$7)*($E$2:$E$501&gt;=$H122)*($E$2:$E$501&lt;$H121)," ")))</f>
        <v xml:space="preserve"> </v>
      </c>
      <c r="AO121" t="str" cm="1">
        <f t="array" ref="AO121">_xlfn.TEXTJOIN(",",TRUE,(_xlfn._xlws.FILTER($A$2:$A$501,($D$2:$D$501&gt;=AP$7)*($D$2:$D$501&lt;AO$7)*($E$2:$E$501&gt;=$H122)*($E$2:$E$501&lt;$H121)," ")))</f>
        <v xml:space="preserve"> </v>
      </c>
      <c r="AP121" t="str" cm="1">
        <f t="array" ref="AP121">_xlfn.TEXTJOIN(",",TRUE,(_xlfn._xlws.FILTER($A$2:$A$501,($D$2:$D$501&gt;=AQ$7)*($D$2:$D$501&lt;AP$7)*($E$2:$E$501&gt;=$H122)*($E$2:$E$501&lt;$H121)," ")))</f>
        <v xml:space="preserve"> </v>
      </c>
      <c r="AQ121" t="str" cm="1">
        <f t="array" ref="AQ121">_xlfn.TEXTJOIN(",",TRUE,(_xlfn._xlws.FILTER($A$2:$A$501,($D$2:$D$501&gt;=AR$7)*($D$2:$D$501&lt;AQ$7)*($E$2:$E$501&gt;=$H122)*($E$2:$E$501&lt;$H121)," ")))</f>
        <v xml:space="preserve"> </v>
      </c>
      <c r="AR121" t="str" cm="1">
        <f t="array" ref="AR121">_xlfn.TEXTJOIN(",",TRUE,(_xlfn._xlws.FILTER($A$2:$A$501,($D$2:$D$501&gt;=AS$7)*($D$2:$D$501&lt;AR$7)*($E$2:$E$501&gt;=$H122)*($E$2:$E$501&lt;$H121)," ")))</f>
        <v xml:space="preserve"> </v>
      </c>
      <c r="AS121" t="str" cm="1">
        <f t="array" ref="AS121">_xlfn.TEXTJOIN(",",TRUE,(_xlfn._xlws.FILTER($A$2:$A$501,($D$2:$D$501&gt;=AT$7)*($D$2:$D$501&lt;AS$7)*($E$2:$E$501&gt;=$H122)*($E$2:$E$501&lt;$H121)," ")))</f>
        <v xml:space="preserve"> </v>
      </c>
      <c r="AT121" t="str" cm="1">
        <f t="array" ref="AT121">_xlfn.TEXTJOIN(",",TRUE,(_xlfn._xlws.FILTER($A$2:$A$501,($D$2:$D$501&gt;=AU$7)*($D$2:$D$501&lt;AT$7)*($E$2:$E$501&gt;=$H122)*($E$2:$E$501&lt;$H121)," ")))</f>
        <v xml:space="preserve"> </v>
      </c>
      <c r="AU121" t="str" cm="1">
        <f t="array" ref="AU121">_xlfn.TEXTJOIN(",",TRUE,(_xlfn._xlws.FILTER($A$2:$A$501,($D$2:$D$501&gt;=AV$7)*($D$2:$D$501&lt;AU$7)*($E$2:$E$501&gt;=$H122)*($E$2:$E$501&lt;$H121)," ")))</f>
        <v xml:space="preserve"> </v>
      </c>
      <c r="AV121" t="str" cm="1">
        <f t="array" ref="AV121">_xlfn.TEXTJOIN(",",TRUE,(_xlfn._xlws.FILTER($A$2:$A$501,($D$2:$D$501&gt;=AW$7)*($D$2:$D$501&lt;AV$7)*($E$2:$E$501&gt;=$H122)*($E$2:$E$501&lt;$H121)," ")))</f>
        <v xml:space="preserve"> </v>
      </c>
      <c r="AW121" t="str" cm="1">
        <f t="array" ref="AW121">_xlfn.TEXTJOIN(",",TRUE,(_xlfn._xlws.FILTER($A$2:$A$501,($D$2:$D$501&gt;=AX$7)*($D$2:$D$501&lt;AW$7)*($E$2:$E$501&gt;=$H122)*($E$2:$E$501&lt;$H121)," ")))</f>
        <v xml:space="preserve"> </v>
      </c>
      <c r="AX121" t="str" cm="1">
        <f t="array" ref="AX121">_xlfn.TEXTJOIN(",",TRUE,(_xlfn._xlws.FILTER($A$2:$A$501,($D$2:$D$501&gt;=AY$7)*($D$2:$D$501&lt;AX$7)*($E$2:$E$501&gt;=$H122)*($E$2:$E$501&lt;$H121)," ")))</f>
        <v xml:space="preserve"> </v>
      </c>
      <c r="AY121" t="str" cm="1">
        <f t="array" ref="AY121">_xlfn.TEXTJOIN(",",TRUE,(_xlfn._xlws.FILTER($A$2:$A$501,($D$2:$D$501&gt;=AZ$7)*($D$2:$D$501&lt;AY$7)*($E$2:$E$501&gt;=$H122)*($E$2:$E$501&lt;$H121)," ")))</f>
        <v xml:space="preserve"> </v>
      </c>
      <c r="AZ121" t="str" cm="1">
        <f t="array" ref="AZ121">_xlfn.TEXTJOIN(",",TRUE,(_xlfn._xlws.FILTER($A$2:$A$501,($D$2:$D$501&gt;=BA$7)*($D$2:$D$501&lt;AZ$7)*($E$2:$E$501&gt;=$H122)*($E$2:$E$501&lt;$H121)," ")))</f>
        <v xml:space="preserve"> </v>
      </c>
      <c r="BA121" t="str" cm="1">
        <f t="array" ref="BA121">_xlfn.TEXTJOIN(",",TRUE,(_xlfn._xlws.FILTER($A$2:$A$501,($D$2:$D$501&gt;=BB$7)*($D$2:$D$501&lt;BA$7)*($E$2:$E$501&gt;=$H122)*($E$2:$E$501&lt;$H121)," ")))</f>
        <v xml:space="preserve"> </v>
      </c>
      <c r="BB121" t="str" cm="1">
        <f t="array" ref="BB121">_xlfn.TEXTJOIN(",",TRUE,(_xlfn._xlws.FILTER($A$2:$A$501,($D$2:$D$501&gt;=BC$7)*($D$2:$D$501&lt;BB$7)*($E$2:$E$501&gt;=$H122)*($E$2:$E$501&lt;$H121)," ")))</f>
        <v xml:space="preserve"> </v>
      </c>
    </row>
    <row r="122" spans="1:54" x14ac:dyDescent="0.2">
      <c r="A122" s="3" t="s">
        <v>212</v>
      </c>
      <c r="B122" s="3" t="s">
        <v>207</v>
      </c>
      <c r="C122" s="13">
        <v>3575386.71</v>
      </c>
      <c r="D122" s="15">
        <v>89975761.349999994</v>
      </c>
      <c r="E122" s="22">
        <f>TuitionRates3[[#This Row],[Tuition]]/D122</f>
        <v>3.9737220962120817E-2</v>
      </c>
      <c r="F122"/>
      <c r="H122" s="18">
        <v>3.5999999999999997E-2</v>
      </c>
      <c r="I122" t="str" cm="1">
        <f t="array" ref="I122">_xlfn.TEXTJOIN(",",TRUE,(_xlfn._xlws.FILTER($A$2:$A$501,($D$2:$D$501&gt;=J$7)*($D$2:$D$501&lt;I$7)*($E$2:$E$501&gt;=$H123)*($E$2:$E$501&lt;$H122)," ")))</f>
        <v xml:space="preserve"> </v>
      </c>
      <c r="J122" t="str" cm="1">
        <f t="array" ref="J122">_xlfn.TEXTJOIN(",",TRUE,(_xlfn._xlws.FILTER($A$2:$A$501,($D$2:$D$501&gt;=K$7)*($D$2:$D$501&lt;J$7)*($E$2:$E$501&gt;=$H123)*($E$2:$E$501&lt;$H122)," ")))</f>
        <v xml:space="preserve"> </v>
      </c>
      <c r="K122" t="str" cm="1">
        <f t="array" ref="K122">_xlfn.TEXTJOIN(",",TRUE,(_xlfn._xlws.FILTER($A$2:$A$501,($D$2:$D$501&gt;=L$7)*($D$2:$D$501&lt;K$7)*($E$2:$E$501&gt;=$H123)*($E$2:$E$501&lt;$H122)," ")))</f>
        <v xml:space="preserve"> </v>
      </c>
      <c r="L122" t="str" cm="1">
        <f t="array" ref="L122">_xlfn.TEXTJOIN(",",TRUE,(_xlfn._xlws.FILTER($A$2:$A$501,($D$2:$D$501&gt;=M$7)*($D$2:$D$501&lt;L$7)*($E$2:$E$501&gt;=$H123)*($E$2:$E$501&lt;$H122)," ")))</f>
        <v xml:space="preserve"> </v>
      </c>
      <c r="M122" t="str" cm="1">
        <f t="array" ref="M122">_xlfn.TEXTJOIN(",",TRUE,(_xlfn._xlws.FILTER($A$2:$A$501,($D$2:$D$501&gt;=N$7)*($D$2:$D$501&lt;M$7)*($E$2:$E$501&gt;=$H123)*($E$2:$E$501&lt;$H122)," ")))</f>
        <v xml:space="preserve"> </v>
      </c>
      <c r="N122" t="str" cm="1">
        <f t="array" ref="N122">_xlfn.TEXTJOIN(",",TRUE,(_xlfn._xlws.FILTER($A$2:$A$501,($D$2:$D$501&gt;=O$7)*($D$2:$D$501&lt;N$7)*($E$2:$E$501&gt;=$H123)*($E$2:$E$501&lt;$H122)," ")))</f>
        <v xml:space="preserve"> </v>
      </c>
      <c r="O122" t="str" cm="1">
        <f t="array" ref="O122">_xlfn.TEXTJOIN(",",TRUE,(_xlfn._xlws.FILTER($A$2:$A$501,($D$2:$D$501&gt;=P$7)*($D$2:$D$501&lt;O$7)*($E$2:$E$501&gt;=$H123)*($E$2:$E$501&lt;$H122)," ")))</f>
        <v xml:space="preserve"> </v>
      </c>
      <c r="P122" t="str" cm="1">
        <f t="array" ref="P122">_xlfn.TEXTJOIN(",",TRUE,(_xlfn._xlws.FILTER($A$2:$A$501,($D$2:$D$501&gt;=Q$7)*($D$2:$D$501&lt;P$7)*($E$2:$E$501&gt;=$H123)*($E$2:$E$501&lt;$H122)," ")))</f>
        <v xml:space="preserve"> </v>
      </c>
      <c r="Q122" t="str" cm="1">
        <f t="array" ref="Q122">_xlfn.TEXTJOIN(",",TRUE,(_xlfn._xlws.FILTER($A$2:$A$501,($D$2:$D$501&gt;=R$7)*($D$2:$D$501&lt;Q$7)*($E$2:$E$501&gt;=$H123)*($E$2:$E$501&lt;$H122)," ")))</f>
        <v xml:space="preserve"> </v>
      </c>
      <c r="R122" t="str" cm="1">
        <f t="array" ref="R122">_xlfn.TEXTJOIN(",",TRUE,(_xlfn._xlws.FILTER($A$2:$A$501,($D$2:$D$501&gt;=S$7)*($D$2:$D$501&lt;R$7)*($E$2:$E$501&gt;=$H123)*($E$2:$E$501&lt;$H122)," ")))</f>
        <v xml:space="preserve"> </v>
      </c>
      <c r="S122" t="str" cm="1">
        <f t="array" ref="S122">_xlfn.TEXTJOIN(",",TRUE,(_xlfn._xlws.FILTER($A$2:$A$501,($D$2:$D$501&gt;=T$7)*($D$2:$D$501&lt;S$7)*($E$2:$E$501&gt;=$H123)*($E$2:$E$501&lt;$H122)," ")))</f>
        <v xml:space="preserve"> </v>
      </c>
      <c r="T122" t="str" cm="1">
        <f t="array" ref="T122">_xlfn.TEXTJOIN(",",TRUE,(_xlfn._xlws.FILTER($A$2:$A$501,($D$2:$D$501&gt;=U$7)*($D$2:$D$501&lt;T$7)*($E$2:$E$501&gt;=$H123)*($E$2:$E$501&lt;$H122)," ")))</f>
        <v xml:space="preserve"> </v>
      </c>
      <c r="U122" t="str" cm="1">
        <f t="array" ref="U122">_xlfn.TEXTJOIN(",",TRUE,(_xlfn._xlws.FILTER($A$2:$A$501,($D$2:$D$501&gt;=V$7)*($D$2:$D$501&lt;U$7)*($E$2:$E$501&gt;=$H123)*($E$2:$E$501&lt;$H122)," ")))</f>
        <v xml:space="preserve"> </v>
      </c>
      <c r="V122" t="str" cm="1">
        <f t="array" ref="V122">_xlfn.TEXTJOIN(",",TRUE,(_xlfn._xlws.FILTER($A$2:$A$501,($D$2:$D$501&gt;=W$7)*($D$2:$D$501&lt;V$7)*($E$2:$E$501&gt;=$H123)*($E$2:$E$501&lt;$H122)," ")))</f>
        <v>Red Lion Area SD</v>
      </c>
      <c r="W122" t="str" cm="1">
        <f t="array" ref="W122">_xlfn.TEXTJOIN(",",TRUE,(_xlfn._xlws.FILTER($A$2:$A$501,($D$2:$D$501&gt;=X$7)*($D$2:$D$501&lt;W$7)*($E$2:$E$501&gt;=$H123)*($E$2:$E$501&lt;$H122)," ")))</f>
        <v xml:space="preserve"> </v>
      </c>
      <c r="X122" t="str" cm="1">
        <f t="array" ref="X122">_xlfn.TEXTJOIN(",",TRUE,(_xlfn._xlws.FILTER($A$2:$A$501,($D$2:$D$501&gt;=Y$7)*($D$2:$D$501&lt;X$7)*($E$2:$E$501&gt;=$H123)*($E$2:$E$501&lt;$H122)," ")))</f>
        <v xml:space="preserve"> </v>
      </c>
      <c r="Y122" t="str" cm="1">
        <f t="array" ref="Y122">_xlfn.TEXTJOIN(",",TRUE,(_xlfn._xlws.FILTER($A$2:$A$501,($D$2:$D$501&gt;=Z$7)*($D$2:$D$501&lt;Y$7)*($E$2:$E$501&gt;=$H123)*($E$2:$E$501&lt;$H122)," ")))</f>
        <v>Laurel Highlands SD,Albert Gallatin Area SD</v>
      </c>
      <c r="Z122" t="str" cm="1">
        <f t="array" ref="Z122">_xlfn.TEXTJOIN(",",TRUE,(_xlfn._xlws.FILTER($A$2:$A$501,($D$2:$D$501&gt;=AA$7)*($D$2:$D$501&lt;Z$7)*($E$2:$E$501&gt;=$H123)*($E$2:$E$501&lt;$H122)," ")))</f>
        <v xml:space="preserve"> </v>
      </c>
      <c r="AA122" t="str" cm="1">
        <f t="array" ref="AA122">_xlfn.TEXTJOIN(",",TRUE,(_xlfn._xlws.FILTER($A$2:$A$501,($D$2:$D$501&gt;=AB$7)*($D$2:$D$501&lt;AA$7)*($E$2:$E$501&gt;=$H123)*($E$2:$E$501&lt;$H122)," ")))</f>
        <v>Highlands SD</v>
      </c>
      <c r="AB122" t="str" cm="1">
        <f t="array" ref="AB122">_xlfn.TEXTJOIN(",",TRUE,(_xlfn._xlws.FILTER($A$2:$A$501,($D$2:$D$501&gt;=AC$7)*($D$2:$D$501&lt;AB$7)*($E$2:$E$501&gt;=$H123)*($E$2:$E$501&lt;$H122)," ")))</f>
        <v>Mifflinburg Area SD,River Valley SD</v>
      </c>
      <c r="AC122" t="str" cm="1">
        <f t="array" ref="AC122">_xlfn.TEXTJOIN(",",TRUE,(_xlfn._xlws.FILTER($A$2:$A$501,($D$2:$D$501&gt;=AD$7)*($D$2:$D$501&lt;AC$7)*($E$2:$E$501&gt;=$H123)*($E$2:$E$501&lt;$H122)," ")))</f>
        <v>Westmont Hilltop SD</v>
      </c>
      <c r="AD122" t="str" cm="1">
        <f t="array" ref="AD122">_xlfn.TEXTJOIN(",",TRUE,(_xlfn._xlws.FILTER($A$2:$A$501,($D$2:$D$501&gt;=AE$7)*($D$2:$D$501&lt;AD$7)*($E$2:$E$501&gt;=$H123)*($E$2:$E$501&lt;$H122)," ")))</f>
        <v>Saint Clair Area SD,Keystone SD,Susquehanna Community SD</v>
      </c>
      <c r="AE122" t="str" cm="1">
        <f t="array" ref="AE122">_xlfn.TEXTJOIN(",",TRUE,(_xlfn._xlws.FILTER($A$2:$A$501,($D$2:$D$501&gt;=AF$7)*($D$2:$D$501&lt;AE$7)*($E$2:$E$501&gt;=$H123)*($E$2:$E$501&lt;$H122)," ")))</f>
        <v>Shade-Central City SD</v>
      </c>
      <c r="AF122" t="str" cm="1">
        <f t="array" ref="AF122">_xlfn.TEXTJOIN(",",TRUE,(_xlfn._xlws.FILTER($A$2:$A$501,($D$2:$D$501&gt;=AG$7)*($D$2:$D$501&lt;AF$7)*($E$2:$E$501&gt;=$H123)*($E$2:$E$501&lt;$H122)," ")))</f>
        <v xml:space="preserve"> </v>
      </c>
      <c r="AG122" t="str" cm="1">
        <f t="array" ref="AG122">_xlfn.TEXTJOIN(",",TRUE,(_xlfn._xlws.FILTER($A$2:$A$501,($D$2:$D$501&gt;=AH$7)*($D$2:$D$501&lt;AG$7)*($E$2:$E$501&gt;=$H123)*($E$2:$E$501&lt;$H122)," ")))</f>
        <v xml:space="preserve"> </v>
      </c>
      <c r="AH122" t="str" cm="1">
        <f t="array" ref="AH122">_xlfn.TEXTJOIN(",",TRUE,(_xlfn._xlws.FILTER($A$2:$A$501,($D$2:$D$501&gt;=AI$7)*($D$2:$D$501&lt;AH$7)*($E$2:$E$501&gt;=$H123)*($E$2:$E$501&lt;$H122)," ")))</f>
        <v xml:space="preserve"> </v>
      </c>
      <c r="AI122" t="str" cm="1">
        <f t="array" ref="AI122">_xlfn.TEXTJOIN(",",TRUE,(_xlfn._xlws.FILTER($A$2:$A$501,($D$2:$D$501&gt;=AJ$7)*($D$2:$D$501&lt;AI$7)*($E$2:$E$501&gt;=$H123)*($E$2:$E$501&lt;$H122)," ")))</f>
        <v xml:space="preserve"> </v>
      </c>
      <c r="AJ122" t="str" cm="1">
        <f t="array" ref="AJ122">_xlfn.TEXTJOIN(",",TRUE,(_xlfn._xlws.FILTER($A$2:$A$501,($D$2:$D$501&gt;=AK$7)*($D$2:$D$501&lt;AJ$7)*($E$2:$E$501&gt;=$H123)*($E$2:$E$501&lt;$H122)," ")))</f>
        <v xml:space="preserve"> </v>
      </c>
      <c r="AK122" t="str" cm="1">
        <f t="array" ref="AK122">_xlfn.TEXTJOIN(",",TRUE,(_xlfn._xlws.FILTER($A$2:$A$501,($D$2:$D$501&gt;=AL$7)*($D$2:$D$501&lt;AK$7)*($E$2:$E$501&gt;=$H123)*($E$2:$E$501&lt;$H122)," ")))</f>
        <v xml:space="preserve"> </v>
      </c>
      <c r="AL122" t="str" cm="1">
        <f t="array" ref="AL122">_xlfn.TEXTJOIN(",",TRUE,(_xlfn._xlws.FILTER($A$2:$A$501,($D$2:$D$501&gt;=AM$7)*($D$2:$D$501&lt;AL$7)*($E$2:$E$501&gt;=$H123)*($E$2:$E$501&lt;$H122)," ")))</f>
        <v xml:space="preserve"> </v>
      </c>
      <c r="AM122" t="str" cm="1">
        <f t="array" ref="AM122">_xlfn.TEXTJOIN(",",TRUE,(_xlfn._xlws.FILTER($A$2:$A$501,($D$2:$D$501&gt;=AN$7)*($D$2:$D$501&lt;AM$7)*($E$2:$E$501&gt;=$H123)*($E$2:$E$501&lt;$H122)," ")))</f>
        <v xml:space="preserve"> </v>
      </c>
      <c r="AN122" t="str" cm="1">
        <f t="array" ref="AN122">_xlfn.TEXTJOIN(",",TRUE,(_xlfn._xlws.FILTER($A$2:$A$501,($D$2:$D$501&gt;=AO$7)*($D$2:$D$501&lt;AN$7)*($E$2:$E$501&gt;=$H123)*($E$2:$E$501&lt;$H122)," ")))</f>
        <v xml:space="preserve"> </v>
      </c>
      <c r="AO122" t="str" cm="1">
        <f t="array" ref="AO122">_xlfn.TEXTJOIN(",",TRUE,(_xlfn._xlws.FILTER($A$2:$A$501,($D$2:$D$501&gt;=AP$7)*($D$2:$D$501&lt;AO$7)*($E$2:$E$501&gt;=$H123)*($E$2:$E$501&lt;$H122)," ")))</f>
        <v xml:space="preserve"> </v>
      </c>
      <c r="AP122" t="str" cm="1">
        <f t="array" ref="AP122">_xlfn.TEXTJOIN(",",TRUE,(_xlfn._xlws.FILTER($A$2:$A$501,($D$2:$D$501&gt;=AQ$7)*($D$2:$D$501&lt;AP$7)*($E$2:$E$501&gt;=$H123)*($E$2:$E$501&lt;$H122)," ")))</f>
        <v xml:space="preserve"> </v>
      </c>
      <c r="AQ122" t="str" cm="1">
        <f t="array" ref="AQ122">_xlfn.TEXTJOIN(",",TRUE,(_xlfn._xlws.FILTER($A$2:$A$501,($D$2:$D$501&gt;=AR$7)*($D$2:$D$501&lt;AQ$7)*($E$2:$E$501&gt;=$H123)*($E$2:$E$501&lt;$H122)," ")))</f>
        <v xml:space="preserve"> </v>
      </c>
      <c r="AR122" t="str" cm="1">
        <f t="array" ref="AR122">_xlfn.TEXTJOIN(",",TRUE,(_xlfn._xlws.FILTER($A$2:$A$501,($D$2:$D$501&gt;=AS$7)*($D$2:$D$501&lt;AR$7)*($E$2:$E$501&gt;=$H123)*($E$2:$E$501&lt;$H122)," ")))</f>
        <v xml:space="preserve"> </v>
      </c>
      <c r="AS122" t="str" cm="1">
        <f t="array" ref="AS122">_xlfn.TEXTJOIN(",",TRUE,(_xlfn._xlws.FILTER($A$2:$A$501,($D$2:$D$501&gt;=AT$7)*($D$2:$D$501&lt;AS$7)*($E$2:$E$501&gt;=$H123)*($E$2:$E$501&lt;$H122)," ")))</f>
        <v xml:space="preserve"> </v>
      </c>
      <c r="AT122" t="str" cm="1">
        <f t="array" ref="AT122">_xlfn.TEXTJOIN(",",TRUE,(_xlfn._xlws.FILTER($A$2:$A$501,($D$2:$D$501&gt;=AU$7)*($D$2:$D$501&lt;AT$7)*($E$2:$E$501&gt;=$H123)*($E$2:$E$501&lt;$H122)," ")))</f>
        <v xml:space="preserve"> </v>
      </c>
      <c r="AU122" t="str" cm="1">
        <f t="array" ref="AU122">_xlfn.TEXTJOIN(",",TRUE,(_xlfn._xlws.FILTER($A$2:$A$501,($D$2:$D$501&gt;=AV$7)*($D$2:$D$501&lt;AU$7)*($E$2:$E$501&gt;=$H123)*($E$2:$E$501&lt;$H122)," ")))</f>
        <v xml:space="preserve"> </v>
      </c>
      <c r="AV122" t="str" cm="1">
        <f t="array" ref="AV122">_xlfn.TEXTJOIN(",",TRUE,(_xlfn._xlws.FILTER($A$2:$A$501,($D$2:$D$501&gt;=AW$7)*($D$2:$D$501&lt;AV$7)*($E$2:$E$501&gt;=$H123)*($E$2:$E$501&lt;$H122)," ")))</f>
        <v xml:space="preserve"> </v>
      </c>
      <c r="AW122" t="str" cm="1">
        <f t="array" ref="AW122">_xlfn.TEXTJOIN(",",TRUE,(_xlfn._xlws.FILTER($A$2:$A$501,($D$2:$D$501&gt;=AX$7)*($D$2:$D$501&lt;AW$7)*($E$2:$E$501&gt;=$H123)*($E$2:$E$501&lt;$H122)," ")))</f>
        <v xml:space="preserve"> </v>
      </c>
      <c r="AX122" t="str" cm="1">
        <f t="array" ref="AX122">_xlfn.TEXTJOIN(",",TRUE,(_xlfn._xlws.FILTER($A$2:$A$501,($D$2:$D$501&gt;=AY$7)*($D$2:$D$501&lt;AX$7)*($E$2:$E$501&gt;=$H123)*($E$2:$E$501&lt;$H122)," ")))</f>
        <v xml:space="preserve"> </v>
      </c>
      <c r="AY122" t="str" cm="1">
        <f t="array" ref="AY122">_xlfn.TEXTJOIN(",",TRUE,(_xlfn._xlws.FILTER($A$2:$A$501,($D$2:$D$501&gt;=AZ$7)*($D$2:$D$501&lt;AY$7)*($E$2:$E$501&gt;=$H123)*($E$2:$E$501&lt;$H122)," ")))</f>
        <v xml:space="preserve"> </v>
      </c>
      <c r="AZ122" t="str" cm="1">
        <f t="array" ref="AZ122">_xlfn.TEXTJOIN(",",TRUE,(_xlfn._xlws.FILTER($A$2:$A$501,($D$2:$D$501&gt;=BA$7)*($D$2:$D$501&lt;AZ$7)*($E$2:$E$501&gt;=$H123)*($E$2:$E$501&lt;$H122)," ")))</f>
        <v xml:space="preserve"> </v>
      </c>
      <c r="BA122" t="str" cm="1">
        <f t="array" ref="BA122">_xlfn.TEXTJOIN(",",TRUE,(_xlfn._xlws.FILTER($A$2:$A$501,($D$2:$D$501&gt;=BB$7)*($D$2:$D$501&lt;BA$7)*($E$2:$E$501&gt;=$H123)*($E$2:$E$501&lt;$H122)," ")))</f>
        <v xml:space="preserve"> </v>
      </c>
      <c r="BB122" t="str" cm="1">
        <f t="array" ref="BB122">_xlfn.TEXTJOIN(",",TRUE,(_xlfn._xlws.FILTER($A$2:$A$501,($D$2:$D$501&gt;=BC$7)*($D$2:$D$501&lt;BB$7)*($E$2:$E$501&gt;=$H123)*($E$2:$E$501&lt;$H122)," ")))</f>
        <v xml:space="preserve"> </v>
      </c>
    </row>
    <row r="123" spans="1:54" x14ac:dyDescent="0.2">
      <c r="A123" s="3" t="s">
        <v>446</v>
      </c>
      <c r="B123" s="3" t="s">
        <v>447</v>
      </c>
      <c r="C123" s="13">
        <v>660878.1</v>
      </c>
      <c r="D123" s="15">
        <v>16681836.949999999</v>
      </c>
      <c r="E123" s="22">
        <f>TuitionRates3[[#This Row],[Tuition]]/D123</f>
        <v>3.9616626273283412E-2</v>
      </c>
      <c r="F123"/>
      <c r="H123" s="18">
        <v>3.5000000000000003E-2</v>
      </c>
      <c r="I123" t="str" cm="1">
        <f t="array" ref="I123">_xlfn.TEXTJOIN(",",TRUE,(_xlfn._xlws.FILTER($A$2:$A$501,($D$2:$D$501&gt;=J$7)*($D$2:$D$501&lt;I$7)*($E$2:$E$501&gt;=$H124)*($E$2:$E$501&lt;$H123)," ")))</f>
        <v xml:space="preserve"> </v>
      </c>
      <c r="J123" t="str" cm="1">
        <f t="array" ref="J123">_xlfn.TEXTJOIN(",",TRUE,(_xlfn._xlws.FILTER($A$2:$A$501,($D$2:$D$501&gt;=K$7)*($D$2:$D$501&lt;J$7)*($E$2:$E$501&gt;=$H124)*($E$2:$E$501&lt;$H123)," ")))</f>
        <v xml:space="preserve"> </v>
      </c>
      <c r="K123" t="str" cm="1">
        <f t="array" ref="K123">_xlfn.TEXTJOIN(",",TRUE,(_xlfn._xlws.FILTER($A$2:$A$501,($D$2:$D$501&gt;=L$7)*($D$2:$D$501&lt;K$7)*($E$2:$E$501&gt;=$H124)*($E$2:$E$501&lt;$H123)," ")))</f>
        <v xml:space="preserve"> </v>
      </c>
      <c r="L123" t="str" cm="1">
        <f t="array" ref="L123">_xlfn.TEXTJOIN(",",TRUE,(_xlfn._xlws.FILTER($A$2:$A$501,($D$2:$D$501&gt;=M$7)*($D$2:$D$501&lt;L$7)*($E$2:$E$501&gt;=$H124)*($E$2:$E$501&lt;$H123)," ")))</f>
        <v xml:space="preserve"> </v>
      </c>
      <c r="M123" t="str" cm="1">
        <f t="array" ref="M123">_xlfn.TEXTJOIN(",",TRUE,(_xlfn._xlws.FILTER($A$2:$A$501,($D$2:$D$501&gt;=N$7)*($D$2:$D$501&lt;M$7)*($E$2:$E$501&gt;=$H124)*($E$2:$E$501&lt;$H123)," ")))</f>
        <v xml:space="preserve"> </v>
      </c>
      <c r="N123" t="str" cm="1">
        <f t="array" ref="N123">_xlfn.TEXTJOIN(",",TRUE,(_xlfn._xlws.FILTER($A$2:$A$501,($D$2:$D$501&gt;=O$7)*($D$2:$D$501&lt;N$7)*($E$2:$E$501&gt;=$H124)*($E$2:$E$501&lt;$H123)," ")))</f>
        <v xml:space="preserve"> </v>
      </c>
      <c r="O123" t="str" cm="1">
        <f t="array" ref="O123">_xlfn.TEXTJOIN(",",TRUE,(_xlfn._xlws.FILTER($A$2:$A$501,($D$2:$D$501&gt;=P$7)*($D$2:$D$501&lt;O$7)*($E$2:$E$501&gt;=$H124)*($E$2:$E$501&lt;$H123)," ")))</f>
        <v xml:space="preserve"> </v>
      </c>
      <c r="P123" t="str" cm="1">
        <f t="array" ref="P123">_xlfn.TEXTJOIN(",",TRUE,(_xlfn._xlws.FILTER($A$2:$A$501,($D$2:$D$501&gt;=Q$7)*($D$2:$D$501&lt;P$7)*($E$2:$E$501&gt;=$H124)*($E$2:$E$501&lt;$H123)," ")))</f>
        <v xml:space="preserve"> </v>
      </c>
      <c r="Q123" t="str" cm="1">
        <f t="array" ref="Q123">_xlfn.TEXTJOIN(",",TRUE,(_xlfn._xlws.FILTER($A$2:$A$501,($D$2:$D$501&gt;=R$7)*($D$2:$D$501&lt;Q$7)*($E$2:$E$501&gt;=$H124)*($E$2:$E$501&lt;$H123)," ")))</f>
        <v xml:space="preserve"> </v>
      </c>
      <c r="R123" t="str" cm="1">
        <f t="array" ref="R123">_xlfn.TEXTJOIN(",",TRUE,(_xlfn._xlws.FILTER($A$2:$A$501,($D$2:$D$501&gt;=S$7)*($D$2:$D$501&lt;R$7)*($E$2:$E$501&gt;=$H124)*($E$2:$E$501&lt;$H123)," ")))</f>
        <v xml:space="preserve"> </v>
      </c>
      <c r="S123" t="str" cm="1">
        <f t="array" ref="S123">_xlfn.TEXTJOIN(",",TRUE,(_xlfn._xlws.FILTER($A$2:$A$501,($D$2:$D$501&gt;=T$7)*($D$2:$D$501&lt;S$7)*($E$2:$E$501&gt;=$H124)*($E$2:$E$501&lt;$H123)," ")))</f>
        <v xml:space="preserve"> </v>
      </c>
      <c r="T123" t="str" cm="1">
        <f t="array" ref="T123">_xlfn.TEXTJOIN(",",TRUE,(_xlfn._xlws.FILTER($A$2:$A$501,($D$2:$D$501&gt;=U$7)*($D$2:$D$501&lt;T$7)*($E$2:$E$501&gt;=$H124)*($E$2:$E$501&lt;$H123)," ")))</f>
        <v xml:space="preserve"> </v>
      </c>
      <c r="U123" t="str" cm="1">
        <f t="array" ref="U123">_xlfn.TEXTJOIN(",",TRUE,(_xlfn._xlws.FILTER($A$2:$A$501,($D$2:$D$501&gt;=V$7)*($D$2:$D$501&lt;U$7)*($E$2:$E$501&gt;=$H124)*($E$2:$E$501&lt;$H123)," ")))</f>
        <v>Pleasant Valley SD</v>
      </c>
      <c r="V123" t="str" cm="1">
        <f t="array" ref="V123">_xlfn.TEXTJOIN(",",TRUE,(_xlfn._xlws.FILTER($A$2:$A$501,($D$2:$D$501&gt;=W$7)*($D$2:$D$501&lt;V$7)*($E$2:$E$501&gt;=$H124)*($E$2:$E$501&lt;$H123)," ")))</f>
        <v xml:space="preserve"> </v>
      </c>
      <c r="W123" t="str" cm="1">
        <f t="array" ref="W123">_xlfn.TEXTJOIN(",",TRUE,(_xlfn._xlws.FILTER($A$2:$A$501,($D$2:$D$501&gt;=X$7)*($D$2:$D$501&lt;W$7)*($E$2:$E$501&gt;=$H124)*($E$2:$E$501&lt;$H123)," ")))</f>
        <v>Keystone Central SD</v>
      </c>
      <c r="X123" t="str" cm="1">
        <f t="array" ref="X123">_xlfn.TEXTJOIN(",",TRUE,(_xlfn._xlws.FILTER($A$2:$A$501,($D$2:$D$501&gt;=Y$7)*($D$2:$D$501&lt;X$7)*($E$2:$E$501&gt;=$H124)*($E$2:$E$501&lt;$H123)," ")))</f>
        <v xml:space="preserve"> </v>
      </c>
      <c r="Y123" t="str" cm="1">
        <f t="array" ref="Y123">_xlfn.TEXTJOIN(",",TRUE,(_xlfn._xlws.FILTER($A$2:$A$501,($D$2:$D$501&gt;=Z$7)*($D$2:$D$501&lt;Y$7)*($E$2:$E$501&gt;=$H124)*($E$2:$E$501&lt;$H123)," ")))</f>
        <v>North Pocono SD</v>
      </c>
      <c r="Z123" t="str" cm="1">
        <f t="array" ref="Z123">_xlfn.TEXTJOIN(",",TRUE,(_xlfn._xlws.FILTER($A$2:$A$501,($D$2:$D$501&gt;=AA$7)*($D$2:$D$501&lt;Z$7)*($E$2:$E$501&gt;=$H124)*($E$2:$E$501&lt;$H123)," ")))</f>
        <v xml:space="preserve"> </v>
      </c>
      <c r="AA123" t="str" cm="1">
        <f t="array" ref="AA123">_xlfn.TEXTJOIN(",",TRUE,(_xlfn._xlws.FILTER($A$2:$A$501,($D$2:$D$501&gt;=AB$7)*($D$2:$D$501&lt;AA$7)*($E$2:$E$501&gt;=$H124)*($E$2:$E$501&lt;$H123)," ")))</f>
        <v>Conneaut SD</v>
      </c>
      <c r="AB123" t="str" cm="1">
        <f t="array" ref="AB123">_xlfn.TEXTJOIN(",",TRUE,(_xlfn._xlws.FILTER($A$2:$A$501,($D$2:$D$501&gt;=AC$7)*($D$2:$D$501&lt;AB$7)*($E$2:$E$501&gt;=$H124)*($E$2:$E$501&lt;$H123)," ")))</f>
        <v>North Schuylkill SD,Bermudian Springs SD,Central Greene SD,Littlestown Area SD,Oil City Area SD</v>
      </c>
      <c r="AC123" t="str" cm="1">
        <f t="array" ref="AC123">_xlfn.TEXTJOIN(",",TRUE,(_xlfn._xlws.FILTER($A$2:$A$501,($D$2:$D$501&gt;=AD$7)*($D$2:$D$501&lt;AC$7)*($E$2:$E$501&gt;=$H124)*($E$2:$E$501&lt;$H123)," ")))</f>
        <v>Southern Huntingdon County SD,Northwestern SD</v>
      </c>
      <c r="AD123" t="str" cm="1">
        <f t="array" ref="AD123">_xlfn.TEXTJOIN(",",TRUE,(_xlfn._xlws.FILTER($A$2:$A$501,($D$2:$D$501&gt;=AE$7)*($D$2:$D$501&lt;AD$7)*($E$2:$E$501&gt;=$H124)*($E$2:$E$501&lt;$H123)," ")))</f>
        <v>Glendale SD,Southeastern Greene SD</v>
      </c>
      <c r="AE123" t="str" cm="1">
        <f t="array" ref="AE123">_xlfn.TEXTJOIN(",",TRUE,(_xlfn._xlws.FILTER($A$2:$A$501,($D$2:$D$501&gt;=AF$7)*($D$2:$D$501&lt;AE$7)*($E$2:$E$501&gt;=$H124)*($E$2:$E$501&lt;$H123)," ")))</f>
        <v xml:space="preserve"> </v>
      </c>
      <c r="AF123" t="str" cm="1">
        <f t="array" ref="AF123">_xlfn.TEXTJOIN(",",TRUE,(_xlfn._xlws.FILTER($A$2:$A$501,($D$2:$D$501&gt;=AG$7)*($D$2:$D$501&lt;AF$7)*($E$2:$E$501&gt;=$H124)*($E$2:$E$501&lt;$H123)," ")))</f>
        <v xml:space="preserve"> </v>
      </c>
      <c r="AG123" t="str" cm="1">
        <f t="array" ref="AG123">_xlfn.TEXTJOIN(",",TRUE,(_xlfn._xlws.FILTER($A$2:$A$501,($D$2:$D$501&gt;=AH$7)*($D$2:$D$501&lt;AG$7)*($E$2:$E$501&gt;=$H124)*($E$2:$E$501&lt;$H123)," ")))</f>
        <v xml:space="preserve"> </v>
      </c>
      <c r="AH123" t="str" cm="1">
        <f t="array" ref="AH123">_xlfn.TEXTJOIN(",",TRUE,(_xlfn._xlws.FILTER($A$2:$A$501,($D$2:$D$501&gt;=AI$7)*($D$2:$D$501&lt;AH$7)*($E$2:$E$501&gt;=$H124)*($E$2:$E$501&lt;$H123)," ")))</f>
        <v xml:space="preserve"> </v>
      </c>
      <c r="AI123" t="str" cm="1">
        <f t="array" ref="AI123">_xlfn.TEXTJOIN(",",TRUE,(_xlfn._xlws.FILTER($A$2:$A$501,($D$2:$D$501&gt;=AJ$7)*($D$2:$D$501&lt;AI$7)*($E$2:$E$501&gt;=$H124)*($E$2:$E$501&lt;$H123)," ")))</f>
        <v xml:space="preserve"> </v>
      </c>
      <c r="AJ123" t="str" cm="1">
        <f t="array" ref="AJ123">_xlfn.TEXTJOIN(",",TRUE,(_xlfn._xlws.FILTER($A$2:$A$501,($D$2:$D$501&gt;=AK$7)*($D$2:$D$501&lt;AJ$7)*($E$2:$E$501&gt;=$H124)*($E$2:$E$501&lt;$H123)," ")))</f>
        <v xml:space="preserve"> </v>
      </c>
      <c r="AK123" t="str" cm="1">
        <f t="array" ref="AK123">_xlfn.TEXTJOIN(",",TRUE,(_xlfn._xlws.FILTER($A$2:$A$501,($D$2:$D$501&gt;=AL$7)*($D$2:$D$501&lt;AK$7)*($E$2:$E$501&gt;=$H124)*($E$2:$E$501&lt;$H123)," ")))</f>
        <v xml:space="preserve"> </v>
      </c>
      <c r="AL123" t="str" cm="1">
        <f t="array" ref="AL123">_xlfn.TEXTJOIN(",",TRUE,(_xlfn._xlws.FILTER($A$2:$A$501,($D$2:$D$501&gt;=AM$7)*($D$2:$D$501&lt;AL$7)*($E$2:$E$501&gt;=$H124)*($E$2:$E$501&lt;$H123)," ")))</f>
        <v xml:space="preserve"> </v>
      </c>
      <c r="AM123" t="str" cm="1">
        <f t="array" ref="AM123">_xlfn.TEXTJOIN(",",TRUE,(_xlfn._xlws.FILTER($A$2:$A$501,($D$2:$D$501&gt;=AN$7)*($D$2:$D$501&lt;AM$7)*($E$2:$E$501&gt;=$H124)*($E$2:$E$501&lt;$H123)," ")))</f>
        <v xml:space="preserve"> </v>
      </c>
      <c r="AN123" t="str" cm="1">
        <f t="array" ref="AN123">_xlfn.TEXTJOIN(",",TRUE,(_xlfn._xlws.FILTER($A$2:$A$501,($D$2:$D$501&gt;=AO$7)*($D$2:$D$501&lt;AN$7)*($E$2:$E$501&gt;=$H124)*($E$2:$E$501&lt;$H123)," ")))</f>
        <v xml:space="preserve"> </v>
      </c>
      <c r="AO123" t="str" cm="1">
        <f t="array" ref="AO123">_xlfn.TEXTJOIN(",",TRUE,(_xlfn._xlws.FILTER($A$2:$A$501,($D$2:$D$501&gt;=AP$7)*($D$2:$D$501&lt;AO$7)*($E$2:$E$501&gt;=$H124)*($E$2:$E$501&lt;$H123)," ")))</f>
        <v xml:space="preserve"> </v>
      </c>
      <c r="AP123" t="str" cm="1">
        <f t="array" ref="AP123">_xlfn.TEXTJOIN(",",TRUE,(_xlfn._xlws.FILTER($A$2:$A$501,($D$2:$D$501&gt;=AQ$7)*($D$2:$D$501&lt;AP$7)*($E$2:$E$501&gt;=$H124)*($E$2:$E$501&lt;$H123)," ")))</f>
        <v xml:space="preserve"> </v>
      </c>
      <c r="AQ123" t="str" cm="1">
        <f t="array" ref="AQ123">_xlfn.TEXTJOIN(",",TRUE,(_xlfn._xlws.FILTER($A$2:$A$501,($D$2:$D$501&gt;=AR$7)*($D$2:$D$501&lt;AQ$7)*($E$2:$E$501&gt;=$H124)*($E$2:$E$501&lt;$H123)," ")))</f>
        <v xml:space="preserve"> </v>
      </c>
      <c r="AR123" t="str" cm="1">
        <f t="array" ref="AR123">_xlfn.TEXTJOIN(",",TRUE,(_xlfn._xlws.FILTER($A$2:$A$501,($D$2:$D$501&gt;=AS$7)*($D$2:$D$501&lt;AR$7)*($E$2:$E$501&gt;=$H124)*($E$2:$E$501&lt;$H123)," ")))</f>
        <v xml:space="preserve"> </v>
      </c>
      <c r="AS123" t="str" cm="1">
        <f t="array" ref="AS123">_xlfn.TEXTJOIN(",",TRUE,(_xlfn._xlws.FILTER($A$2:$A$501,($D$2:$D$501&gt;=AT$7)*($D$2:$D$501&lt;AS$7)*($E$2:$E$501&gt;=$H124)*($E$2:$E$501&lt;$H123)," ")))</f>
        <v xml:space="preserve"> </v>
      </c>
      <c r="AT123" t="str" cm="1">
        <f t="array" ref="AT123">_xlfn.TEXTJOIN(",",TRUE,(_xlfn._xlws.FILTER($A$2:$A$501,($D$2:$D$501&gt;=AU$7)*($D$2:$D$501&lt;AT$7)*($E$2:$E$501&gt;=$H124)*($E$2:$E$501&lt;$H123)," ")))</f>
        <v xml:space="preserve"> </v>
      </c>
      <c r="AU123" t="str" cm="1">
        <f t="array" ref="AU123">_xlfn.TEXTJOIN(",",TRUE,(_xlfn._xlws.FILTER($A$2:$A$501,($D$2:$D$501&gt;=AV$7)*($D$2:$D$501&lt;AU$7)*($E$2:$E$501&gt;=$H124)*($E$2:$E$501&lt;$H123)," ")))</f>
        <v xml:space="preserve"> </v>
      </c>
      <c r="AV123" t="str" cm="1">
        <f t="array" ref="AV123">_xlfn.TEXTJOIN(",",TRUE,(_xlfn._xlws.FILTER($A$2:$A$501,($D$2:$D$501&gt;=AW$7)*($D$2:$D$501&lt;AV$7)*($E$2:$E$501&gt;=$H124)*($E$2:$E$501&lt;$H123)," ")))</f>
        <v xml:space="preserve"> </v>
      </c>
      <c r="AW123" t="str" cm="1">
        <f t="array" ref="AW123">_xlfn.TEXTJOIN(",",TRUE,(_xlfn._xlws.FILTER($A$2:$A$501,($D$2:$D$501&gt;=AX$7)*($D$2:$D$501&lt;AW$7)*($E$2:$E$501&gt;=$H124)*($E$2:$E$501&lt;$H123)," ")))</f>
        <v xml:space="preserve"> </v>
      </c>
      <c r="AX123" t="str" cm="1">
        <f t="array" ref="AX123">_xlfn.TEXTJOIN(",",TRUE,(_xlfn._xlws.FILTER($A$2:$A$501,($D$2:$D$501&gt;=AY$7)*($D$2:$D$501&lt;AX$7)*($E$2:$E$501&gt;=$H124)*($E$2:$E$501&lt;$H123)," ")))</f>
        <v xml:space="preserve"> </v>
      </c>
      <c r="AY123" t="str" cm="1">
        <f t="array" ref="AY123">_xlfn.TEXTJOIN(",",TRUE,(_xlfn._xlws.FILTER($A$2:$A$501,($D$2:$D$501&gt;=AZ$7)*($D$2:$D$501&lt;AY$7)*($E$2:$E$501&gt;=$H124)*($E$2:$E$501&lt;$H123)," ")))</f>
        <v xml:space="preserve"> </v>
      </c>
      <c r="AZ123" t="str" cm="1">
        <f t="array" ref="AZ123">_xlfn.TEXTJOIN(",",TRUE,(_xlfn._xlws.FILTER($A$2:$A$501,($D$2:$D$501&gt;=BA$7)*($D$2:$D$501&lt;AZ$7)*($E$2:$E$501&gt;=$H124)*($E$2:$E$501&lt;$H123)," ")))</f>
        <v xml:space="preserve"> </v>
      </c>
      <c r="BA123" t="str" cm="1">
        <f t="array" ref="BA123">_xlfn.TEXTJOIN(",",TRUE,(_xlfn._xlws.FILTER($A$2:$A$501,($D$2:$D$501&gt;=BB$7)*($D$2:$D$501&lt;BA$7)*($E$2:$E$501&gt;=$H124)*($E$2:$E$501&lt;$H123)," ")))</f>
        <v xml:space="preserve"> </v>
      </c>
      <c r="BB123" t="str" cm="1">
        <f t="array" ref="BB123">_xlfn.TEXTJOIN(",",TRUE,(_xlfn._xlws.FILTER($A$2:$A$501,($D$2:$D$501&gt;=BC$7)*($D$2:$D$501&lt;BB$7)*($E$2:$E$501&gt;=$H124)*($E$2:$E$501&lt;$H123)," ")))</f>
        <v xml:space="preserve"> </v>
      </c>
    </row>
    <row r="124" spans="1:54" x14ac:dyDescent="0.2">
      <c r="A124" s="3" t="s">
        <v>372</v>
      </c>
      <c r="B124" s="3" t="s">
        <v>371</v>
      </c>
      <c r="C124" s="13">
        <v>1890590.49</v>
      </c>
      <c r="D124" s="15">
        <v>47828657.350000001</v>
      </c>
      <c r="E124" s="22">
        <f>TuitionRates3[[#This Row],[Tuition]]/D124</f>
        <v>3.9528403989371026E-2</v>
      </c>
      <c r="F124"/>
      <c r="H124" s="18">
        <v>3.4000000000000002E-2</v>
      </c>
      <c r="I124" t="str" cm="1">
        <f t="array" ref="I124">_xlfn.TEXTJOIN(",",TRUE,(_xlfn._xlws.FILTER($A$2:$A$501,($D$2:$D$501&gt;=J$7)*($D$2:$D$501&lt;I$7)*($E$2:$E$501&gt;=$H125)*($E$2:$E$501&lt;$H124)," ")))</f>
        <v xml:space="preserve"> </v>
      </c>
      <c r="J124" t="str" cm="1">
        <f t="array" ref="J124">_xlfn.TEXTJOIN(",",TRUE,(_xlfn._xlws.FILTER($A$2:$A$501,($D$2:$D$501&gt;=K$7)*($D$2:$D$501&lt;J$7)*($E$2:$E$501&gt;=$H125)*($E$2:$E$501&lt;$H124)," ")))</f>
        <v xml:space="preserve"> </v>
      </c>
      <c r="K124" t="str" cm="1">
        <f t="array" ref="K124">_xlfn.TEXTJOIN(",",TRUE,(_xlfn._xlws.FILTER($A$2:$A$501,($D$2:$D$501&gt;=L$7)*($D$2:$D$501&lt;K$7)*($E$2:$E$501&gt;=$H125)*($E$2:$E$501&lt;$H124)," ")))</f>
        <v xml:space="preserve"> </v>
      </c>
      <c r="L124" t="str" cm="1">
        <f t="array" ref="L124">_xlfn.TEXTJOIN(",",TRUE,(_xlfn._xlws.FILTER($A$2:$A$501,($D$2:$D$501&gt;=M$7)*($D$2:$D$501&lt;L$7)*($E$2:$E$501&gt;=$H125)*($E$2:$E$501&lt;$H124)," ")))</f>
        <v xml:space="preserve"> </v>
      </c>
      <c r="M124" t="str" cm="1">
        <f t="array" ref="M124">_xlfn.TEXTJOIN(",",TRUE,(_xlfn._xlws.FILTER($A$2:$A$501,($D$2:$D$501&gt;=N$7)*($D$2:$D$501&lt;M$7)*($E$2:$E$501&gt;=$H125)*($E$2:$E$501&lt;$H124)," ")))</f>
        <v xml:space="preserve"> </v>
      </c>
      <c r="N124" t="str" cm="1">
        <f t="array" ref="N124">_xlfn.TEXTJOIN(",",TRUE,(_xlfn._xlws.FILTER($A$2:$A$501,($D$2:$D$501&gt;=O$7)*($D$2:$D$501&lt;N$7)*($E$2:$E$501&gt;=$H125)*($E$2:$E$501&lt;$H124)," ")))</f>
        <v xml:space="preserve"> </v>
      </c>
      <c r="O124" t="str" cm="1">
        <f t="array" ref="O124">_xlfn.TEXTJOIN(",",TRUE,(_xlfn._xlws.FILTER($A$2:$A$501,($D$2:$D$501&gt;=P$7)*($D$2:$D$501&lt;O$7)*($E$2:$E$501&gt;=$H125)*($E$2:$E$501&lt;$H124)," ")))</f>
        <v xml:space="preserve"> </v>
      </c>
      <c r="P124" t="str" cm="1">
        <f t="array" ref="P124">_xlfn.TEXTJOIN(",",TRUE,(_xlfn._xlws.FILTER($A$2:$A$501,($D$2:$D$501&gt;=Q$7)*($D$2:$D$501&lt;P$7)*($E$2:$E$501&gt;=$H125)*($E$2:$E$501&lt;$H124)," ")))</f>
        <v xml:space="preserve"> </v>
      </c>
      <c r="Q124" t="str" cm="1">
        <f t="array" ref="Q124">_xlfn.TEXTJOIN(",",TRUE,(_xlfn._xlws.FILTER($A$2:$A$501,($D$2:$D$501&gt;=R$7)*($D$2:$D$501&lt;Q$7)*($E$2:$E$501&gt;=$H125)*($E$2:$E$501&lt;$H124)," ")))</f>
        <v xml:space="preserve"> </v>
      </c>
      <c r="R124" t="str" cm="1">
        <f t="array" ref="R124">_xlfn.TEXTJOIN(",",TRUE,(_xlfn._xlws.FILTER($A$2:$A$501,($D$2:$D$501&gt;=S$7)*($D$2:$D$501&lt;R$7)*($E$2:$E$501&gt;=$H125)*($E$2:$E$501&lt;$H124)," ")))</f>
        <v xml:space="preserve"> </v>
      </c>
      <c r="S124" t="str" cm="1">
        <f t="array" ref="S124">_xlfn.TEXTJOIN(",",TRUE,(_xlfn._xlws.FILTER($A$2:$A$501,($D$2:$D$501&gt;=T$7)*($D$2:$D$501&lt;S$7)*($E$2:$E$501&gt;=$H125)*($E$2:$E$501&lt;$H124)," ")))</f>
        <v xml:space="preserve"> </v>
      </c>
      <c r="T124" t="str" cm="1">
        <f t="array" ref="T124">_xlfn.TEXTJOIN(",",TRUE,(_xlfn._xlws.FILTER($A$2:$A$501,($D$2:$D$501&gt;=U$7)*($D$2:$D$501&lt;T$7)*($E$2:$E$501&gt;=$H125)*($E$2:$E$501&lt;$H124)," ")))</f>
        <v xml:space="preserve"> </v>
      </c>
      <c r="U124" t="str" cm="1">
        <f t="array" ref="U124">_xlfn.TEXTJOIN(",",TRUE,(_xlfn._xlws.FILTER($A$2:$A$501,($D$2:$D$501&gt;=V$7)*($D$2:$D$501&lt;U$7)*($E$2:$E$501&gt;=$H125)*($E$2:$E$501&lt;$H124)," ")))</f>
        <v xml:space="preserve"> </v>
      </c>
      <c r="V124" t="str" cm="1">
        <f t="array" ref="V124">_xlfn.TEXTJOIN(",",TRUE,(_xlfn._xlws.FILTER($A$2:$A$501,($D$2:$D$501&gt;=W$7)*($D$2:$D$501&lt;V$7)*($E$2:$E$501&gt;=$H125)*($E$2:$E$501&lt;$H124)," ")))</f>
        <v xml:space="preserve"> </v>
      </c>
      <c r="W124" t="str" cm="1">
        <f t="array" ref="W124">_xlfn.TEXTJOIN(",",TRUE,(_xlfn._xlws.FILTER($A$2:$A$501,($D$2:$D$501&gt;=X$7)*($D$2:$D$501&lt;W$7)*($E$2:$E$501&gt;=$H125)*($E$2:$E$501&lt;$H124)," ")))</f>
        <v xml:space="preserve"> </v>
      </c>
      <c r="X124" t="str" cm="1">
        <f t="array" ref="X124">_xlfn.TEXTJOIN(",",TRUE,(_xlfn._xlws.FILTER($A$2:$A$501,($D$2:$D$501&gt;=Y$7)*($D$2:$D$501&lt;X$7)*($E$2:$E$501&gt;=$H125)*($E$2:$E$501&lt;$H124)," ")))</f>
        <v xml:space="preserve"> </v>
      </c>
      <c r="Y124" t="str" cm="1">
        <f t="array" ref="Y124">_xlfn.TEXTJOIN(",",TRUE,(_xlfn._xlws.FILTER($A$2:$A$501,($D$2:$D$501&gt;=Z$7)*($D$2:$D$501&lt;Y$7)*($E$2:$E$501&gt;=$H125)*($E$2:$E$501&lt;$H124)," ")))</f>
        <v xml:space="preserve"> </v>
      </c>
      <c r="Z124" t="str" cm="1">
        <f t="array" ref="Z124">_xlfn.TEXTJOIN(",",TRUE,(_xlfn._xlws.FILTER($A$2:$A$501,($D$2:$D$501&gt;=AA$7)*($D$2:$D$501&lt;Z$7)*($E$2:$E$501&gt;=$H125)*($E$2:$E$501&lt;$H124)," ")))</f>
        <v xml:space="preserve"> </v>
      </c>
      <c r="AA124" t="str" cm="1">
        <f t="array" ref="AA124">_xlfn.TEXTJOIN(",",TRUE,(_xlfn._xlws.FILTER($A$2:$A$501,($D$2:$D$501&gt;=AB$7)*($D$2:$D$501&lt;AA$7)*($E$2:$E$501&gt;=$H125)*($E$2:$E$501&lt;$H124)," ")))</f>
        <v>Clearfield Area SD,Hamburg Area SD,Northern Tioga SD</v>
      </c>
      <c r="AB124" t="str" cm="1">
        <f t="array" ref="AB124">_xlfn.TEXTJOIN(",",TRUE,(_xlfn._xlws.FILTER($A$2:$A$501,($D$2:$D$501&gt;=AC$7)*($D$2:$D$501&lt;AB$7)*($E$2:$E$501&gt;=$H125)*($E$2:$E$501&lt;$H124)," ")))</f>
        <v xml:space="preserve"> </v>
      </c>
      <c r="AC124" t="str" cm="1">
        <f t="array" ref="AC124">_xlfn.TEXTJOIN(",",TRUE,(_xlfn._xlws.FILTER($A$2:$A$501,($D$2:$D$501&gt;=AD$7)*($D$2:$D$501&lt;AC$7)*($E$2:$E$501&gt;=$H125)*($E$2:$E$501&lt;$H124)," ")))</f>
        <v>Bristol Borough SD,Mercer Area SD,Schuylkill Haven Area SD</v>
      </c>
      <c r="AD124" t="str" cm="1">
        <f t="array" ref="AD124">_xlfn.TEXTJOIN(",",TRUE,(_xlfn._xlws.FILTER($A$2:$A$501,($D$2:$D$501&gt;=AE$7)*($D$2:$D$501&lt;AD$7)*($E$2:$E$501&gt;=$H125)*($E$2:$E$501&lt;$H124)," ")))</f>
        <v>Cornell SD,Johnsonburg Area SD</v>
      </c>
      <c r="AE124" t="str" cm="1">
        <f t="array" ref="AE124">_xlfn.TEXTJOIN(",",TRUE,(_xlfn._xlws.FILTER($A$2:$A$501,($D$2:$D$501&gt;=AF$7)*($D$2:$D$501&lt;AE$7)*($E$2:$E$501&gt;=$H125)*($E$2:$E$501&lt;$H124)," ")))</f>
        <v xml:space="preserve"> </v>
      </c>
      <c r="AF124" t="str" cm="1">
        <f t="array" ref="AF124">_xlfn.TEXTJOIN(",",TRUE,(_xlfn._xlws.FILTER($A$2:$A$501,($D$2:$D$501&gt;=AG$7)*($D$2:$D$501&lt;AF$7)*($E$2:$E$501&gt;=$H125)*($E$2:$E$501&lt;$H124)," ")))</f>
        <v xml:space="preserve"> </v>
      </c>
      <c r="AG124" t="str" cm="1">
        <f t="array" ref="AG124">_xlfn.TEXTJOIN(",",TRUE,(_xlfn._xlws.FILTER($A$2:$A$501,($D$2:$D$501&gt;=AH$7)*($D$2:$D$501&lt;AG$7)*($E$2:$E$501&gt;=$H125)*($E$2:$E$501&lt;$H124)," ")))</f>
        <v xml:space="preserve"> </v>
      </c>
      <c r="AH124" t="str" cm="1">
        <f t="array" ref="AH124">_xlfn.TEXTJOIN(",",TRUE,(_xlfn._xlws.FILTER($A$2:$A$501,($D$2:$D$501&gt;=AI$7)*($D$2:$D$501&lt;AH$7)*($E$2:$E$501&gt;=$H125)*($E$2:$E$501&lt;$H124)," ")))</f>
        <v xml:space="preserve"> </v>
      </c>
      <c r="AI124" t="str" cm="1">
        <f t="array" ref="AI124">_xlfn.TEXTJOIN(",",TRUE,(_xlfn._xlws.FILTER($A$2:$A$501,($D$2:$D$501&gt;=AJ$7)*($D$2:$D$501&lt;AI$7)*($E$2:$E$501&gt;=$H125)*($E$2:$E$501&lt;$H124)," ")))</f>
        <v xml:space="preserve"> </v>
      </c>
      <c r="AJ124" t="str" cm="1">
        <f t="array" ref="AJ124">_xlfn.TEXTJOIN(",",TRUE,(_xlfn._xlws.FILTER($A$2:$A$501,($D$2:$D$501&gt;=AK$7)*($D$2:$D$501&lt;AJ$7)*($E$2:$E$501&gt;=$H125)*($E$2:$E$501&lt;$H124)," ")))</f>
        <v xml:space="preserve"> </v>
      </c>
      <c r="AK124" t="str" cm="1">
        <f t="array" ref="AK124">_xlfn.TEXTJOIN(",",TRUE,(_xlfn._xlws.FILTER($A$2:$A$501,($D$2:$D$501&gt;=AL$7)*($D$2:$D$501&lt;AK$7)*($E$2:$E$501&gt;=$H125)*($E$2:$E$501&lt;$H124)," ")))</f>
        <v xml:space="preserve"> </v>
      </c>
      <c r="AL124" t="str" cm="1">
        <f t="array" ref="AL124">_xlfn.TEXTJOIN(",",TRUE,(_xlfn._xlws.FILTER($A$2:$A$501,($D$2:$D$501&gt;=AM$7)*($D$2:$D$501&lt;AL$7)*($E$2:$E$501&gt;=$H125)*($E$2:$E$501&lt;$H124)," ")))</f>
        <v xml:space="preserve"> </v>
      </c>
      <c r="AM124" t="str" cm="1">
        <f t="array" ref="AM124">_xlfn.TEXTJOIN(",",TRUE,(_xlfn._xlws.FILTER($A$2:$A$501,($D$2:$D$501&gt;=AN$7)*($D$2:$D$501&lt;AM$7)*($E$2:$E$501&gt;=$H125)*($E$2:$E$501&lt;$H124)," ")))</f>
        <v xml:space="preserve"> </v>
      </c>
      <c r="AN124" t="str" cm="1">
        <f t="array" ref="AN124">_xlfn.TEXTJOIN(",",TRUE,(_xlfn._xlws.FILTER($A$2:$A$501,($D$2:$D$501&gt;=AO$7)*($D$2:$D$501&lt;AN$7)*($E$2:$E$501&gt;=$H125)*($E$2:$E$501&lt;$H124)," ")))</f>
        <v xml:space="preserve"> </v>
      </c>
      <c r="AO124" t="str" cm="1">
        <f t="array" ref="AO124">_xlfn.TEXTJOIN(",",TRUE,(_xlfn._xlws.FILTER($A$2:$A$501,($D$2:$D$501&gt;=AP$7)*($D$2:$D$501&lt;AO$7)*($E$2:$E$501&gt;=$H125)*($E$2:$E$501&lt;$H124)," ")))</f>
        <v xml:space="preserve"> </v>
      </c>
      <c r="AP124" t="str" cm="1">
        <f t="array" ref="AP124">_xlfn.TEXTJOIN(",",TRUE,(_xlfn._xlws.FILTER($A$2:$A$501,($D$2:$D$501&gt;=AQ$7)*($D$2:$D$501&lt;AP$7)*($E$2:$E$501&gt;=$H125)*($E$2:$E$501&lt;$H124)," ")))</f>
        <v xml:space="preserve"> </v>
      </c>
      <c r="AQ124" t="str" cm="1">
        <f t="array" ref="AQ124">_xlfn.TEXTJOIN(",",TRUE,(_xlfn._xlws.FILTER($A$2:$A$501,($D$2:$D$501&gt;=AR$7)*($D$2:$D$501&lt;AQ$7)*($E$2:$E$501&gt;=$H125)*($E$2:$E$501&lt;$H124)," ")))</f>
        <v xml:space="preserve"> </v>
      </c>
      <c r="AR124" t="str" cm="1">
        <f t="array" ref="AR124">_xlfn.TEXTJOIN(",",TRUE,(_xlfn._xlws.FILTER($A$2:$A$501,($D$2:$D$501&gt;=AS$7)*($D$2:$D$501&lt;AR$7)*($E$2:$E$501&gt;=$H125)*($E$2:$E$501&lt;$H124)," ")))</f>
        <v xml:space="preserve"> </v>
      </c>
      <c r="AS124" t="str" cm="1">
        <f t="array" ref="AS124">_xlfn.TEXTJOIN(",",TRUE,(_xlfn._xlws.FILTER($A$2:$A$501,($D$2:$D$501&gt;=AT$7)*($D$2:$D$501&lt;AS$7)*($E$2:$E$501&gt;=$H125)*($E$2:$E$501&lt;$H124)," ")))</f>
        <v xml:space="preserve"> </v>
      </c>
      <c r="AT124" t="str" cm="1">
        <f t="array" ref="AT124">_xlfn.TEXTJOIN(",",TRUE,(_xlfn._xlws.FILTER($A$2:$A$501,($D$2:$D$501&gt;=AU$7)*($D$2:$D$501&lt;AT$7)*($E$2:$E$501&gt;=$H125)*($E$2:$E$501&lt;$H124)," ")))</f>
        <v xml:space="preserve"> </v>
      </c>
      <c r="AU124" t="str" cm="1">
        <f t="array" ref="AU124">_xlfn.TEXTJOIN(",",TRUE,(_xlfn._xlws.FILTER($A$2:$A$501,($D$2:$D$501&gt;=AV$7)*($D$2:$D$501&lt;AU$7)*($E$2:$E$501&gt;=$H125)*($E$2:$E$501&lt;$H124)," ")))</f>
        <v xml:space="preserve"> </v>
      </c>
      <c r="AV124" t="str" cm="1">
        <f t="array" ref="AV124">_xlfn.TEXTJOIN(",",TRUE,(_xlfn._xlws.FILTER($A$2:$A$501,($D$2:$D$501&gt;=AW$7)*($D$2:$D$501&lt;AV$7)*($E$2:$E$501&gt;=$H125)*($E$2:$E$501&lt;$H124)," ")))</f>
        <v xml:space="preserve"> </v>
      </c>
      <c r="AW124" t="str" cm="1">
        <f t="array" ref="AW124">_xlfn.TEXTJOIN(",",TRUE,(_xlfn._xlws.FILTER($A$2:$A$501,($D$2:$D$501&gt;=AX$7)*($D$2:$D$501&lt;AW$7)*($E$2:$E$501&gt;=$H125)*($E$2:$E$501&lt;$H124)," ")))</f>
        <v xml:space="preserve"> </v>
      </c>
      <c r="AX124" t="str" cm="1">
        <f t="array" ref="AX124">_xlfn.TEXTJOIN(",",TRUE,(_xlfn._xlws.FILTER($A$2:$A$501,($D$2:$D$501&gt;=AY$7)*($D$2:$D$501&lt;AX$7)*($E$2:$E$501&gt;=$H125)*($E$2:$E$501&lt;$H124)," ")))</f>
        <v xml:space="preserve"> </v>
      </c>
      <c r="AY124" t="str" cm="1">
        <f t="array" ref="AY124">_xlfn.TEXTJOIN(",",TRUE,(_xlfn._xlws.FILTER($A$2:$A$501,($D$2:$D$501&gt;=AZ$7)*($D$2:$D$501&lt;AY$7)*($E$2:$E$501&gt;=$H125)*($E$2:$E$501&lt;$H124)," ")))</f>
        <v xml:space="preserve"> </v>
      </c>
      <c r="AZ124" t="str" cm="1">
        <f t="array" ref="AZ124">_xlfn.TEXTJOIN(",",TRUE,(_xlfn._xlws.FILTER($A$2:$A$501,($D$2:$D$501&gt;=BA$7)*($D$2:$D$501&lt;AZ$7)*($E$2:$E$501&gt;=$H125)*($E$2:$E$501&lt;$H124)," ")))</f>
        <v xml:space="preserve"> </v>
      </c>
      <c r="BA124" t="str" cm="1">
        <f t="array" ref="BA124">_xlfn.TEXTJOIN(",",TRUE,(_xlfn._xlws.FILTER($A$2:$A$501,($D$2:$D$501&gt;=BB$7)*($D$2:$D$501&lt;BA$7)*($E$2:$E$501&gt;=$H125)*($E$2:$E$501&lt;$H124)," ")))</f>
        <v xml:space="preserve"> </v>
      </c>
      <c r="BB124" t="str" cm="1">
        <f t="array" ref="BB124">_xlfn.TEXTJOIN(",",TRUE,(_xlfn._xlws.FILTER($A$2:$A$501,($D$2:$D$501&gt;=BC$7)*($D$2:$D$501&lt;BB$7)*($E$2:$E$501&gt;=$H125)*($E$2:$E$501&lt;$H124)," ")))</f>
        <v xml:space="preserve"> </v>
      </c>
    </row>
    <row r="125" spans="1:54" x14ac:dyDescent="0.2">
      <c r="A125" s="3" t="s">
        <v>136</v>
      </c>
      <c r="B125" s="3" t="s">
        <v>130</v>
      </c>
      <c r="C125" s="13">
        <v>1390400</v>
      </c>
      <c r="D125" s="15">
        <v>35344225</v>
      </c>
      <c r="E125" s="22">
        <f>TuitionRates3[[#This Row],[Tuition]]/D125</f>
        <v>3.9338817020319446E-2</v>
      </c>
      <c r="F125"/>
      <c r="H125" s="18">
        <v>3.3000000000000002E-2</v>
      </c>
      <c r="I125" t="str" cm="1">
        <f t="array" ref="I125">_xlfn.TEXTJOIN(",",TRUE,(_xlfn._xlws.FILTER($A$2:$A$501,($D$2:$D$501&gt;=J$7)*($D$2:$D$501&lt;I$7)*($E$2:$E$501&gt;=$H126)*($E$2:$E$501&lt;$H125)," ")))</f>
        <v xml:space="preserve"> </v>
      </c>
      <c r="J125" t="str" cm="1">
        <f t="array" ref="J125">_xlfn.TEXTJOIN(",",TRUE,(_xlfn._xlws.FILTER($A$2:$A$501,($D$2:$D$501&gt;=K$7)*($D$2:$D$501&lt;J$7)*($E$2:$E$501&gt;=$H126)*($E$2:$E$501&lt;$H125)," ")))</f>
        <v xml:space="preserve"> </v>
      </c>
      <c r="K125" t="str" cm="1">
        <f t="array" ref="K125">_xlfn.TEXTJOIN(",",TRUE,(_xlfn._xlws.FILTER($A$2:$A$501,($D$2:$D$501&gt;=L$7)*($D$2:$D$501&lt;K$7)*($E$2:$E$501&gt;=$H126)*($E$2:$E$501&lt;$H125)," ")))</f>
        <v xml:space="preserve"> </v>
      </c>
      <c r="L125" t="str" cm="1">
        <f t="array" ref="L125">_xlfn.TEXTJOIN(",",TRUE,(_xlfn._xlws.FILTER($A$2:$A$501,($D$2:$D$501&gt;=M$7)*($D$2:$D$501&lt;L$7)*($E$2:$E$501&gt;=$H126)*($E$2:$E$501&lt;$H125)," ")))</f>
        <v xml:space="preserve"> </v>
      </c>
      <c r="M125" t="str" cm="1">
        <f t="array" ref="M125">_xlfn.TEXTJOIN(",",TRUE,(_xlfn._xlws.FILTER($A$2:$A$501,($D$2:$D$501&gt;=N$7)*($D$2:$D$501&lt;M$7)*($E$2:$E$501&gt;=$H126)*($E$2:$E$501&lt;$H125)," ")))</f>
        <v xml:space="preserve"> </v>
      </c>
      <c r="N125" t="str" cm="1">
        <f t="array" ref="N125">_xlfn.TEXTJOIN(",",TRUE,(_xlfn._xlws.FILTER($A$2:$A$501,($D$2:$D$501&gt;=O$7)*($D$2:$D$501&lt;N$7)*($E$2:$E$501&gt;=$H126)*($E$2:$E$501&lt;$H125)," ")))</f>
        <v xml:space="preserve"> </v>
      </c>
      <c r="O125" t="str" cm="1">
        <f t="array" ref="O125">_xlfn.TEXTJOIN(",",TRUE,(_xlfn._xlws.FILTER($A$2:$A$501,($D$2:$D$501&gt;=P$7)*($D$2:$D$501&lt;O$7)*($E$2:$E$501&gt;=$H126)*($E$2:$E$501&lt;$H125)," ")))</f>
        <v xml:space="preserve"> </v>
      </c>
      <c r="P125" t="str" cm="1">
        <f t="array" ref="P125">_xlfn.TEXTJOIN(",",TRUE,(_xlfn._xlws.FILTER($A$2:$A$501,($D$2:$D$501&gt;=Q$7)*($D$2:$D$501&lt;P$7)*($E$2:$E$501&gt;=$H126)*($E$2:$E$501&lt;$H125)," ")))</f>
        <v xml:space="preserve"> </v>
      </c>
      <c r="Q125" t="str" cm="1">
        <f t="array" ref="Q125">_xlfn.TEXTJOIN(",",TRUE,(_xlfn._xlws.FILTER($A$2:$A$501,($D$2:$D$501&gt;=R$7)*($D$2:$D$501&lt;Q$7)*($E$2:$E$501&gt;=$H126)*($E$2:$E$501&lt;$H125)," ")))</f>
        <v xml:space="preserve"> </v>
      </c>
      <c r="R125" t="str" cm="1">
        <f t="array" ref="R125">_xlfn.TEXTJOIN(",",TRUE,(_xlfn._xlws.FILTER($A$2:$A$501,($D$2:$D$501&gt;=S$7)*($D$2:$D$501&lt;R$7)*($E$2:$E$501&gt;=$H126)*($E$2:$E$501&lt;$H125)," ")))</f>
        <v xml:space="preserve"> </v>
      </c>
      <c r="S125" t="str" cm="1">
        <f t="array" ref="S125">_xlfn.TEXTJOIN(",",TRUE,(_xlfn._xlws.FILTER($A$2:$A$501,($D$2:$D$501&gt;=T$7)*($D$2:$D$501&lt;S$7)*($E$2:$E$501&gt;=$H126)*($E$2:$E$501&lt;$H125)," ")))</f>
        <v xml:space="preserve"> </v>
      </c>
      <c r="T125" t="str" cm="1">
        <f t="array" ref="T125">_xlfn.TEXTJOIN(",",TRUE,(_xlfn._xlws.FILTER($A$2:$A$501,($D$2:$D$501&gt;=U$7)*($D$2:$D$501&lt;T$7)*($E$2:$E$501&gt;=$H126)*($E$2:$E$501&lt;$H125)," ")))</f>
        <v xml:space="preserve"> </v>
      </c>
      <c r="U125" t="str" cm="1">
        <f t="array" ref="U125">_xlfn.TEXTJOIN(",",TRUE,(_xlfn._xlws.FILTER($A$2:$A$501,($D$2:$D$501&gt;=V$7)*($D$2:$D$501&lt;U$7)*($E$2:$E$501&gt;=$H126)*($E$2:$E$501&lt;$H125)," ")))</f>
        <v xml:space="preserve"> </v>
      </c>
      <c r="V125" t="str" cm="1">
        <f t="array" ref="V125">_xlfn.TEXTJOIN(",",TRUE,(_xlfn._xlws.FILTER($A$2:$A$501,($D$2:$D$501&gt;=W$7)*($D$2:$D$501&lt;V$7)*($E$2:$E$501&gt;=$H126)*($E$2:$E$501&lt;$H125)," ")))</f>
        <v xml:space="preserve"> </v>
      </c>
      <c r="W125" t="str" cm="1">
        <f t="array" ref="W125">_xlfn.TEXTJOIN(",",TRUE,(_xlfn._xlws.FILTER($A$2:$A$501,($D$2:$D$501&gt;=X$7)*($D$2:$D$501&lt;W$7)*($E$2:$E$501&gt;=$H126)*($E$2:$E$501&lt;$H125)," ")))</f>
        <v xml:space="preserve"> </v>
      </c>
      <c r="X125" t="str" cm="1">
        <f t="array" ref="X125">_xlfn.TEXTJOIN(",",TRUE,(_xlfn._xlws.FILTER($A$2:$A$501,($D$2:$D$501&gt;=Y$7)*($D$2:$D$501&lt;X$7)*($E$2:$E$501&gt;=$H126)*($E$2:$E$501&lt;$H125)," ")))</f>
        <v xml:space="preserve"> </v>
      </c>
      <c r="Y125" t="str" cm="1">
        <f t="array" ref="Y125">_xlfn.TEXTJOIN(",",TRUE,(_xlfn._xlws.FILTER($A$2:$A$501,($D$2:$D$501&gt;=Z$7)*($D$2:$D$501&lt;Y$7)*($E$2:$E$501&gt;=$H126)*($E$2:$E$501&lt;$H125)," ")))</f>
        <v xml:space="preserve"> </v>
      </c>
      <c r="Z125" t="str" cm="1">
        <f t="array" ref="Z125">_xlfn.TEXTJOIN(",",TRUE,(_xlfn._xlws.FILTER($A$2:$A$501,($D$2:$D$501&gt;=AA$7)*($D$2:$D$501&lt;Z$7)*($E$2:$E$501&gt;=$H126)*($E$2:$E$501&lt;$H125)," ")))</f>
        <v>Saucon Valley SD</v>
      </c>
      <c r="AA125" t="str" cm="1">
        <f t="array" ref="AA125">_xlfn.TEXTJOIN(",",TRUE,(_xlfn._xlws.FILTER($A$2:$A$501,($D$2:$D$501&gt;=AB$7)*($D$2:$D$501&lt;AA$7)*($E$2:$E$501&gt;=$H126)*($E$2:$E$501&lt;$H125)," ")))</f>
        <v>East Allegheny SD</v>
      </c>
      <c r="AB125" t="str" cm="1">
        <f t="array" ref="AB125">_xlfn.TEXTJOIN(",",TRUE,(_xlfn._xlws.FILTER($A$2:$A$501,($D$2:$D$501&gt;=AC$7)*($D$2:$D$501&lt;AB$7)*($E$2:$E$501&gt;=$H126)*($E$2:$E$501&lt;$H125)," ")))</f>
        <v>South Allegheny SD,Knoch SD</v>
      </c>
      <c r="AC125" t="str" cm="1">
        <f t="array" ref="AC125">_xlfn.TEXTJOIN(",",TRUE,(_xlfn._xlws.FILTER($A$2:$A$501,($D$2:$D$501&gt;=AD$7)*($D$2:$D$501&lt;AC$7)*($E$2:$E$501&gt;=$H126)*($E$2:$E$501&lt;$H125)," ")))</f>
        <v>Wellsboro Area SD,Brentwood Borough SD,Carmichaels Area SD</v>
      </c>
      <c r="AD125" t="str" cm="1">
        <f t="array" ref="AD125">_xlfn.TEXTJOIN(",",TRUE,(_xlfn._xlws.FILTER($A$2:$A$501,($D$2:$D$501&gt;=AE$7)*($D$2:$D$501&lt;AD$7)*($E$2:$E$501&gt;=$H126)*($E$2:$E$501&lt;$H125)," ")))</f>
        <v>Northern Potter SD</v>
      </c>
      <c r="AE125" t="str" cm="1">
        <f t="array" ref="AE125">_xlfn.TEXTJOIN(",",TRUE,(_xlfn._xlws.FILTER($A$2:$A$501,($D$2:$D$501&gt;=AF$7)*($D$2:$D$501&lt;AE$7)*($E$2:$E$501&gt;=$H126)*($E$2:$E$501&lt;$H125)," ")))</f>
        <v xml:space="preserve"> </v>
      </c>
      <c r="AF125" t="str" cm="1">
        <f t="array" ref="AF125">_xlfn.TEXTJOIN(",",TRUE,(_xlfn._xlws.FILTER($A$2:$A$501,($D$2:$D$501&gt;=AG$7)*($D$2:$D$501&lt;AF$7)*($E$2:$E$501&gt;=$H126)*($E$2:$E$501&lt;$H125)," ")))</f>
        <v xml:space="preserve"> </v>
      </c>
      <c r="AG125" t="str" cm="1">
        <f t="array" ref="AG125">_xlfn.TEXTJOIN(",",TRUE,(_xlfn._xlws.FILTER($A$2:$A$501,($D$2:$D$501&gt;=AH$7)*($D$2:$D$501&lt;AG$7)*($E$2:$E$501&gt;=$H126)*($E$2:$E$501&lt;$H125)," ")))</f>
        <v xml:space="preserve"> </v>
      </c>
      <c r="AH125" t="str" cm="1">
        <f t="array" ref="AH125">_xlfn.TEXTJOIN(",",TRUE,(_xlfn._xlws.FILTER($A$2:$A$501,($D$2:$D$501&gt;=AI$7)*($D$2:$D$501&lt;AH$7)*($E$2:$E$501&gt;=$H126)*($E$2:$E$501&lt;$H125)," ")))</f>
        <v xml:space="preserve"> </v>
      </c>
      <c r="AI125" t="str" cm="1">
        <f t="array" ref="AI125">_xlfn.TEXTJOIN(",",TRUE,(_xlfn._xlws.FILTER($A$2:$A$501,($D$2:$D$501&gt;=AJ$7)*($D$2:$D$501&lt;AI$7)*($E$2:$E$501&gt;=$H126)*($E$2:$E$501&lt;$H125)," ")))</f>
        <v xml:space="preserve"> </v>
      </c>
      <c r="AJ125" t="str" cm="1">
        <f t="array" ref="AJ125">_xlfn.TEXTJOIN(",",TRUE,(_xlfn._xlws.FILTER($A$2:$A$501,($D$2:$D$501&gt;=AK$7)*($D$2:$D$501&lt;AJ$7)*($E$2:$E$501&gt;=$H126)*($E$2:$E$501&lt;$H125)," ")))</f>
        <v xml:space="preserve"> </v>
      </c>
      <c r="AK125" t="str" cm="1">
        <f t="array" ref="AK125">_xlfn.TEXTJOIN(",",TRUE,(_xlfn._xlws.FILTER($A$2:$A$501,($D$2:$D$501&gt;=AL$7)*($D$2:$D$501&lt;AK$7)*($E$2:$E$501&gt;=$H126)*($E$2:$E$501&lt;$H125)," ")))</f>
        <v xml:space="preserve"> </v>
      </c>
      <c r="AL125" t="str" cm="1">
        <f t="array" ref="AL125">_xlfn.TEXTJOIN(",",TRUE,(_xlfn._xlws.FILTER($A$2:$A$501,($D$2:$D$501&gt;=AM$7)*($D$2:$D$501&lt;AL$7)*($E$2:$E$501&gt;=$H126)*($E$2:$E$501&lt;$H125)," ")))</f>
        <v xml:space="preserve"> </v>
      </c>
      <c r="AM125" t="str" cm="1">
        <f t="array" ref="AM125">_xlfn.TEXTJOIN(",",TRUE,(_xlfn._xlws.FILTER($A$2:$A$501,($D$2:$D$501&gt;=AN$7)*($D$2:$D$501&lt;AM$7)*($E$2:$E$501&gt;=$H126)*($E$2:$E$501&lt;$H125)," ")))</f>
        <v xml:space="preserve"> </v>
      </c>
      <c r="AN125" t="str" cm="1">
        <f t="array" ref="AN125">_xlfn.TEXTJOIN(",",TRUE,(_xlfn._xlws.FILTER($A$2:$A$501,($D$2:$D$501&gt;=AO$7)*($D$2:$D$501&lt;AN$7)*($E$2:$E$501&gt;=$H126)*($E$2:$E$501&lt;$H125)," ")))</f>
        <v xml:space="preserve"> </v>
      </c>
      <c r="AO125" t="str" cm="1">
        <f t="array" ref="AO125">_xlfn.TEXTJOIN(",",TRUE,(_xlfn._xlws.FILTER($A$2:$A$501,($D$2:$D$501&gt;=AP$7)*($D$2:$D$501&lt;AO$7)*($E$2:$E$501&gt;=$H126)*($E$2:$E$501&lt;$H125)," ")))</f>
        <v xml:space="preserve"> </v>
      </c>
      <c r="AP125" t="str" cm="1">
        <f t="array" ref="AP125">_xlfn.TEXTJOIN(",",TRUE,(_xlfn._xlws.FILTER($A$2:$A$501,($D$2:$D$501&gt;=AQ$7)*($D$2:$D$501&lt;AP$7)*($E$2:$E$501&gt;=$H126)*($E$2:$E$501&lt;$H125)," ")))</f>
        <v xml:space="preserve"> </v>
      </c>
      <c r="AQ125" t="str" cm="1">
        <f t="array" ref="AQ125">_xlfn.TEXTJOIN(",",TRUE,(_xlfn._xlws.FILTER($A$2:$A$501,($D$2:$D$501&gt;=AR$7)*($D$2:$D$501&lt;AQ$7)*($E$2:$E$501&gt;=$H126)*($E$2:$E$501&lt;$H125)," ")))</f>
        <v xml:space="preserve"> </v>
      </c>
      <c r="AR125" t="str" cm="1">
        <f t="array" ref="AR125">_xlfn.TEXTJOIN(",",TRUE,(_xlfn._xlws.FILTER($A$2:$A$501,($D$2:$D$501&gt;=AS$7)*($D$2:$D$501&lt;AR$7)*($E$2:$E$501&gt;=$H126)*($E$2:$E$501&lt;$H125)," ")))</f>
        <v xml:space="preserve"> </v>
      </c>
      <c r="AS125" t="str" cm="1">
        <f t="array" ref="AS125">_xlfn.TEXTJOIN(",",TRUE,(_xlfn._xlws.FILTER($A$2:$A$501,($D$2:$D$501&gt;=AT$7)*($D$2:$D$501&lt;AS$7)*($E$2:$E$501&gt;=$H126)*($E$2:$E$501&lt;$H125)," ")))</f>
        <v xml:space="preserve"> </v>
      </c>
      <c r="AT125" t="str" cm="1">
        <f t="array" ref="AT125">_xlfn.TEXTJOIN(",",TRUE,(_xlfn._xlws.FILTER($A$2:$A$501,($D$2:$D$501&gt;=AU$7)*($D$2:$D$501&lt;AT$7)*($E$2:$E$501&gt;=$H126)*($E$2:$E$501&lt;$H125)," ")))</f>
        <v xml:space="preserve"> </v>
      </c>
      <c r="AU125" t="str" cm="1">
        <f t="array" ref="AU125">_xlfn.TEXTJOIN(",",TRUE,(_xlfn._xlws.FILTER($A$2:$A$501,($D$2:$D$501&gt;=AV$7)*($D$2:$D$501&lt;AU$7)*($E$2:$E$501&gt;=$H126)*($E$2:$E$501&lt;$H125)," ")))</f>
        <v xml:space="preserve"> </v>
      </c>
      <c r="AV125" t="str" cm="1">
        <f t="array" ref="AV125">_xlfn.TEXTJOIN(",",TRUE,(_xlfn._xlws.FILTER($A$2:$A$501,($D$2:$D$501&gt;=AW$7)*($D$2:$D$501&lt;AV$7)*($E$2:$E$501&gt;=$H126)*($E$2:$E$501&lt;$H125)," ")))</f>
        <v xml:space="preserve"> </v>
      </c>
      <c r="AW125" t="str" cm="1">
        <f t="array" ref="AW125">_xlfn.TEXTJOIN(",",TRUE,(_xlfn._xlws.FILTER($A$2:$A$501,($D$2:$D$501&gt;=AX$7)*($D$2:$D$501&lt;AW$7)*($E$2:$E$501&gt;=$H126)*($E$2:$E$501&lt;$H125)," ")))</f>
        <v xml:space="preserve"> </v>
      </c>
      <c r="AX125" t="str" cm="1">
        <f t="array" ref="AX125">_xlfn.TEXTJOIN(",",TRUE,(_xlfn._xlws.FILTER($A$2:$A$501,($D$2:$D$501&gt;=AY$7)*($D$2:$D$501&lt;AX$7)*($E$2:$E$501&gt;=$H126)*($E$2:$E$501&lt;$H125)," ")))</f>
        <v xml:space="preserve"> </v>
      </c>
      <c r="AY125" t="str" cm="1">
        <f t="array" ref="AY125">_xlfn.TEXTJOIN(",",TRUE,(_xlfn._xlws.FILTER($A$2:$A$501,($D$2:$D$501&gt;=AZ$7)*($D$2:$D$501&lt;AY$7)*($E$2:$E$501&gt;=$H126)*($E$2:$E$501&lt;$H125)," ")))</f>
        <v xml:space="preserve"> </v>
      </c>
      <c r="AZ125" t="str" cm="1">
        <f t="array" ref="AZ125">_xlfn.TEXTJOIN(",",TRUE,(_xlfn._xlws.FILTER($A$2:$A$501,($D$2:$D$501&gt;=BA$7)*($D$2:$D$501&lt;AZ$7)*($E$2:$E$501&gt;=$H126)*($E$2:$E$501&lt;$H125)," ")))</f>
        <v xml:space="preserve"> </v>
      </c>
      <c r="BA125" t="str" cm="1">
        <f t="array" ref="BA125">_xlfn.TEXTJOIN(",",TRUE,(_xlfn._xlws.FILTER($A$2:$A$501,($D$2:$D$501&gt;=BB$7)*($D$2:$D$501&lt;BA$7)*($E$2:$E$501&gt;=$H126)*($E$2:$E$501&lt;$H125)," ")))</f>
        <v xml:space="preserve"> </v>
      </c>
      <c r="BB125" t="str" cm="1">
        <f t="array" ref="BB125">_xlfn.TEXTJOIN(",",TRUE,(_xlfn._xlws.FILTER($A$2:$A$501,($D$2:$D$501&gt;=BC$7)*($D$2:$D$501&lt;BB$7)*($E$2:$E$501&gt;=$H126)*($E$2:$E$501&lt;$H125)," ")))</f>
        <v xml:space="preserve"> </v>
      </c>
    </row>
    <row r="126" spans="1:54" x14ac:dyDescent="0.2">
      <c r="A126" s="3" t="s">
        <v>142</v>
      </c>
      <c r="B126" s="3" t="s">
        <v>138</v>
      </c>
      <c r="C126" s="13">
        <v>507823.91</v>
      </c>
      <c r="D126" s="15">
        <v>12953739.85</v>
      </c>
      <c r="E126" s="22">
        <f>TuitionRates3[[#This Row],[Tuition]]/D126</f>
        <v>3.9202880085630248E-2</v>
      </c>
      <c r="F126"/>
      <c r="H126" s="18">
        <v>3.2000000000000001E-2</v>
      </c>
      <c r="I126" t="str" cm="1">
        <f t="array" ref="I126">_xlfn.TEXTJOIN(",",TRUE,(_xlfn._xlws.FILTER($A$2:$A$501,($D$2:$D$501&gt;=J$7)*($D$2:$D$501&lt;I$7)*($E$2:$E$501&gt;=$H127)*($E$2:$E$501&lt;$H126)," ")))</f>
        <v xml:space="preserve"> </v>
      </c>
      <c r="J126" t="str" cm="1">
        <f t="array" ref="J126">_xlfn.TEXTJOIN(",",TRUE,(_xlfn._xlws.FILTER($A$2:$A$501,($D$2:$D$501&gt;=K$7)*($D$2:$D$501&lt;J$7)*($E$2:$E$501&gt;=$H127)*($E$2:$E$501&lt;$H126)," ")))</f>
        <v xml:space="preserve"> </v>
      </c>
      <c r="K126" t="str" cm="1">
        <f t="array" ref="K126">_xlfn.TEXTJOIN(",",TRUE,(_xlfn._xlws.FILTER($A$2:$A$501,($D$2:$D$501&gt;=L$7)*($D$2:$D$501&lt;K$7)*($E$2:$E$501&gt;=$H127)*($E$2:$E$501&lt;$H126)," ")))</f>
        <v xml:space="preserve"> </v>
      </c>
      <c r="L126" t="str" cm="1">
        <f t="array" ref="L126">_xlfn.TEXTJOIN(",",TRUE,(_xlfn._xlws.FILTER($A$2:$A$501,($D$2:$D$501&gt;=M$7)*($D$2:$D$501&lt;L$7)*($E$2:$E$501&gt;=$H127)*($E$2:$E$501&lt;$H126)," ")))</f>
        <v xml:space="preserve"> </v>
      </c>
      <c r="M126" t="str" cm="1">
        <f t="array" ref="M126">_xlfn.TEXTJOIN(",",TRUE,(_xlfn._xlws.FILTER($A$2:$A$501,($D$2:$D$501&gt;=N$7)*($D$2:$D$501&lt;M$7)*($E$2:$E$501&gt;=$H127)*($E$2:$E$501&lt;$H126)," ")))</f>
        <v xml:space="preserve"> </v>
      </c>
      <c r="N126" t="str" cm="1">
        <f t="array" ref="N126">_xlfn.TEXTJOIN(",",TRUE,(_xlfn._xlws.FILTER($A$2:$A$501,($D$2:$D$501&gt;=O$7)*($D$2:$D$501&lt;N$7)*($E$2:$E$501&gt;=$H127)*($E$2:$E$501&lt;$H126)," ")))</f>
        <v xml:space="preserve"> </v>
      </c>
      <c r="O126" t="str" cm="1">
        <f t="array" ref="O126">_xlfn.TEXTJOIN(",",TRUE,(_xlfn._xlws.FILTER($A$2:$A$501,($D$2:$D$501&gt;=P$7)*($D$2:$D$501&lt;O$7)*($E$2:$E$501&gt;=$H127)*($E$2:$E$501&lt;$H126)," ")))</f>
        <v xml:space="preserve"> </v>
      </c>
      <c r="P126" t="str" cm="1">
        <f t="array" ref="P126">_xlfn.TEXTJOIN(",",TRUE,(_xlfn._xlws.FILTER($A$2:$A$501,($D$2:$D$501&gt;=Q$7)*($D$2:$D$501&lt;P$7)*($E$2:$E$501&gt;=$H127)*($E$2:$E$501&lt;$H126)," ")))</f>
        <v xml:space="preserve"> </v>
      </c>
      <c r="Q126" t="str" cm="1">
        <f t="array" ref="Q126">_xlfn.TEXTJOIN(",",TRUE,(_xlfn._xlws.FILTER($A$2:$A$501,($D$2:$D$501&gt;=R$7)*($D$2:$D$501&lt;Q$7)*($E$2:$E$501&gt;=$H127)*($E$2:$E$501&lt;$H126)," ")))</f>
        <v xml:space="preserve"> </v>
      </c>
      <c r="R126" t="str" cm="1">
        <f t="array" ref="R126">_xlfn.TEXTJOIN(",",TRUE,(_xlfn._xlws.FILTER($A$2:$A$501,($D$2:$D$501&gt;=S$7)*($D$2:$D$501&lt;R$7)*($E$2:$E$501&gt;=$H127)*($E$2:$E$501&lt;$H126)," ")))</f>
        <v xml:space="preserve"> </v>
      </c>
      <c r="S126" t="str" cm="1">
        <f t="array" ref="S126">_xlfn.TEXTJOIN(",",TRUE,(_xlfn._xlws.FILTER($A$2:$A$501,($D$2:$D$501&gt;=T$7)*($D$2:$D$501&lt;S$7)*($E$2:$E$501&gt;=$H127)*($E$2:$E$501&lt;$H126)," ")))</f>
        <v xml:space="preserve"> </v>
      </c>
      <c r="T126" t="str" cm="1">
        <f t="array" ref="T126">_xlfn.TEXTJOIN(",",TRUE,(_xlfn._xlws.FILTER($A$2:$A$501,($D$2:$D$501&gt;=U$7)*($D$2:$D$501&lt;T$7)*($E$2:$E$501&gt;=$H127)*($E$2:$E$501&lt;$H126)," ")))</f>
        <v xml:space="preserve"> </v>
      </c>
      <c r="U126" t="str" cm="1">
        <f t="array" ref="U126">_xlfn.TEXTJOIN(",",TRUE,(_xlfn._xlws.FILTER($A$2:$A$501,($D$2:$D$501&gt;=V$7)*($D$2:$D$501&lt;U$7)*($E$2:$E$501&gt;=$H127)*($E$2:$E$501&lt;$H126)," ")))</f>
        <v xml:space="preserve"> </v>
      </c>
      <c r="V126" t="str" cm="1">
        <f t="array" ref="V126">_xlfn.TEXTJOIN(",",TRUE,(_xlfn._xlws.FILTER($A$2:$A$501,($D$2:$D$501&gt;=W$7)*($D$2:$D$501&lt;V$7)*($E$2:$E$501&gt;=$H127)*($E$2:$E$501&lt;$H126)," ")))</f>
        <v>Chichester SD</v>
      </c>
      <c r="W126" t="str" cm="1">
        <f t="array" ref="W126">_xlfn.TEXTJOIN(",",TRUE,(_xlfn._xlws.FILTER($A$2:$A$501,($D$2:$D$501&gt;=X$7)*($D$2:$D$501&lt;W$7)*($E$2:$E$501&gt;=$H127)*($E$2:$E$501&lt;$H126)," ")))</f>
        <v>Wallenpaupack Area SD</v>
      </c>
      <c r="X126" t="str" cm="1">
        <f t="array" ref="X126">_xlfn.TEXTJOIN(",",TRUE,(_xlfn._xlws.FILTER($A$2:$A$501,($D$2:$D$501&gt;=Y$7)*($D$2:$D$501&lt;X$7)*($E$2:$E$501&gt;=$H127)*($E$2:$E$501&lt;$H126)," ")))</f>
        <v>Dover Area SD</v>
      </c>
      <c r="Y126" t="str" cm="1">
        <f t="array" ref="Y126">_xlfn.TEXTJOIN(",",TRUE,(_xlfn._xlws.FILTER($A$2:$A$501,($D$2:$D$501&gt;=Z$7)*($D$2:$D$501&lt;Y$7)*($E$2:$E$501&gt;=$H127)*($E$2:$E$501&lt;$H126)," ")))</f>
        <v>Kiski Area SD</v>
      </c>
      <c r="Z126" t="str" cm="1">
        <f t="array" ref="Z126">_xlfn.TEXTJOIN(",",TRUE,(_xlfn._xlws.FILTER($A$2:$A$501,($D$2:$D$501&gt;=AA$7)*($D$2:$D$501&lt;Z$7)*($E$2:$E$501&gt;=$H127)*($E$2:$E$501&lt;$H126)," ")))</f>
        <v>Ringgold SD</v>
      </c>
      <c r="AA126" t="str" cm="1">
        <f t="array" ref="AA126">_xlfn.TEXTJOIN(",",TRUE,(_xlfn._xlws.FILTER($A$2:$A$501,($D$2:$D$501&gt;=AB$7)*($D$2:$D$501&lt;AA$7)*($E$2:$E$501&gt;=$H127)*($E$2:$E$501&lt;$H126)," ")))</f>
        <v xml:space="preserve"> </v>
      </c>
      <c r="AB126" t="str" cm="1">
        <f t="array" ref="AB126">_xlfn.TEXTJOIN(",",TRUE,(_xlfn._xlws.FILTER($A$2:$A$501,($D$2:$D$501&gt;=AC$7)*($D$2:$D$501&lt;AB$7)*($E$2:$E$501&gt;=$H127)*($E$2:$E$501&lt;$H126)," ")))</f>
        <v>Kutztown Area SD,Southern Tioga SD</v>
      </c>
      <c r="AC126" t="str" cm="1">
        <f t="array" ref="AC126">_xlfn.TEXTJOIN(",",TRUE,(_xlfn._xlws.FILTER($A$2:$A$501,($D$2:$D$501&gt;=AD$7)*($D$2:$D$501&lt;AC$7)*($E$2:$E$501&gt;=$H127)*($E$2:$E$501&lt;$H126)," ")))</f>
        <v>Reynolds SD,Chestnut Ridge SD</v>
      </c>
      <c r="AD126" t="str" cm="1">
        <f t="array" ref="AD126">_xlfn.TEXTJOIN(",",TRUE,(_xlfn._xlws.FILTER($A$2:$A$501,($D$2:$D$501&gt;=AE$7)*($D$2:$D$501&lt;AD$7)*($E$2:$E$501&gt;=$H127)*($E$2:$E$501&lt;$H126)," ")))</f>
        <v>California Area SD,Western Beaver County SD,Avella Area SD</v>
      </c>
      <c r="AE126" t="str" cm="1">
        <f t="array" ref="AE126">_xlfn.TEXTJOIN(",",TRUE,(_xlfn._xlws.FILTER($A$2:$A$501,($D$2:$D$501&gt;=AF$7)*($D$2:$D$501&lt;AE$7)*($E$2:$E$501&gt;=$H127)*($E$2:$E$501&lt;$H126)," ")))</f>
        <v xml:space="preserve"> </v>
      </c>
      <c r="AF126" t="str" cm="1">
        <f t="array" ref="AF126">_xlfn.TEXTJOIN(",",TRUE,(_xlfn._xlws.FILTER($A$2:$A$501,($D$2:$D$501&gt;=AG$7)*($D$2:$D$501&lt;AF$7)*($E$2:$E$501&gt;=$H127)*($E$2:$E$501&lt;$H126)," ")))</f>
        <v xml:space="preserve"> </v>
      </c>
      <c r="AG126" t="str" cm="1">
        <f t="array" ref="AG126">_xlfn.TEXTJOIN(",",TRUE,(_xlfn._xlws.FILTER($A$2:$A$501,($D$2:$D$501&gt;=AH$7)*($D$2:$D$501&lt;AG$7)*($E$2:$E$501&gt;=$H127)*($E$2:$E$501&lt;$H126)," ")))</f>
        <v xml:space="preserve"> </v>
      </c>
      <c r="AH126" t="str" cm="1">
        <f t="array" ref="AH126">_xlfn.TEXTJOIN(",",TRUE,(_xlfn._xlws.FILTER($A$2:$A$501,($D$2:$D$501&gt;=AI$7)*($D$2:$D$501&lt;AH$7)*($E$2:$E$501&gt;=$H127)*($E$2:$E$501&lt;$H126)," ")))</f>
        <v xml:space="preserve"> </v>
      </c>
      <c r="AI126" t="str" cm="1">
        <f t="array" ref="AI126">_xlfn.TEXTJOIN(",",TRUE,(_xlfn._xlws.FILTER($A$2:$A$501,($D$2:$D$501&gt;=AJ$7)*($D$2:$D$501&lt;AI$7)*($E$2:$E$501&gt;=$H127)*($E$2:$E$501&lt;$H126)," ")))</f>
        <v xml:space="preserve"> </v>
      </c>
      <c r="AJ126" t="str" cm="1">
        <f t="array" ref="AJ126">_xlfn.TEXTJOIN(",",TRUE,(_xlfn._xlws.FILTER($A$2:$A$501,($D$2:$D$501&gt;=AK$7)*($D$2:$D$501&lt;AJ$7)*($E$2:$E$501&gt;=$H127)*($E$2:$E$501&lt;$H126)," ")))</f>
        <v xml:space="preserve"> </v>
      </c>
      <c r="AK126" t="str" cm="1">
        <f t="array" ref="AK126">_xlfn.TEXTJOIN(",",TRUE,(_xlfn._xlws.FILTER($A$2:$A$501,($D$2:$D$501&gt;=AL$7)*($D$2:$D$501&lt;AK$7)*($E$2:$E$501&gt;=$H127)*($E$2:$E$501&lt;$H126)," ")))</f>
        <v xml:space="preserve"> </v>
      </c>
      <c r="AL126" t="str" cm="1">
        <f t="array" ref="AL126">_xlfn.TEXTJOIN(",",TRUE,(_xlfn._xlws.FILTER($A$2:$A$501,($D$2:$D$501&gt;=AM$7)*($D$2:$D$501&lt;AL$7)*($E$2:$E$501&gt;=$H127)*($E$2:$E$501&lt;$H126)," ")))</f>
        <v xml:space="preserve"> </v>
      </c>
      <c r="AM126" t="str" cm="1">
        <f t="array" ref="AM126">_xlfn.TEXTJOIN(",",TRUE,(_xlfn._xlws.FILTER($A$2:$A$501,($D$2:$D$501&gt;=AN$7)*($D$2:$D$501&lt;AM$7)*($E$2:$E$501&gt;=$H127)*($E$2:$E$501&lt;$H126)," ")))</f>
        <v xml:space="preserve"> </v>
      </c>
      <c r="AN126" t="str" cm="1">
        <f t="array" ref="AN126">_xlfn.TEXTJOIN(",",TRUE,(_xlfn._xlws.FILTER($A$2:$A$501,($D$2:$D$501&gt;=AO$7)*($D$2:$D$501&lt;AN$7)*($E$2:$E$501&gt;=$H127)*($E$2:$E$501&lt;$H126)," ")))</f>
        <v xml:space="preserve"> </v>
      </c>
      <c r="AO126" t="str" cm="1">
        <f t="array" ref="AO126">_xlfn.TEXTJOIN(",",TRUE,(_xlfn._xlws.FILTER($A$2:$A$501,($D$2:$D$501&gt;=AP$7)*($D$2:$D$501&lt;AO$7)*($E$2:$E$501&gt;=$H127)*($E$2:$E$501&lt;$H126)," ")))</f>
        <v xml:space="preserve"> </v>
      </c>
      <c r="AP126" t="str" cm="1">
        <f t="array" ref="AP126">_xlfn.TEXTJOIN(",",TRUE,(_xlfn._xlws.FILTER($A$2:$A$501,($D$2:$D$501&gt;=AQ$7)*($D$2:$D$501&lt;AP$7)*($E$2:$E$501&gt;=$H127)*($E$2:$E$501&lt;$H126)," ")))</f>
        <v xml:space="preserve"> </v>
      </c>
      <c r="AQ126" t="str" cm="1">
        <f t="array" ref="AQ126">_xlfn.TEXTJOIN(",",TRUE,(_xlfn._xlws.FILTER($A$2:$A$501,($D$2:$D$501&gt;=AR$7)*($D$2:$D$501&lt;AQ$7)*($E$2:$E$501&gt;=$H127)*($E$2:$E$501&lt;$H126)," ")))</f>
        <v xml:space="preserve"> </v>
      </c>
      <c r="AR126" t="str" cm="1">
        <f t="array" ref="AR126">_xlfn.TEXTJOIN(",",TRUE,(_xlfn._xlws.FILTER($A$2:$A$501,($D$2:$D$501&gt;=AS$7)*($D$2:$D$501&lt;AR$7)*($E$2:$E$501&gt;=$H127)*($E$2:$E$501&lt;$H126)," ")))</f>
        <v xml:space="preserve"> </v>
      </c>
      <c r="AS126" t="str" cm="1">
        <f t="array" ref="AS126">_xlfn.TEXTJOIN(",",TRUE,(_xlfn._xlws.FILTER($A$2:$A$501,($D$2:$D$501&gt;=AT$7)*($D$2:$D$501&lt;AS$7)*($E$2:$E$501&gt;=$H127)*($E$2:$E$501&lt;$H126)," ")))</f>
        <v xml:space="preserve"> </v>
      </c>
      <c r="AT126" t="str" cm="1">
        <f t="array" ref="AT126">_xlfn.TEXTJOIN(",",TRUE,(_xlfn._xlws.FILTER($A$2:$A$501,($D$2:$D$501&gt;=AU$7)*($D$2:$D$501&lt;AT$7)*($E$2:$E$501&gt;=$H127)*($E$2:$E$501&lt;$H126)," ")))</f>
        <v xml:space="preserve"> </v>
      </c>
      <c r="AU126" t="str" cm="1">
        <f t="array" ref="AU126">_xlfn.TEXTJOIN(",",TRUE,(_xlfn._xlws.FILTER($A$2:$A$501,($D$2:$D$501&gt;=AV$7)*($D$2:$D$501&lt;AU$7)*($E$2:$E$501&gt;=$H127)*($E$2:$E$501&lt;$H126)," ")))</f>
        <v xml:space="preserve"> </v>
      </c>
      <c r="AV126" t="str" cm="1">
        <f t="array" ref="AV126">_xlfn.TEXTJOIN(",",TRUE,(_xlfn._xlws.FILTER($A$2:$A$501,($D$2:$D$501&gt;=AW$7)*($D$2:$D$501&lt;AV$7)*($E$2:$E$501&gt;=$H127)*($E$2:$E$501&lt;$H126)," ")))</f>
        <v xml:space="preserve"> </v>
      </c>
      <c r="AW126" t="str" cm="1">
        <f t="array" ref="AW126">_xlfn.TEXTJOIN(",",TRUE,(_xlfn._xlws.FILTER($A$2:$A$501,($D$2:$D$501&gt;=AX$7)*($D$2:$D$501&lt;AW$7)*($E$2:$E$501&gt;=$H127)*($E$2:$E$501&lt;$H126)," ")))</f>
        <v xml:space="preserve"> </v>
      </c>
      <c r="AX126" t="str" cm="1">
        <f t="array" ref="AX126">_xlfn.TEXTJOIN(",",TRUE,(_xlfn._xlws.FILTER($A$2:$A$501,($D$2:$D$501&gt;=AY$7)*($D$2:$D$501&lt;AX$7)*($E$2:$E$501&gt;=$H127)*($E$2:$E$501&lt;$H126)," ")))</f>
        <v xml:space="preserve"> </v>
      </c>
      <c r="AY126" t="str" cm="1">
        <f t="array" ref="AY126">_xlfn.TEXTJOIN(",",TRUE,(_xlfn._xlws.FILTER($A$2:$A$501,($D$2:$D$501&gt;=AZ$7)*($D$2:$D$501&lt;AY$7)*($E$2:$E$501&gt;=$H127)*($E$2:$E$501&lt;$H126)," ")))</f>
        <v xml:space="preserve"> </v>
      </c>
      <c r="AZ126" t="str" cm="1">
        <f t="array" ref="AZ126">_xlfn.TEXTJOIN(",",TRUE,(_xlfn._xlws.FILTER($A$2:$A$501,($D$2:$D$501&gt;=BA$7)*($D$2:$D$501&lt;AZ$7)*($E$2:$E$501&gt;=$H127)*($E$2:$E$501&lt;$H126)," ")))</f>
        <v xml:space="preserve"> </v>
      </c>
      <c r="BA126" t="str" cm="1">
        <f t="array" ref="BA126">_xlfn.TEXTJOIN(",",TRUE,(_xlfn._xlws.FILTER($A$2:$A$501,($D$2:$D$501&gt;=BB$7)*($D$2:$D$501&lt;BA$7)*($E$2:$E$501&gt;=$H127)*($E$2:$E$501&lt;$H126)," ")))</f>
        <v xml:space="preserve"> </v>
      </c>
      <c r="BB126" t="str" cm="1">
        <f t="array" ref="BB126">_xlfn.TEXTJOIN(",",TRUE,(_xlfn._xlws.FILTER($A$2:$A$501,($D$2:$D$501&gt;=BC$7)*($D$2:$D$501&lt;BB$7)*($E$2:$E$501&gt;=$H127)*($E$2:$E$501&lt;$H126)," ")))</f>
        <v xml:space="preserve"> </v>
      </c>
    </row>
    <row r="127" spans="1:54" x14ac:dyDescent="0.2">
      <c r="A127" s="3" t="s">
        <v>367</v>
      </c>
      <c r="B127" s="3" t="s">
        <v>359</v>
      </c>
      <c r="C127" s="13">
        <v>6183859.4100000001</v>
      </c>
      <c r="D127" s="15">
        <v>158487666.18000001</v>
      </c>
      <c r="E127" s="22">
        <f>TuitionRates3[[#This Row],[Tuition]]/D127</f>
        <v>3.9017922082193915E-2</v>
      </c>
      <c r="F127"/>
      <c r="H127" s="18">
        <v>3.1E-2</v>
      </c>
      <c r="I127" t="str" cm="1">
        <f t="array" ref="I127">_xlfn.TEXTJOIN(",",TRUE,(_xlfn._xlws.FILTER($A$2:$A$501,($D$2:$D$501&gt;=J$7)*($D$2:$D$501&lt;I$7)*($E$2:$E$501&gt;=$H128)*($E$2:$E$501&lt;$H127)," ")))</f>
        <v xml:space="preserve"> </v>
      </c>
      <c r="J127" t="str" cm="1">
        <f t="array" ref="J127">_xlfn.TEXTJOIN(",",TRUE,(_xlfn._xlws.FILTER($A$2:$A$501,($D$2:$D$501&gt;=K$7)*($D$2:$D$501&lt;J$7)*($E$2:$E$501&gt;=$H128)*($E$2:$E$501&lt;$H127)," ")))</f>
        <v xml:space="preserve"> </v>
      </c>
      <c r="K127" t="str" cm="1">
        <f t="array" ref="K127">_xlfn.TEXTJOIN(",",TRUE,(_xlfn._xlws.FILTER($A$2:$A$501,($D$2:$D$501&gt;=L$7)*($D$2:$D$501&lt;K$7)*($E$2:$E$501&gt;=$H128)*($E$2:$E$501&lt;$H127)," ")))</f>
        <v xml:space="preserve"> </v>
      </c>
      <c r="L127" t="str" cm="1">
        <f t="array" ref="L127">_xlfn.TEXTJOIN(",",TRUE,(_xlfn._xlws.FILTER($A$2:$A$501,($D$2:$D$501&gt;=M$7)*($D$2:$D$501&lt;L$7)*($E$2:$E$501&gt;=$H128)*($E$2:$E$501&lt;$H127)," ")))</f>
        <v xml:space="preserve"> </v>
      </c>
      <c r="M127" t="str" cm="1">
        <f t="array" ref="M127">_xlfn.TEXTJOIN(",",TRUE,(_xlfn._xlws.FILTER($A$2:$A$501,($D$2:$D$501&gt;=N$7)*($D$2:$D$501&lt;M$7)*($E$2:$E$501&gt;=$H128)*($E$2:$E$501&lt;$H127)," ")))</f>
        <v xml:space="preserve"> </v>
      </c>
      <c r="N127" t="str" cm="1">
        <f t="array" ref="N127">_xlfn.TEXTJOIN(",",TRUE,(_xlfn._xlws.FILTER($A$2:$A$501,($D$2:$D$501&gt;=O$7)*($D$2:$D$501&lt;N$7)*($E$2:$E$501&gt;=$H128)*($E$2:$E$501&lt;$H127)," ")))</f>
        <v xml:space="preserve"> </v>
      </c>
      <c r="O127" t="str" cm="1">
        <f t="array" ref="O127">_xlfn.TEXTJOIN(",",TRUE,(_xlfn._xlws.FILTER($A$2:$A$501,($D$2:$D$501&gt;=P$7)*($D$2:$D$501&lt;O$7)*($E$2:$E$501&gt;=$H128)*($E$2:$E$501&lt;$H127)," ")))</f>
        <v xml:space="preserve"> </v>
      </c>
      <c r="P127" t="str" cm="1">
        <f t="array" ref="P127">_xlfn.TEXTJOIN(",",TRUE,(_xlfn._xlws.FILTER($A$2:$A$501,($D$2:$D$501&gt;=Q$7)*($D$2:$D$501&lt;P$7)*($E$2:$E$501&gt;=$H128)*($E$2:$E$501&lt;$H127)," ")))</f>
        <v xml:space="preserve"> </v>
      </c>
      <c r="Q127" t="str" cm="1">
        <f t="array" ref="Q127">_xlfn.TEXTJOIN(",",TRUE,(_xlfn._xlws.FILTER($A$2:$A$501,($D$2:$D$501&gt;=R$7)*($D$2:$D$501&lt;Q$7)*($E$2:$E$501&gt;=$H128)*($E$2:$E$501&lt;$H127)," ")))</f>
        <v xml:space="preserve"> </v>
      </c>
      <c r="R127" t="str" cm="1">
        <f t="array" ref="R127">_xlfn.TEXTJOIN(",",TRUE,(_xlfn._xlws.FILTER($A$2:$A$501,($D$2:$D$501&gt;=S$7)*($D$2:$D$501&lt;R$7)*($E$2:$E$501&gt;=$H128)*($E$2:$E$501&lt;$H127)," ")))</f>
        <v xml:space="preserve"> </v>
      </c>
      <c r="S127" t="str" cm="1">
        <f t="array" ref="S127">_xlfn.TEXTJOIN(",",TRUE,(_xlfn._xlws.FILTER($A$2:$A$501,($D$2:$D$501&gt;=T$7)*($D$2:$D$501&lt;S$7)*($E$2:$E$501&gt;=$H128)*($E$2:$E$501&lt;$H127)," ")))</f>
        <v xml:space="preserve"> </v>
      </c>
      <c r="T127" t="str" cm="1">
        <f t="array" ref="T127">_xlfn.TEXTJOIN(",",TRUE,(_xlfn._xlws.FILTER($A$2:$A$501,($D$2:$D$501&gt;=U$7)*($D$2:$D$501&lt;T$7)*($E$2:$E$501&gt;=$H128)*($E$2:$E$501&lt;$H127)," ")))</f>
        <v xml:space="preserve"> </v>
      </c>
      <c r="U127" t="str" cm="1">
        <f t="array" ref="U127">_xlfn.TEXTJOIN(",",TRUE,(_xlfn._xlws.FILTER($A$2:$A$501,($D$2:$D$501&gt;=V$7)*($D$2:$D$501&lt;U$7)*($E$2:$E$501&gt;=$H128)*($E$2:$E$501&lt;$H127)," ")))</f>
        <v>Cumberland Valley SD</v>
      </c>
      <c r="V127" t="str" cm="1">
        <f t="array" ref="V127">_xlfn.TEXTJOIN(",",TRUE,(_xlfn._xlws.FILTER($A$2:$A$501,($D$2:$D$501&gt;=W$7)*($D$2:$D$501&lt;V$7)*($E$2:$E$501&gt;=$H128)*($E$2:$E$501&lt;$H127)," ")))</f>
        <v xml:space="preserve"> </v>
      </c>
      <c r="W127" t="str" cm="1">
        <f t="array" ref="W127">_xlfn.TEXTJOIN(",",TRUE,(_xlfn._xlws.FILTER($A$2:$A$501,($D$2:$D$501&gt;=X$7)*($D$2:$D$501&lt;W$7)*($E$2:$E$501&gt;=$H128)*($E$2:$E$501&lt;$H127)," ")))</f>
        <v xml:space="preserve"> </v>
      </c>
      <c r="X127" t="str" cm="1">
        <f t="array" ref="X127">_xlfn.TEXTJOIN(",",TRUE,(_xlfn._xlws.FILTER($A$2:$A$501,($D$2:$D$501&gt;=Y$7)*($D$2:$D$501&lt;X$7)*($E$2:$E$501&gt;=$H128)*($E$2:$E$501&lt;$H127)," ")))</f>
        <v xml:space="preserve"> </v>
      </c>
      <c r="Y127" t="str" cm="1">
        <f t="array" ref="Y127">_xlfn.TEXTJOIN(",",TRUE,(_xlfn._xlws.FILTER($A$2:$A$501,($D$2:$D$501&gt;=Z$7)*($D$2:$D$501&lt;Y$7)*($E$2:$E$501&gt;=$H128)*($E$2:$E$501&lt;$H127)," ")))</f>
        <v>Twin Valley SD,Daniel Boone Area SD,Palmyra Area SD</v>
      </c>
      <c r="Z127" t="str" cm="1">
        <f t="array" ref="Z127">_xlfn.TEXTJOIN(",",TRUE,(_xlfn._xlws.FILTER($A$2:$A$501,($D$2:$D$501&gt;=AA$7)*($D$2:$D$501&lt;Z$7)*($E$2:$E$501&gt;=$H128)*($E$2:$E$501&lt;$H127)," ")))</f>
        <v xml:space="preserve"> </v>
      </c>
      <c r="AA127" t="str" cm="1">
        <f t="array" ref="AA127">_xlfn.TEXTJOIN(",",TRUE,(_xlfn._xlws.FILTER($A$2:$A$501,($D$2:$D$501&gt;=AB$7)*($D$2:$D$501&lt;AA$7)*($E$2:$E$501&gt;=$H128)*($E$2:$E$501&lt;$H127)," ")))</f>
        <v>Franklin Area SD,Belle Vernon Area SD,Palisades SD</v>
      </c>
      <c r="AB127" t="str" cm="1">
        <f t="array" ref="AB127">_xlfn.TEXTJOIN(",",TRUE,(_xlfn._xlws.FILTER($A$2:$A$501,($D$2:$D$501&gt;=AC$7)*($D$2:$D$501&lt;AB$7)*($E$2:$E$501&gt;=$H128)*($E$2:$E$501&lt;$H127)," ")))</f>
        <v>Tulpehocken Area SD</v>
      </c>
      <c r="AC127" t="str" cm="1">
        <f t="array" ref="AC127">_xlfn.TEXTJOIN(",",TRUE,(_xlfn._xlws.FILTER($A$2:$A$501,($D$2:$D$501&gt;=AD$7)*($D$2:$D$501&lt;AC$7)*($E$2:$E$501&gt;=$H128)*($E$2:$E$501&lt;$H127)," ")))</f>
        <v>Purchase Line SD,Sayre Area SD</v>
      </c>
      <c r="AD127" t="str" cm="1">
        <f t="array" ref="AD127">_xlfn.TEXTJOIN(",",TRUE,(_xlfn._xlws.FILTER($A$2:$A$501,($D$2:$D$501&gt;=AE$7)*($D$2:$D$501&lt;AD$7)*($E$2:$E$501&gt;=$H128)*($E$2:$E$501&lt;$H127)," ")))</f>
        <v>Southern Fulton SD</v>
      </c>
      <c r="AE127" t="str" cm="1">
        <f t="array" ref="AE127">_xlfn.TEXTJOIN(",",TRUE,(_xlfn._xlws.FILTER($A$2:$A$501,($D$2:$D$501&gt;=AF$7)*($D$2:$D$501&lt;AE$7)*($E$2:$E$501&gt;=$H128)*($E$2:$E$501&lt;$H127)," ")))</f>
        <v xml:space="preserve"> </v>
      </c>
      <c r="AF127" t="str" cm="1">
        <f t="array" ref="AF127">_xlfn.TEXTJOIN(",",TRUE,(_xlfn._xlws.FILTER($A$2:$A$501,($D$2:$D$501&gt;=AG$7)*($D$2:$D$501&lt;AF$7)*($E$2:$E$501&gt;=$H128)*($E$2:$E$501&lt;$H127)," ")))</f>
        <v xml:space="preserve"> </v>
      </c>
      <c r="AG127" t="str" cm="1">
        <f t="array" ref="AG127">_xlfn.TEXTJOIN(",",TRUE,(_xlfn._xlws.FILTER($A$2:$A$501,($D$2:$D$501&gt;=AH$7)*($D$2:$D$501&lt;AG$7)*($E$2:$E$501&gt;=$H128)*($E$2:$E$501&lt;$H127)," ")))</f>
        <v xml:space="preserve"> </v>
      </c>
      <c r="AH127" t="str" cm="1">
        <f t="array" ref="AH127">_xlfn.TEXTJOIN(",",TRUE,(_xlfn._xlws.FILTER($A$2:$A$501,($D$2:$D$501&gt;=AI$7)*($D$2:$D$501&lt;AH$7)*($E$2:$E$501&gt;=$H128)*($E$2:$E$501&lt;$H127)," ")))</f>
        <v xml:space="preserve"> </v>
      </c>
      <c r="AI127" t="str" cm="1">
        <f t="array" ref="AI127">_xlfn.TEXTJOIN(",",TRUE,(_xlfn._xlws.FILTER($A$2:$A$501,($D$2:$D$501&gt;=AJ$7)*($D$2:$D$501&lt;AI$7)*($E$2:$E$501&gt;=$H128)*($E$2:$E$501&lt;$H127)," ")))</f>
        <v xml:space="preserve"> </v>
      </c>
      <c r="AJ127" t="str" cm="1">
        <f t="array" ref="AJ127">_xlfn.TEXTJOIN(",",TRUE,(_xlfn._xlws.FILTER($A$2:$A$501,($D$2:$D$501&gt;=AK$7)*($D$2:$D$501&lt;AJ$7)*($E$2:$E$501&gt;=$H128)*($E$2:$E$501&lt;$H127)," ")))</f>
        <v xml:space="preserve"> </v>
      </c>
      <c r="AK127" t="str" cm="1">
        <f t="array" ref="AK127">_xlfn.TEXTJOIN(",",TRUE,(_xlfn._xlws.FILTER($A$2:$A$501,($D$2:$D$501&gt;=AL$7)*($D$2:$D$501&lt;AK$7)*($E$2:$E$501&gt;=$H128)*($E$2:$E$501&lt;$H127)," ")))</f>
        <v xml:space="preserve"> </v>
      </c>
      <c r="AL127" t="str" cm="1">
        <f t="array" ref="AL127">_xlfn.TEXTJOIN(",",TRUE,(_xlfn._xlws.FILTER($A$2:$A$501,($D$2:$D$501&gt;=AM$7)*($D$2:$D$501&lt;AL$7)*($E$2:$E$501&gt;=$H128)*($E$2:$E$501&lt;$H127)," ")))</f>
        <v xml:space="preserve"> </v>
      </c>
      <c r="AM127" t="str" cm="1">
        <f t="array" ref="AM127">_xlfn.TEXTJOIN(",",TRUE,(_xlfn._xlws.FILTER($A$2:$A$501,($D$2:$D$501&gt;=AN$7)*($D$2:$D$501&lt;AM$7)*($E$2:$E$501&gt;=$H128)*($E$2:$E$501&lt;$H127)," ")))</f>
        <v xml:space="preserve"> </v>
      </c>
      <c r="AN127" t="str" cm="1">
        <f t="array" ref="AN127">_xlfn.TEXTJOIN(",",TRUE,(_xlfn._xlws.FILTER($A$2:$A$501,($D$2:$D$501&gt;=AO$7)*($D$2:$D$501&lt;AN$7)*($E$2:$E$501&gt;=$H128)*($E$2:$E$501&lt;$H127)," ")))</f>
        <v xml:space="preserve"> </v>
      </c>
      <c r="AO127" t="str" cm="1">
        <f t="array" ref="AO127">_xlfn.TEXTJOIN(",",TRUE,(_xlfn._xlws.FILTER($A$2:$A$501,($D$2:$D$501&gt;=AP$7)*($D$2:$D$501&lt;AO$7)*($E$2:$E$501&gt;=$H128)*($E$2:$E$501&lt;$H127)," ")))</f>
        <v xml:space="preserve"> </v>
      </c>
      <c r="AP127" t="str" cm="1">
        <f t="array" ref="AP127">_xlfn.TEXTJOIN(",",TRUE,(_xlfn._xlws.FILTER($A$2:$A$501,($D$2:$D$501&gt;=AQ$7)*($D$2:$D$501&lt;AP$7)*($E$2:$E$501&gt;=$H128)*($E$2:$E$501&lt;$H127)," ")))</f>
        <v xml:space="preserve"> </v>
      </c>
      <c r="AQ127" t="str" cm="1">
        <f t="array" ref="AQ127">_xlfn.TEXTJOIN(",",TRUE,(_xlfn._xlws.FILTER($A$2:$A$501,($D$2:$D$501&gt;=AR$7)*($D$2:$D$501&lt;AQ$7)*($E$2:$E$501&gt;=$H128)*($E$2:$E$501&lt;$H127)," ")))</f>
        <v xml:space="preserve"> </v>
      </c>
      <c r="AR127" t="str" cm="1">
        <f t="array" ref="AR127">_xlfn.TEXTJOIN(",",TRUE,(_xlfn._xlws.FILTER($A$2:$A$501,($D$2:$D$501&gt;=AS$7)*($D$2:$D$501&lt;AR$7)*($E$2:$E$501&gt;=$H128)*($E$2:$E$501&lt;$H127)," ")))</f>
        <v xml:space="preserve"> </v>
      </c>
      <c r="AS127" t="str" cm="1">
        <f t="array" ref="AS127">_xlfn.TEXTJOIN(",",TRUE,(_xlfn._xlws.FILTER($A$2:$A$501,($D$2:$D$501&gt;=AT$7)*($D$2:$D$501&lt;AS$7)*($E$2:$E$501&gt;=$H128)*($E$2:$E$501&lt;$H127)," ")))</f>
        <v xml:space="preserve"> </v>
      </c>
      <c r="AT127" t="str" cm="1">
        <f t="array" ref="AT127">_xlfn.TEXTJOIN(",",TRUE,(_xlfn._xlws.FILTER($A$2:$A$501,($D$2:$D$501&gt;=AU$7)*($D$2:$D$501&lt;AT$7)*($E$2:$E$501&gt;=$H128)*($E$2:$E$501&lt;$H127)," ")))</f>
        <v xml:space="preserve"> </v>
      </c>
      <c r="AU127" t="str" cm="1">
        <f t="array" ref="AU127">_xlfn.TEXTJOIN(",",TRUE,(_xlfn._xlws.FILTER($A$2:$A$501,($D$2:$D$501&gt;=AV$7)*($D$2:$D$501&lt;AU$7)*($E$2:$E$501&gt;=$H128)*($E$2:$E$501&lt;$H127)," ")))</f>
        <v xml:space="preserve"> </v>
      </c>
      <c r="AV127" t="str" cm="1">
        <f t="array" ref="AV127">_xlfn.TEXTJOIN(",",TRUE,(_xlfn._xlws.FILTER($A$2:$A$501,($D$2:$D$501&gt;=AW$7)*($D$2:$D$501&lt;AV$7)*($E$2:$E$501&gt;=$H128)*($E$2:$E$501&lt;$H127)," ")))</f>
        <v xml:space="preserve"> </v>
      </c>
      <c r="AW127" t="str" cm="1">
        <f t="array" ref="AW127">_xlfn.TEXTJOIN(",",TRUE,(_xlfn._xlws.FILTER($A$2:$A$501,($D$2:$D$501&gt;=AX$7)*($D$2:$D$501&lt;AW$7)*($E$2:$E$501&gt;=$H128)*($E$2:$E$501&lt;$H127)," ")))</f>
        <v xml:space="preserve"> </v>
      </c>
      <c r="AX127" t="str" cm="1">
        <f t="array" ref="AX127">_xlfn.TEXTJOIN(",",TRUE,(_xlfn._xlws.FILTER($A$2:$A$501,($D$2:$D$501&gt;=AY$7)*($D$2:$D$501&lt;AX$7)*($E$2:$E$501&gt;=$H128)*($E$2:$E$501&lt;$H127)," ")))</f>
        <v xml:space="preserve"> </v>
      </c>
      <c r="AY127" t="str" cm="1">
        <f t="array" ref="AY127">_xlfn.TEXTJOIN(",",TRUE,(_xlfn._xlws.FILTER($A$2:$A$501,($D$2:$D$501&gt;=AZ$7)*($D$2:$D$501&lt;AY$7)*($E$2:$E$501&gt;=$H128)*($E$2:$E$501&lt;$H127)," ")))</f>
        <v xml:space="preserve"> </v>
      </c>
      <c r="AZ127" t="str" cm="1">
        <f t="array" ref="AZ127">_xlfn.TEXTJOIN(",",TRUE,(_xlfn._xlws.FILTER($A$2:$A$501,($D$2:$D$501&gt;=BA$7)*($D$2:$D$501&lt;AZ$7)*($E$2:$E$501&gt;=$H128)*($E$2:$E$501&lt;$H127)," ")))</f>
        <v xml:space="preserve"> </v>
      </c>
      <c r="BA127" t="str" cm="1">
        <f t="array" ref="BA127">_xlfn.TEXTJOIN(",",TRUE,(_xlfn._xlws.FILTER($A$2:$A$501,($D$2:$D$501&gt;=BB$7)*($D$2:$D$501&lt;BA$7)*($E$2:$E$501&gt;=$H128)*($E$2:$E$501&lt;$H127)," ")))</f>
        <v xml:space="preserve"> </v>
      </c>
      <c r="BB127" t="str" cm="1">
        <f t="array" ref="BB127">_xlfn.TEXTJOIN(",",TRUE,(_xlfn._xlws.FILTER($A$2:$A$501,($D$2:$D$501&gt;=BC$7)*($D$2:$D$501&lt;BB$7)*($E$2:$E$501&gt;=$H128)*($E$2:$E$501&lt;$H127)," ")))</f>
        <v xml:space="preserve"> </v>
      </c>
    </row>
    <row r="128" spans="1:54" x14ac:dyDescent="0.2">
      <c r="A128" s="3" t="s">
        <v>54</v>
      </c>
      <c r="B128" s="3" t="s">
        <v>55</v>
      </c>
      <c r="C128" s="13">
        <v>1050086.6599999999</v>
      </c>
      <c r="D128" s="15">
        <v>26921014.93</v>
      </c>
      <c r="E128" s="22">
        <f>TuitionRates3[[#This Row],[Tuition]]/D128</f>
        <v>3.9006206219581036E-2</v>
      </c>
      <c r="F128"/>
      <c r="H128" s="18">
        <v>0.03</v>
      </c>
      <c r="I128" t="str" cm="1">
        <f t="array" ref="I128">_xlfn.TEXTJOIN(",",TRUE,(_xlfn._xlws.FILTER($A$2:$A$501,($D$2:$D$501&gt;=J$7)*($D$2:$D$501&lt;I$7)*($E$2:$E$501&gt;=$H129)*($E$2:$E$501&lt;$H128)," ")))</f>
        <v xml:space="preserve"> </v>
      </c>
      <c r="J128" t="str" cm="1">
        <f t="array" ref="J128">_xlfn.TEXTJOIN(",",TRUE,(_xlfn._xlws.FILTER($A$2:$A$501,($D$2:$D$501&gt;=K$7)*($D$2:$D$501&lt;J$7)*($E$2:$E$501&gt;=$H129)*($E$2:$E$501&lt;$H128)," ")))</f>
        <v xml:space="preserve"> </v>
      </c>
      <c r="K128" t="str" cm="1">
        <f t="array" ref="K128">_xlfn.TEXTJOIN(",",TRUE,(_xlfn._xlws.FILTER($A$2:$A$501,($D$2:$D$501&gt;=L$7)*($D$2:$D$501&lt;K$7)*($E$2:$E$501&gt;=$H129)*($E$2:$E$501&lt;$H128)," ")))</f>
        <v xml:space="preserve"> </v>
      </c>
      <c r="L128" t="str" cm="1">
        <f t="array" ref="L128">_xlfn.TEXTJOIN(",",TRUE,(_xlfn._xlws.FILTER($A$2:$A$501,($D$2:$D$501&gt;=M$7)*($D$2:$D$501&lt;L$7)*($E$2:$E$501&gt;=$H129)*($E$2:$E$501&lt;$H128)," ")))</f>
        <v xml:space="preserve"> </v>
      </c>
      <c r="M128" t="str" cm="1">
        <f t="array" ref="M128">_xlfn.TEXTJOIN(",",TRUE,(_xlfn._xlws.FILTER($A$2:$A$501,($D$2:$D$501&gt;=N$7)*($D$2:$D$501&lt;M$7)*($E$2:$E$501&gt;=$H129)*($E$2:$E$501&lt;$H128)," ")))</f>
        <v xml:space="preserve"> </v>
      </c>
      <c r="N128" t="str" cm="1">
        <f t="array" ref="N128">_xlfn.TEXTJOIN(",",TRUE,(_xlfn._xlws.FILTER($A$2:$A$501,($D$2:$D$501&gt;=O$7)*($D$2:$D$501&lt;N$7)*($E$2:$E$501&gt;=$H129)*($E$2:$E$501&lt;$H128)," ")))</f>
        <v xml:space="preserve"> </v>
      </c>
      <c r="O128" t="str" cm="1">
        <f t="array" ref="O128">_xlfn.TEXTJOIN(",",TRUE,(_xlfn._xlws.FILTER($A$2:$A$501,($D$2:$D$501&gt;=P$7)*($D$2:$D$501&lt;O$7)*($E$2:$E$501&gt;=$H129)*($E$2:$E$501&lt;$H128)," ")))</f>
        <v xml:space="preserve"> </v>
      </c>
      <c r="P128" t="str" cm="1">
        <f t="array" ref="P128">_xlfn.TEXTJOIN(",",TRUE,(_xlfn._xlws.FILTER($A$2:$A$501,($D$2:$D$501&gt;=Q$7)*($D$2:$D$501&lt;P$7)*($E$2:$E$501&gt;=$H129)*($E$2:$E$501&lt;$H128)," ")))</f>
        <v xml:space="preserve"> </v>
      </c>
      <c r="Q128" t="str" cm="1">
        <f t="array" ref="Q128">_xlfn.TEXTJOIN(",",TRUE,(_xlfn._xlws.FILTER($A$2:$A$501,($D$2:$D$501&gt;=R$7)*($D$2:$D$501&lt;Q$7)*($E$2:$E$501&gt;=$H129)*($E$2:$E$501&lt;$H128)," ")))</f>
        <v xml:space="preserve"> </v>
      </c>
      <c r="R128" t="str" cm="1">
        <f t="array" ref="R128">_xlfn.TEXTJOIN(",",TRUE,(_xlfn._xlws.FILTER($A$2:$A$501,($D$2:$D$501&gt;=S$7)*($D$2:$D$501&lt;R$7)*($E$2:$E$501&gt;=$H129)*($E$2:$E$501&lt;$H128)," ")))</f>
        <v xml:space="preserve"> </v>
      </c>
      <c r="S128" t="str" cm="1">
        <f t="array" ref="S128">_xlfn.TEXTJOIN(",",TRUE,(_xlfn._xlws.FILTER($A$2:$A$501,($D$2:$D$501&gt;=T$7)*($D$2:$D$501&lt;S$7)*($E$2:$E$501&gt;=$H129)*($E$2:$E$501&lt;$H128)," ")))</f>
        <v xml:space="preserve"> </v>
      </c>
      <c r="T128" t="str" cm="1">
        <f t="array" ref="T128">_xlfn.TEXTJOIN(",",TRUE,(_xlfn._xlws.FILTER($A$2:$A$501,($D$2:$D$501&gt;=U$7)*($D$2:$D$501&lt;T$7)*($E$2:$E$501&gt;=$H129)*($E$2:$E$501&lt;$H128)," ")))</f>
        <v>Erie City SD</v>
      </c>
      <c r="U128" t="str" cm="1">
        <f t="array" ref="U128">_xlfn.TEXTJOIN(",",TRUE,(_xlfn._xlws.FILTER($A$2:$A$501,($D$2:$D$501&gt;=V$7)*($D$2:$D$501&lt;U$7)*($E$2:$E$501&gt;=$H129)*($E$2:$E$501&lt;$H128)," ")))</f>
        <v>Quakertown Community SD</v>
      </c>
      <c r="V128" t="str" cm="1">
        <f t="array" ref="V128">_xlfn.TEXTJOIN(",",TRUE,(_xlfn._xlws.FILTER($A$2:$A$501,($D$2:$D$501&gt;=W$7)*($D$2:$D$501&lt;V$7)*($E$2:$E$501&gt;=$H129)*($E$2:$E$501&lt;$H128)," ")))</f>
        <v>Mifflin County SD</v>
      </c>
      <c r="W128" t="str" cm="1">
        <f t="array" ref="W128">_xlfn.TEXTJOIN(",",TRUE,(_xlfn._xlws.FILTER($A$2:$A$501,($D$2:$D$501&gt;=X$7)*($D$2:$D$501&lt;W$7)*($E$2:$E$501&gt;=$H129)*($E$2:$E$501&lt;$H128)," ")))</f>
        <v xml:space="preserve"> </v>
      </c>
      <c r="X128" t="str" cm="1">
        <f t="array" ref="X128">_xlfn.TEXTJOIN(",",TRUE,(_xlfn._xlws.FILTER($A$2:$A$501,($D$2:$D$501&gt;=Y$7)*($D$2:$D$501&lt;X$7)*($E$2:$E$501&gt;=$H129)*($E$2:$E$501&lt;$H128)," ")))</f>
        <v xml:space="preserve"> </v>
      </c>
      <c r="Y128" t="str" cm="1">
        <f t="array" ref="Y128">_xlfn.TEXTJOIN(",",TRUE,(_xlfn._xlws.FILTER($A$2:$A$501,($D$2:$D$501&gt;=Z$7)*($D$2:$D$501&lt;Y$7)*($E$2:$E$501&gt;=$H129)*($E$2:$E$501&lt;$H128)," ")))</f>
        <v xml:space="preserve"> </v>
      </c>
      <c r="Z128" t="str" cm="1">
        <f t="array" ref="Z128">_xlfn.TEXTJOIN(",",TRUE,(_xlfn._xlws.FILTER($A$2:$A$501,($D$2:$D$501&gt;=AA$7)*($D$2:$D$501&lt;Z$7)*($E$2:$E$501&gt;=$H129)*($E$2:$E$501&lt;$H128)," ")))</f>
        <v xml:space="preserve"> </v>
      </c>
      <c r="AA128" t="str" cm="1">
        <f t="array" ref="AA128">_xlfn.TEXTJOIN(",",TRUE,(_xlfn._xlws.FILTER($A$2:$A$501,($D$2:$D$501&gt;=AB$7)*($D$2:$D$501&lt;AA$7)*($E$2:$E$501&gt;=$H129)*($E$2:$E$501&lt;$H128)," ")))</f>
        <v>Athens Area SD</v>
      </c>
      <c r="AB128" t="str" cm="1">
        <f t="array" ref="AB128">_xlfn.TEXTJOIN(",",TRUE,(_xlfn._xlws.FILTER($A$2:$A$501,($D$2:$D$501&gt;=AC$7)*($D$2:$D$501&lt;AB$7)*($E$2:$E$501&gt;=$H129)*($E$2:$E$501&lt;$H128)," ")))</f>
        <v>Charleroi SD,Lake-Lehman SD</v>
      </c>
      <c r="AC128" t="str" cm="1">
        <f t="array" ref="AC128">_xlfn.TEXTJOIN(",",TRUE,(_xlfn._xlws.FILTER($A$2:$A$501,($D$2:$D$501&gt;=AD$7)*($D$2:$D$501&lt;AC$7)*($E$2:$E$501&gt;=$H129)*($E$2:$E$501&lt;$H128)," ")))</f>
        <v>Freedom Area SD</v>
      </c>
      <c r="AD128" t="str" cm="1">
        <f t="array" ref="AD128">_xlfn.TEXTJOIN(",",TRUE,(_xlfn._xlws.FILTER($A$2:$A$501,($D$2:$D$501&gt;=AE$7)*($D$2:$D$501&lt;AD$7)*($E$2:$E$501&gt;=$H129)*($E$2:$E$501&lt;$H128)," ")))</f>
        <v>Clarion Area SD,Conemaugh Valley SD,Smethport Area SD,Otto-Eldred SD</v>
      </c>
      <c r="AE128" t="str" cm="1">
        <f t="array" ref="AE128">_xlfn.TEXTJOIN(",",TRUE,(_xlfn._xlws.FILTER($A$2:$A$501,($D$2:$D$501&gt;=AF$7)*($D$2:$D$501&lt;AE$7)*($E$2:$E$501&gt;=$H129)*($E$2:$E$501&lt;$H128)," ")))</f>
        <v xml:space="preserve"> </v>
      </c>
      <c r="AF128" t="str" cm="1">
        <f t="array" ref="AF128">_xlfn.TEXTJOIN(",",TRUE,(_xlfn._xlws.FILTER($A$2:$A$501,($D$2:$D$501&gt;=AG$7)*($D$2:$D$501&lt;AF$7)*($E$2:$E$501&gt;=$H129)*($E$2:$E$501&lt;$H128)," ")))</f>
        <v xml:space="preserve"> </v>
      </c>
      <c r="AG128" t="str" cm="1">
        <f t="array" ref="AG128">_xlfn.TEXTJOIN(",",TRUE,(_xlfn._xlws.FILTER($A$2:$A$501,($D$2:$D$501&gt;=AH$7)*($D$2:$D$501&lt;AG$7)*($E$2:$E$501&gt;=$H129)*($E$2:$E$501&lt;$H128)," ")))</f>
        <v xml:space="preserve"> </v>
      </c>
      <c r="AH128" t="str" cm="1">
        <f t="array" ref="AH128">_xlfn.TEXTJOIN(",",TRUE,(_xlfn._xlws.FILTER($A$2:$A$501,($D$2:$D$501&gt;=AI$7)*($D$2:$D$501&lt;AH$7)*($E$2:$E$501&gt;=$H129)*($E$2:$E$501&lt;$H128)," ")))</f>
        <v xml:space="preserve"> </v>
      </c>
      <c r="AI128" t="str" cm="1">
        <f t="array" ref="AI128">_xlfn.TEXTJOIN(",",TRUE,(_xlfn._xlws.FILTER($A$2:$A$501,($D$2:$D$501&gt;=AJ$7)*($D$2:$D$501&lt;AI$7)*($E$2:$E$501&gt;=$H129)*($E$2:$E$501&lt;$H128)," ")))</f>
        <v xml:space="preserve"> </v>
      </c>
      <c r="AJ128" t="str" cm="1">
        <f t="array" ref="AJ128">_xlfn.TEXTJOIN(",",TRUE,(_xlfn._xlws.FILTER($A$2:$A$501,($D$2:$D$501&gt;=AK$7)*($D$2:$D$501&lt;AJ$7)*($E$2:$E$501&gt;=$H129)*($E$2:$E$501&lt;$H128)," ")))</f>
        <v xml:space="preserve"> </v>
      </c>
      <c r="AK128" t="str" cm="1">
        <f t="array" ref="AK128">_xlfn.TEXTJOIN(",",TRUE,(_xlfn._xlws.FILTER($A$2:$A$501,($D$2:$D$501&gt;=AL$7)*($D$2:$D$501&lt;AK$7)*($E$2:$E$501&gt;=$H129)*($E$2:$E$501&lt;$H128)," ")))</f>
        <v xml:space="preserve"> </v>
      </c>
      <c r="AL128" t="str" cm="1">
        <f t="array" ref="AL128">_xlfn.TEXTJOIN(",",TRUE,(_xlfn._xlws.FILTER($A$2:$A$501,($D$2:$D$501&gt;=AM$7)*($D$2:$D$501&lt;AL$7)*($E$2:$E$501&gt;=$H129)*($E$2:$E$501&lt;$H128)," ")))</f>
        <v xml:space="preserve"> </v>
      </c>
      <c r="AM128" t="str" cm="1">
        <f t="array" ref="AM128">_xlfn.TEXTJOIN(",",TRUE,(_xlfn._xlws.FILTER($A$2:$A$501,($D$2:$D$501&gt;=AN$7)*($D$2:$D$501&lt;AM$7)*($E$2:$E$501&gt;=$H129)*($E$2:$E$501&lt;$H128)," ")))</f>
        <v xml:space="preserve"> </v>
      </c>
      <c r="AN128" t="str" cm="1">
        <f t="array" ref="AN128">_xlfn.TEXTJOIN(",",TRUE,(_xlfn._xlws.FILTER($A$2:$A$501,($D$2:$D$501&gt;=AO$7)*($D$2:$D$501&lt;AN$7)*($E$2:$E$501&gt;=$H129)*($E$2:$E$501&lt;$H128)," ")))</f>
        <v xml:space="preserve"> </v>
      </c>
      <c r="AO128" t="str" cm="1">
        <f t="array" ref="AO128">_xlfn.TEXTJOIN(",",TRUE,(_xlfn._xlws.FILTER($A$2:$A$501,($D$2:$D$501&gt;=AP$7)*($D$2:$D$501&lt;AO$7)*($E$2:$E$501&gt;=$H129)*($E$2:$E$501&lt;$H128)," ")))</f>
        <v xml:space="preserve"> </v>
      </c>
      <c r="AP128" t="str" cm="1">
        <f t="array" ref="AP128">_xlfn.TEXTJOIN(",",TRUE,(_xlfn._xlws.FILTER($A$2:$A$501,($D$2:$D$501&gt;=AQ$7)*($D$2:$D$501&lt;AP$7)*($E$2:$E$501&gt;=$H129)*($E$2:$E$501&lt;$H128)," ")))</f>
        <v xml:space="preserve"> </v>
      </c>
      <c r="AQ128" t="str" cm="1">
        <f t="array" ref="AQ128">_xlfn.TEXTJOIN(",",TRUE,(_xlfn._xlws.FILTER($A$2:$A$501,($D$2:$D$501&gt;=AR$7)*($D$2:$D$501&lt;AQ$7)*($E$2:$E$501&gt;=$H129)*($E$2:$E$501&lt;$H128)," ")))</f>
        <v xml:space="preserve"> </v>
      </c>
      <c r="AR128" t="str" cm="1">
        <f t="array" ref="AR128">_xlfn.TEXTJOIN(",",TRUE,(_xlfn._xlws.FILTER($A$2:$A$501,($D$2:$D$501&gt;=AS$7)*($D$2:$D$501&lt;AR$7)*($E$2:$E$501&gt;=$H129)*($E$2:$E$501&lt;$H128)," ")))</f>
        <v xml:space="preserve"> </v>
      </c>
      <c r="AS128" t="str" cm="1">
        <f t="array" ref="AS128">_xlfn.TEXTJOIN(",",TRUE,(_xlfn._xlws.FILTER($A$2:$A$501,($D$2:$D$501&gt;=AT$7)*($D$2:$D$501&lt;AS$7)*($E$2:$E$501&gt;=$H129)*($E$2:$E$501&lt;$H128)," ")))</f>
        <v xml:space="preserve"> </v>
      </c>
      <c r="AT128" t="str" cm="1">
        <f t="array" ref="AT128">_xlfn.TEXTJOIN(",",TRUE,(_xlfn._xlws.FILTER($A$2:$A$501,($D$2:$D$501&gt;=AU$7)*($D$2:$D$501&lt;AT$7)*($E$2:$E$501&gt;=$H129)*($E$2:$E$501&lt;$H128)," ")))</f>
        <v xml:space="preserve"> </v>
      </c>
      <c r="AU128" t="str" cm="1">
        <f t="array" ref="AU128">_xlfn.TEXTJOIN(",",TRUE,(_xlfn._xlws.FILTER($A$2:$A$501,($D$2:$D$501&gt;=AV$7)*($D$2:$D$501&lt;AU$7)*($E$2:$E$501&gt;=$H129)*($E$2:$E$501&lt;$H128)," ")))</f>
        <v xml:space="preserve"> </v>
      </c>
      <c r="AV128" t="str" cm="1">
        <f t="array" ref="AV128">_xlfn.TEXTJOIN(",",TRUE,(_xlfn._xlws.FILTER($A$2:$A$501,($D$2:$D$501&gt;=AW$7)*($D$2:$D$501&lt;AV$7)*($E$2:$E$501&gt;=$H129)*($E$2:$E$501&lt;$H128)," ")))</f>
        <v xml:space="preserve"> </v>
      </c>
      <c r="AW128" t="str" cm="1">
        <f t="array" ref="AW128">_xlfn.TEXTJOIN(",",TRUE,(_xlfn._xlws.FILTER($A$2:$A$501,($D$2:$D$501&gt;=AX$7)*($D$2:$D$501&lt;AW$7)*($E$2:$E$501&gt;=$H129)*($E$2:$E$501&lt;$H128)," ")))</f>
        <v xml:space="preserve"> </v>
      </c>
      <c r="AX128" t="str" cm="1">
        <f t="array" ref="AX128">_xlfn.TEXTJOIN(",",TRUE,(_xlfn._xlws.FILTER($A$2:$A$501,($D$2:$D$501&gt;=AY$7)*($D$2:$D$501&lt;AX$7)*($E$2:$E$501&gt;=$H129)*($E$2:$E$501&lt;$H128)," ")))</f>
        <v xml:space="preserve"> </v>
      </c>
      <c r="AY128" t="str" cm="1">
        <f t="array" ref="AY128">_xlfn.TEXTJOIN(",",TRUE,(_xlfn._xlws.FILTER($A$2:$A$501,($D$2:$D$501&gt;=AZ$7)*($D$2:$D$501&lt;AY$7)*($E$2:$E$501&gt;=$H129)*($E$2:$E$501&lt;$H128)," ")))</f>
        <v xml:space="preserve"> </v>
      </c>
      <c r="AZ128" t="str" cm="1">
        <f t="array" ref="AZ128">_xlfn.TEXTJOIN(",",TRUE,(_xlfn._xlws.FILTER($A$2:$A$501,($D$2:$D$501&gt;=BA$7)*($D$2:$D$501&lt;AZ$7)*($E$2:$E$501&gt;=$H129)*($E$2:$E$501&lt;$H128)," ")))</f>
        <v xml:space="preserve"> </v>
      </c>
      <c r="BA128" t="str" cm="1">
        <f t="array" ref="BA128">_xlfn.TEXTJOIN(",",TRUE,(_xlfn._xlws.FILTER($A$2:$A$501,($D$2:$D$501&gt;=BB$7)*($D$2:$D$501&lt;BA$7)*($E$2:$E$501&gt;=$H129)*($E$2:$E$501&lt;$H128)," ")))</f>
        <v xml:space="preserve"> </v>
      </c>
      <c r="BB128" t="str" cm="1">
        <f t="array" ref="BB128">_xlfn.TEXTJOIN(",",TRUE,(_xlfn._xlws.FILTER($A$2:$A$501,($D$2:$D$501&gt;=BC$7)*($D$2:$D$501&lt;BB$7)*($E$2:$E$501&gt;=$H129)*($E$2:$E$501&lt;$H128)," ")))</f>
        <v xml:space="preserve"> </v>
      </c>
    </row>
    <row r="129" spans="1:54" x14ac:dyDescent="0.2">
      <c r="A129" s="3" t="s">
        <v>494</v>
      </c>
      <c r="B129" s="3" t="s">
        <v>493</v>
      </c>
      <c r="C129" s="13">
        <v>936494.12</v>
      </c>
      <c r="D129" s="15">
        <v>24095232.899999999</v>
      </c>
      <c r="E129" s="22">
        <f>TuitionRates3[[#This Row],[Tuition]]/D129</f>
        <v>3.8866365138973194E-2</v>
      </c>
      <c r="F129"/>
      <c r="H129" s="18">
        <v>2.9000000000000001E-2</v>
      </c>
      <c r="I129" t="str" cm="1">
        <f t="array" ref="I129">_xlfn.TEXTJOIN(",",TRUE,(_xlfn._xlws.FILTER($A$2:$A$501,($D$2:$D$501&gt;=J$7)*($D$2:$D$501&lt;I$7)*($E$2:$E$501&gt;=$H130)*($E$2:$E$501&lt;$H129)," ")))</f>
        <v xml:space="preserve"> </v>
      </c>
      <c r="J129" t="str" cm="1">
        <f t="array" ref="J129">_xlfn.TEXTJOIN(",",TRUE,(_xlfn._xlws.FILTER($A$2:$A$501,($D$2:$D$501&gt;=K$7)*($D$2:$D$501&lt;J$7)*($E$2:$E$501&gt;=$H130)*($E$2:$E$501&lt;$H129)," ")))</f>
        <v xml:space="preserve"> </v>
      </c>
      <c r="K129" t="str" cm="1">
        <f t="array" ref="K129">_xlfn.TEXTJOIN(",",TRUE,(_xlfn._xlws.FILTER($A$2:$A$501,($D$2:$D$501&gt;=L$7)*($D$2:$D$501&lt;K$7)*($E$2:$E$501&gt;=$H130)*($E$2:$E$501&lt;$H129)," ")))</f>
        <v xml:space="preserve"> </v>
      </c>
      <c r="L129" t="str" cm="1">
        <f t="array" ref="L129">_xlfn.TEXTJOIN(",",TRUE,(_xlfn._xlws.FILTER($A$2:$A$501,($D$2:$D$501&gt;=M$7)*($D$2:$D$501&lt;L$7)*($E$2:$E$501&gt;=$H130)*($E$2:$E$501&lt;$H129)," ")))</f>
        <v xml:space="preserve"> </v>
      </c>
      <c r="M129" t="str" cm="1">
        <f t="array" ref="M129">_xlfn.TEXTJOIN(",",TRUE,(_xlfn._xlws.FILTER($A$2:$A$501,($D$2:$D$501&gt;=N$7)*($D$2:$D$501&lt;M$7)*($E$2:$E$501&gt;=$H130)*($E$2:$E$501&lt;$H129)," ")))</f>
        <v xml:space="preserve"> </v>
      </c>
      <c r="N129" t="str" cm="1">
        <f t="array" ref="N129">_xlfn.TEXTJOIN(",",TRUE,(_xlfn._xlws.FILTER($A$2:$A$501,($D$2:$D$501&gt;=O$7)*($D$2:$D$501&lt;N$7)*($E$2:$E$501&gt;=$H130)*($E$2:$E$501&lt;$H129)," ")))</f>
        <v xml:space="preserve"> </v>
      </c>
      <c r="O129" t="str" cm="1">
        <f t="array" ref="O129">_xlfn.TEXTJOIN(",",TRUE,(_xlfn._xlws.FILTER($A$2:$A$501,($D$2:$D$501&gt;=P$7)*($D$2:$D$501&lt;O$7)*($E$2:$E$501&gt;=$H130)*($E$2:$E$501&lt;$H129)," ")))</f>
        <v xml:space="preserve"> </v>
      </c>
      <c r="P129" t="str" cm="1">
        <f t="array" ref="P129">_xlfn.TEXTJOIN(",",TRUE,(_xlfn._xlws.FILTER($A$2:$A$501,($D$2:$D$501&gt;=Q$7)*($D$2:$D$501&lt;P$7)*($E$2:$E$501&gt;=$H130)*($E$2:$E$501&lt;$H129)," ")))</f>
        <v xml:space="preserve"> </v>
      </c>
      <c r="Q129" t="str" cm="1">
        <f t="array" ref="Q129">_xlfn.TEXTJOIN(",",TRUE,(_xlfn._xlws.FILTER($A$2:$A$501,($D$2:$D$501&gt;=R$7)*($D$2:$D$501&lt;Q$7)*($E$2:$E$501&gt;=$H130)*($E$2:$E$501&lt;$H129)," ")))</f>
        <v xml:space="preserve"> </v>
      </c>
      <c r="R129" t="str" cm="1">
        <f t="array" ref="R129">_xlfn.TEXTJOIN(",",TRUE,(_xlfn._xlws.FILTER($A$2:$A$501,($D$2:$D$501&gt;=S$7)*($D$2:$D$501&lt;R$7)*($E$2:$E$501&gt;=$H130)*($E$2:$E$501&lt;$H129)," ")))</f>
        <v xml:space="preserve"> </v>
      </c>
      <c r="S129" t="str" cm="1">
        <f t="array" ref="S129">_xlfn.TEXTJOIN(",",TRUE,(_xlfn._xlws.FILTER($A$2:$A$501,($D$2:$D$501&gt;=T$7)*($D$2:$D$501&lt;S$7)*($E$2:$E$501&gt;=$H130)*($E$2:$E$501&lt;$H129)," ")))</f>
        <v xml:space="preserve"> </v>
      </c>
      <c r="T129" t="str" cm="1">
        <f t="array" ref="T129">_xlfn.TEXTJOIN(",",TRUE,(_xlfn._xlws.FILTER($A$2:$A$501,($D$2:$D$501&gt;=U$7)*($D$2:$D$501&lt;T$7)*($E$2:$E$501&gt;=$H130)*($E$2:$E$501&lt;$H129)," ")))</f>
        <v xml:space="preserve"> </v>
      </c>
      <c r="U129" t="str" cm="1">
        <f t="array" ref="U129">_xlfn.TEXTJOIN(",",TRUE,(_xlfn._xlws.FILTER($A$2:$A$501,($D$2:$D$501&gt;=V$7)*($D$2:$D$501&lt;U$7)*($E$2:$E$501&gt;=$H130)*($E$2:$E$501&lt;$H129)," ")))</f>
        <v>Hempfield Area SD,Altoona Area SD</v>
      </c>
      <c r="V129" t="str" cm="1">
        <f t="array" ref="V129">_xlfn.TEXTJOIN(",",TRUE,(_xlfn._xlws.FILTER($A$2:$A$501,($D$2:$D$501&gt;=W$7)*($D$2:$D$501&lt;V$7)*($E$2:$E$501&gt;=$H130)*($E$2:$E$501&lt;$H129)," ")))</f>
        <v xml:space="preserve"> </v>
      </c>
      <c r="W129" t="str" cm="1">
        <f t="array" ref="W129">_xlfn.TEXTJOIN(",",TRUE,(_xlfn._xlws.FILTER($A$2:$A$501,($D$2:$D$501&gt;=X$7)*($D$2:$D$501&lt;W$7)*($E$2:$E$501&gt;=$H130)*($E$2:$E$501&lt;$H129)," ")))</f>
        <v xml:space="preserve"> </v>
      </c>
      <c r="X129" t="str" cm="1">
        <f t="array" ref="X129">_xlfn.TEXTJOIN(",",TRUE,(_xlfn._xlws.FILTER($A$2:$A$501,($D$2:$D$501&gt;=Y$7)*($D$2:$D$501&lt;X$7)*($E$2:$E$501&gt;=$H130)*($E$2:$E$501&lt;$H129)," ")))</f>
        <v>Conewago Valley SD,Pottsgrove SD</v>
      </c>
      <c r="Y129" t="str" cm="1">
        <f t="array" ref="Y129">_xlfn.TEXTJOIN(",",TRUE,(_xlfn._xlws.FILTER($A$2:$A$501,($D$2:$D$501&gt;=Z$7)*($D$2:$D$501&lt;Y$7)*($E$2:$E$501&gt;=$H130)*($E$2:$E$501&lt;$H129)," ")))</f>
        <v>Penn-Trafford SD,Indiana Area SD</v>
      </c>
      <c r="Z129" t="str" cm="1">
        <f t="array" ref="Z129">_xlfn.TEXTJOIN(",",TRUE,(_xlfn._xlws.FILTER($A$2:$A$501,($D$2:$D$501&gt;=AA$7)*($D$2:$D$501&lt;Z$7)*($E$2:$E$501&gt;=$H130)*($E$2:$E$501&lt;$H129)," ")))</f>
        <v>Donegal SD</v>
      </c>
      <c r="AA129" t="str" cm="1">
        <f t="array" ref="AA129">_xlfn.TEXTJOIN(",",TRUE,(_xlfn._xlws.FILTER($A$2:$A$501,($D$2:$D$501&gt;=AB$7)*($D$2:$D$501&lt;AA$7)*($E$2:$E$501&gt;=$H130)*($E$2:$E$501&lt;$H129)," ")))</f>
        <v>Wilson Area SD,General McLane SD</v>
      </c>
      <c r="AB129" t="str" cm="1">
        <f t="array" ref="AB129">_xlfn.TEXTJOIN(",",TRUE,(_xlfn._xlws.FILTER($A$2:$A$501,($D$2:$D$501&gt;=AC$7)*($D$2:$D$501&lt;AB$7)*($E$2:$E$501&gt;=$H130)*($E$2:$E$501&lt;$H129)," ")))</f>
        <v>Yough SD,Greater Nanticoke Area SD</v>
      </c>
      <c r="AC129" t="str" cm="1">
        <f t="array" ref="AC129">_xlfn.TEXTJOIN(",",TRUE,(_xlfn._xlws.FILTER($A$2:$A$501,($D$2:$D$501&gt;=AD$7)*($D$2:$D$501&lt;AC$7)*($E$2:$E$501&gt;=$H130)*($E$2:$E$501&lt;$H129)," ")))</f>
        <v>Spring Cove SD,Northgate SD</v>
      </c>
      <c r="AD129" t="str" cm="1">
        <f t="array" ref="AD129">_xlfn.TEXTJOIN(",",TRUE,(_xlfn._xlws.FILTER($A$2:$A$501,($D$2:$D$501&gt;=AE$7)*($D$2:$D$501&lt;AD$7)*($E$2:$E$501&gt;=$H130)*($E$2:$E$501&lt;$H129)," ")))</f>
        <v>Commodore Perry SD</v>
      </c>
      <c r="AE129" t="str" cm="1">
        <f t="array" ref="AE129">_xlfn.TEXTJOIN(",",TRUE,(_xlfn._xlws.FILTER($A$2:$A$501,($D$2:$D$501&gt;=AF$7)*($D$2:$D$501&lt;AE$7)*($E$2:$E$501&gt;=$H130)*($E$2:$E$501&lt;$H129)," ")))</f>
        <v xml:space="preserve"> </v>
      </c>
      <c r="AF129" t="str" cm="1">
        <f t="array" ref="AF129">_xlfn.TEXTJOIN(",",TRUE,(_xlfn._xlws.FILTER($A$2:$A$501,($D$2:$D$501&gt;=AG$7)*($D$2:$D$501&lt;AF$7)*($E$2:$E$501&gt;=$H130)*($E$2:$E$501&lt;$H129)," ")))</f>
        <v xml:space="preserve"> </v>
      </c>
      <c r="AG129" t="str" cm="1">
        <f t="array" ref="AG129">_xlfn.TEXTJOIN(",",TRUE,(_xlfn._xlws.FILTER($A$2:$A$501,($D$2:$D$501&gt;=AH$7)*($D$2:$D$501&lt;AG$7)*($E$2:$E$501&gt;=$H130)*($E$2:$E$501&lt;$H129)," ")))</f>
        <v xml:space="preserve"> </v>
      </c>
      <c r="AH129" t="str" cm="1">
        <f t="array" ref="AH129">_xlfn.TEXTJOIN(",",TRUE,(_xlfn._xlws.FILTER($A$2:$A$501,($D$2:$D$501&gt;=AI$7)*($D$2:$D$501&lt;AH$7)*($E$2:$E$501&gt;=$H130)*($E$2:$E$501&lt;$H129)," ")))</f>
        <v xml:space="preserve"> </v>
      </c>
      <c r="AI129" t="str" cm="1">
        <f t="array" ref="AI129">_xlfn.TEXTJOIN(",",TRUE,(_xlfn._xlws.FILTER($A$2:$A$501,($D$2:$D$501&gt;=AJ$7)*($D$2:$D$501&lt;AI$7)*($E$2:$E$501&gt;=$H130)*($E$2:$E$501&lt;$H129)," ")))</f>
        <v xml:space="preserve"> </v>
      </c>
      <c r="AJ129" t="str" cm="1">
        <f t="array" ref="AJ129">_xlfn.TEXTJOIN(",",TRUE,(_xlfn._xlws.FILTER($A$2:$A$501,($D$2:$D$501&gt;=AK$7)*($D$2:$D$501&lt;AJ$7)*($E$2:$E$501&gt;=$H130)*($E$2:$E$501&lt;$H129)," ")))</f>
        <v xml:space="preserve"> </v>
      </c>
      <c r="AK129" t="str" cm="1">
        <f t="array" ref="AK129">_xlfn.TEXTJOIN(",",TRUE,(_xlfn._xlws.FILTER($A$2:$A$501,($D$2:$D$501&gt;=AL$7)*($D$2:$D$501&lt;AK$7)*($E$2:$E$501&gt;=$H130)*($E$2:$E$501&lt;$H129)," ")))</f>
        <v xml:space="preserve"> </v>
      </c>
      <c r="AL129" t="str" cm="1">
        <f t="array" ref="AL129">_xlfn.TEXTJOIN(",",TRUE,(_xlfn._xlws.FILTER($A$2:$A$501,($D$2:$D$501&gt;=AM$7)*($D$2:$D$501&lt;AL$7)*($E$2:$E$501&gt;=$H130)*($E$2:$E$501&lt;$H129)," ")))</f>
        <v xml:space="preserve"> </v>
      </c>
      <c r="AM129" t="str" cm="1">
        <f t="array" ref="AM129">_xlfn.TEXTJOIN(",",TRUE,(_xlfn._xlws.FILTER($A$2:$A$501,($D$2:$D$501&gt;=AN$7)*($D$2:$D$501&lt;AM$7)*($E$2:$E$501&gt;=$H130)*($E$2:$E$501&lt;$H129)," ")))</f>
        <v xml:space="preserve"> </v>
      </c>
      <c r="AN129" t="str" cm="1">
        <f t="array" ref="AN129">_xlfn.TEXTJOIN(",",TRUE,(_xlfn._xlws.FILTER($A$2:$A$501,($D$2:$D$501&gt;=AO$7)*($D$2:$D$501&lt;AN$7)*($E$2:$E$501&gt;=$H130)*($E$2:$E$501&lt;$H129)," ")))</f>
        <v xml:space="preserve"> </v>
      </c>
      <c r="AO129" t="str" cm="1">
        <f t="array" ref="AO129">_xlfn.TEXTJOIN(",",TRUE,(_xlfn._xlws.FILTER($A$2:$A$501,($D$2:$D$501&gt;=AP$7)*($D$2:$D$501&lt;AO$7)*($E$2:$E$501&gt;=$H130)*($E$2:$E$501&lt;$H129)," ")))</f>
        <v xml:space="preserve"> </v>
      </c>
      <c r="AP129" t="str" cm="1">
        <f t="array" ref="AP129">_xlfn.TEXTJOIN(",",TRUE,(_xlfn._xlws.FILTER($A$2:$A$501,($D$2:$D$501&gt;=AQ$7)*($D$2:$D$501&lt;AP$7)*($E$2:$E$501&gt;=$H130)*($E$2:$E$501&lt;$H129)," ")))</f>
        <v xml:space="preserve"> </v>
      </c>
      <c r="AQ129" t="str" cm="1">
        <f t="array" ref="AQ129">_xlfn.TEXTJOIN(",",TRUE,(_xlfn._xlws.FILTER($A$2:$A$501,($D$2:$D$501&gt;=AR$7)*($D$2:$D$501&lt;AQ$7)*($E$2:$E$501&gt;=$H130)*($E$2:$E$501&lt;$H129)," ")))</f>
        <v xml:space="preserve"> </v>
      </c>
      <c r="AR129" t="str" cm="1">
        <f t="array" ref="AR129">_xlfn.TEXTJOIN(",",TRUE,(_xlfn._xlws.FILTER($A$2:$A$501,($D$2:$D$501&gt;=AS$7)*($D$2:$D$501&lt;AR$7)*($E$2:$E$501&gt;=$H130)*($E$2:$E$501&lt;$H129)," ")))</f>
        <v xml:space="preserve"> </v>
      </c>
      <c r="AS129" t="str" cm="1">
        <f t="array" ref="AS129">_xlfn.TEXTJOIN(",",TRUE,(_xlfn._xlws.FILTER($A$2:$A$501,($D$2:$D$501&gt;=AT$7)*($D$2:$D$501&lt;AS$7)*($E$2:$E$501&gt;=$H130)*($E$2:$E$501&lt;$H129)," ")))</f>
        <v xml:space="preserve"> </v>
      </c>
      <c r="AT129" t="str" cm="1">
        <f t="array" ref="AT129">_xlfn.TEXTJOIN(",",TRUE,(_xlfn._xlws.FILTER($A$2:$A$501,($D$2:$D$501&gt;=AU$7)*($D$2:$D$501&lt;AT$7)*($E$2:$E$501&gt;=$H130)*($E$2:$E$501&lt;$H129)," ")))</f>
        <v xml:space="preserve"> </v>
      </c>
      <c r="AU129" t="str" cm="1">
        <f t="array" ref="AU129">_xlfn.TEXTJOIN(",",TRUE,(_xlfn._xlws.FILTER($A$2:$A$501,($D$2:$D$501&gt;=AV$7)*($D$2:$D$501&lt;AU$7)*($E$2:$E$501&gt;=$H130)*($E$2:$E$501&lt;$H129)," ")))</f>
        <v xml:space="preserve"> </v>
      </c>
      <c r="AV129" t="str" cm="1">
        <f t="array" ref="AV129">_xlfn.TEXTJOIN(",",TRUE,(_xlfn._xlws.FILTER($A$2:$A$501,($D$2:$D$501&gt;=AW$7)*($D$2:$D$501&lt;AV$7)*($E$2:$E$501&gt;=$H130)*($E$2:$E$501&lt;$H129)," ")))</f>
        <v xml:space="preserve"> </v>
      </c>
      <c r="AW129" t="str" cm="1">
        <f t="array" ref="AW129">_xlfn.TEXTJOIN(",",TRUE,(_xlfn._xlws.FILTER($A$2:$A$501,($D$2:$D$501&gt;=AX$7)*($D$2:$D$501&lt;AW$7)*($E$2:$E$501&gt;=$H130)*($E$2:$E$501&lt;$H129)," ")))</f>
        <v xml:space="preserve"> </v>
      </c>
      <c r="AX129" t="str" cm="1">
        <f t="array" ref="AX129">_xlfn.TEXTJOIN(",",TRUE,(_xlfn._xlws.FILTER($A$2:$A$501,($D$2:$D$501&gt;=AY$7)*($D$2:$D$501&lt;AX$7)*($E$2:$E$501&gt;=$H130)*($E$2:$E$501&lt;$H129)," ")))</f>
        <v xml:space="preserve"> </v>
      </c>
      <c r="AY129" t="str" cm="1">
        <f t="array" ref="AY129">_xlfn.TEXTJOIN(",",TRUE,(_xlfn._xlws.FILTER($A$2:$A$501,($D$2:$D$501&gt;=AZ$7)*($D$2:$D$501&lt;AY$7)*($E$2:$E$501&gt;=$H130)*($E$2:$E$501&lt;$H129)," ")))</f>
        <v xml:space="preserve"> </v>
      </c>
      <c r="AZ129" t="str" cm="1">
        <f t="array" ref="AZ129">_xlfn.TEXTJOIN(",",TRUE,(_xlfn._xlws.FILTER($A$2:$A$501,($D$2:$D$501&gt;=BA$7)*($D$2:$D$501&lt;AZ$7)*($E$2:$E$501&gt;=$H130)*($E$2:$E$501&lt;$H129)," ")))</f>
        <v xml:space="preserve"> </v>
      </c>
      <c r="BA129" t="str" cm="1">
        <f t="array" ref="BA129">_xlfn.TEXTJOIN(",",TRUE,(_xlfn._xlws.FILTER($A$2:$A$501,($D$2:$D$501&gt;=BB$7)*($D$2:$D$501&lt;BA$7)*($E$2:$E$501&gt;=$H130)*($E$2:$E$501&lt;$H129)," ")))</f>
        <v xml:space="preserve"> </v>
      </c>
      <c r="BB129" t="str" cm="1">
        <f t="array" ref="BB129">_xlfn.TEXTJOIN(",",TRUE,(_xlfn._xlws.FILTER($A$2:$A$501,($D$2:$D$501&gt;=BC$7)*($D$2:$D$501&lt;BB$7)*($E$2:$E$501&gt;=$H130)*($E$2:$E$501&lt;$H129)," ")))</f>
        <v xml:space="preserve"> </v>
      </c>
    </row>
    <row r="130" spans="1:54" x14ac:dyDescent="0.2">
      <c r="A130" s="3" t="s">
        <v>341</v>
      </c>
      <c r="B130" s="3" t="s">
        <v>342</v>
      </c>
      <c r="C130" s="13">
        <v>1185565.9099999999</v>
      </c>
      <c r="D130" s="15">
        <v>30506930.800000001</v>
      </c>
      <c r="E130" s="22">
        <f>TuitionRates3[[#This Row],[Tuition]]/D130</f>
        <v>3.8862182425771913E-2</v>
      </c>
      <c r="F130"/>
      <c r="H130" s="18">
        <v>2.8000000000000001E-2</v>
      </c>
      <c r="I130" t="str" cm="1">
        <f t="array" ref="I130">_xlfn.TEXTJOIN(",",TRUE,(_xlfn._xlws.FILTER($A$2:$A$501,($D$2:$D$501&gt;=J$7)*($D$2:$D$501&lt;I$7)*($E$2:$E$501&gt;=$H131)*($E$2:$E$501&lt;$H130)," ")))</f>
        <v xml:space="preserve"> </v>
      </c>
      <c r="J130" t="str" cm="1">
        <f t="array" ref="J130">_xlfn.TEXTJOIN(",",TRUE,(_xlfn._xlws.FILTER($A$2:$A$501,($D$2:$D$501&gt;=K$7)*($D$2:$D$501&lt;J$7)*($E$2:$E$501&gt;=$H131)*($E$2:$E$501&lt;$H130)," ")))</f>
        <v xml:space="preserve"> </v>
      </c>
      <c r="K130" t="str" cm="1">
        <f t="array" ref="K130">_xlfn.TEXTJOIN(",",TRUE,(_xlfn._xlws.FILTER($A$2:$A$501,($D$2:$D$501&gt;=L$7)*($D$2:$D$501&lt;K$7)*($E$2:$E$501&gt;=$H131)*($E$2:$E$501&lt;$H130)," ")))</f>
        <v xml:space="preserve"> </v>
      </c>
      <c r="L130" t="str" cm="1">
        <f t="array" ref="L130">_xlfn.TEXTJOIN(",",TRUE,(_xlfn._xlws.FILTER($A$2:$A$501,($D$2:$D$501&gt;=M$7)*($D$2:$D$501&lt;L$7)*($E$2:$E$501&gt;=$H131)*($E$2:$E$501&lt;$H130)," ")))</f>
        <v xml:space="preserve"> </v>
      </c>
      <c r="M130" t="str" cm="1">
        <f t="array" ref="M130">_xlfn.TEXTJOIN(",",TRUE,(_xlfn._xlws.FILTER($A$2:$A$501,($D$2:$D$501&gt;=N$7)*($D$2:$D$501&lt;M$7)*($E$2:$E$501&gt;=$H131)*($E$2:$E$501&lt;$H130)," ")))</f>
        <v xml:space="preserve"> </v>
      </c>
      <c r="N130" t="str" cm="1">
        <f t="array" ref="N130">_xlfn.TEXTJOIN(",",TRUE,(_xlfn._xlws.FILTER($A$2:$A$501,($D$2:$D$501&gt;=O$7)*($D$2:$D$501&lt;N$7)*($E$2:$E$501&gt;=$H131)*($E$2:$E$501&lt;$H130)," ")))</f>
        <v xml:space="preserve"> </v>
      </c>
      <c r="O130" t="str" cm="1">
        <f t="array" ref="O130">_xlfn.TEXTJOIN(",",TRUE,(_xlfn._xlws.FILTER($A$2:$A$501,($D$2:$D$501&gt;=P$7)*($D$2:$D$501&lt;O$7)*($E$2:$E$501&gt;=$H131)*($E$2:$E$501&lt;$H130)," ")))</f>
        <v xml:space="preserve"> </v>
      </c>
      <c r="P130" t="str" cm="1">
        <f t="array" ref="P130">_xlfn.TEXTJOIN(",",TRUE,(_xlfn._xlws.FILTER($A$2:$A$501,($D$2:$D$501&gt;=Q$7)*($D$2:$D$501&lt;P$7)*($E$2:$E$501&gt;=$H131)*($E$2:$E$501&lt;$H130)," ")))</f>
        <v xml:space="preserve"> </v>
      </c>
      <c r="Q130" t="str" cm="1">
        <f t="array" ref="Q130">_xlfn.TEXTJOIN(",",TRUE,(_xlfn._xlws.FILTER($A$2:$A$501,($D$2:$D$501&gt;=R$7)*($D$2:$D$501&lt;Q$7)*($E$2:$E$501&gt;=$H131)*($E$2:$E$501&lt;$H130)," ")))</f>
        <v xml:space="preserve"> </v>
      </c>
      <c r="R130" t="str" cm="1">
        <f t="array" ref="R130">_xlfn.TEXTJOIN(",",TRUE,(_xlfn._xlws.FILTER($A$2:$A$501,($D$2:$D$501&gt;=S$7)*($D$2:$D$501&lt;R$7)*($E$2:$E$501&gt;=$H131)*($E$2:$E$501&lt;$H130)," ")))</f>
        <v xml:space="preserve"> </v>
      </c>
      <c r="S130" t="str" cm="1">
        <f t="array" ref="S130">_xlfn.TEXTJOIN(",",TRUE,(_xlfn._xlws.FILTER($A$2:$A$501,($D$2:$D$501&gt;=T$7)*($D$2:$D$501&lt;S$7)*($E$2:$E$501&gt;=$H131)*($E$2:$E$501&lt;$H130)," ")))</f>
        <v xml:space="preserve"> </v>
      </c>
      <c r="T130" t="str" cm="1">
        <f t="array" ref="T130">_xlfn.TEXTJOIN(",",TRUE,(_xlfn._xlws.FILTER($A$2:$A$501,($D$2:$D$501&gt;=U$7)*($D$2:$D$501&lt;T$7)*($E$2:$E$501&gt;=$H131)*($E$2:$E$501&lt;$H130)," ")))</f>
        <v>Easton Area SD</v>
      </c>
      <c r="U130" t="str" cm="1">
        <f t="array" ref="U130">_xlfn.TEXTJOIN(",",TRUE,(_xlfn._xlws.FILTER($A$2:$A$501,($D$2:$D$501&gt;=V$7)*($D$2:$D$501&lt;U$7)*($E$2:$E$501&gt;=$H131)*($E$2:$E$501&lt;$H130)," ")))</f>
        <v xml:space="preserve"> </v>
      </c>
      <c r="V130" t="str" cm="1">
        <f t="array" ref="V130">_xlfn.TEXTJOIN(",",TRUE,(_xlfn._xlws.FILTER($A$2:$A$501,($D$2:$D$501&gt;=W$7)*($D$2:$D$501&lt;V$7)*($E$2:$E$501&gt;=$H131)*($E$2:$E$501&lt;$H130)," ")))</f>
        <v xml:space="preserve"> </v>
      </c>
      <c r="W130" t="str" cm="1">
        <f t="array" ref="W130">_xlfn.TEXTJOIN(",",TRUE,(_xlfn._xlws.FILTER($A$2:$A$501,($D$2:$D$501&gt;=X$7)*($D$2:$D$501&lt;W$7)*($E$2:$E$501&gt;=$H131)*($E$2:$E$501&lt;$H130)," ")))</f>
        <v>Oxford Area SD,Connellsville Area SD</v>
      </c>
      <c r="X130" t="str" cm="1">
        <f t="array" ref="X130">_xlfn.TEXTJOIN(",",TRUE,(_xlfn._xlws.FILTER($A$2:$A$501,($D$2:$D$501&gt;=Y$7)*($D$2:$D$501&lt;X$7)*($E$2:$E$501&gt;=$H131)*($E$2:$E$501&lt;$H130)," ")))</f>
        <v xml:space="preserve"> </v>
      </c>
      <c r="Y130" t="str" cm="1">
        <f t="array" ref="Y130">_xlfn.TEXTJOIN(",",TRUE,(_xlfn._xlws.FILTER($A$2:$A$501,($D$2:$D$501&gt;=Z$7)*($D$2:$D$501&lt;Y$7)*($E$2:$E$501&gt;=$H131)*($E$2:$E$501&lt;$H130)," ")))</f>
        <v>Manheim Central SD,Penncrest SD</v>
      </c>
      <c r="Z130" t="str" cm="1">
        <f t="array" ref="Z130">_xlfn.TEXTJOIN(",",TRUE,(_xlfn._xlws.FILTER($A$2:$A$501,($D$2:$D$501&gt;=AA$7)*($D$2:$D$501&lt;Z$7)*($E$2:$E$501&gt;=$H131)*($E$2:$E$501&lt;$H130)," ")))</f>
        <v xml:space="preserve"> </v>
      </c>
      <c r="AA130" t="str" cm="1">
        <f t="array" ref="AA130">_xlfn.TEXTJOIN(",",TRUE,(_xlfn._xlws.FILTER($A$2:$A$501,($D$2:$D$501&gt;=AB$7)*($D$2:$D$501&lt;AA$7)*($E$2:$E$501&gt;=$H131)*($E$2:$E$501&lt;$H130)," ")))</f>
        <v>Hopewell Area SD</v>
      </c>
      <c r="AB130" t="str" cm="1">
        <f t="array" ref="AB130">_xlfn.TEXTJOIN(",",TRUE,(_xlfn._xlws.FILTER($A$2:$A$501,($D$2:$D$501&gt;=AC$7)*($D$2:$D$501&lt;AB$7)*($E$2:$E$501&gt;=$H131)*($E$2:$E$501&lt;$H130)," ")))</f>
        <v>Ellwood City Area SD</v>
      </c>
      <c r="AC130" t="str" cm="1">
        <f t="array" ref="AC130">_xlfn.TEXTJOIN(",",TRUE,(_xlfn._xlws.FILTER($A$2:$A$501,($D$2:$D$501&gt;=AD$7)*($D$2:$D$501&lt;AC$7)*($E$2:$E$501&gt;=$H131)*($E$2:$E$501&lt;$H130)," ")))</f>
        <v>Wyalusing Area SD,Everett Area SD,Chartiers-Houston SD,North East SD</v>
      </c>
      <c r="AD130" t="str" cm="1">
        <f t="array" ref="AD130">_xlfn.TEXTJOIN(",",TRUE,(_xlfn._xlws.FILTER($A$2:$A$501,($D$2:$D$501&gt;=AE$7)*($D$2:$D$501&lt;AD$7)*($E$2:$E$501&gt;=$H131)*($E$2:$E$501&lt;$H130)," ")))</f>
        <v>Portage Area SD</v>
      </c>
      <c r="AE130" t="str" cm="1">
        <f t="array" ref="AE130">_xlfn.TEXTJOIN(",",TRUE,(_xlfn._xlws.FILTER($A$2:$A$501,($D$2:$D$501&gt;=AF$7)*($D$2:$D$501&lt;AE$7)*($E$2:$E$501&gt;=$H131)*($E$2:$E$501&lt;$H130)," ")))</f>
        <v xml:space="preserve"> </v>
      </c>
      <c r="AF130" t="str" cm="1">
        <f t="array" ref="AF130">_xlfn.TEXTJOIN(",",TRUE,(_xlfn._xlws.FILTER($A$2:$A$501,($D$2:$D$501&gt;=AG$7)*($D$2:$D$501&lt;AF$7)*($E$2:$E$501&gt;=$H131)*($E$2:$E$501&lt;$H130)," ")))</f>
        <v xml:space="preserve"> </v>
      </c>
      <c r="AG130" t="str" cm="1">
        <f t="array" ref="AG130">_xlfn.TEXTJOIN(",",TRUE,(_xlfn._xlws.FILTER($A$2:$A$501,($D$2:$D$501&gt;=AH$7)*($D$2:$D$501&lt;AG$7)*($E$2:$E$501&gt;=$H131)*($E$2:$E$501&lt;$H130)," ")))</f>
        <v xml:space="preserve"> </v>
      </c>
      <c r="AH130" t="str" cm="1">
        <f t="array" ref="AH130">_xlfn.TEXTJOIN(",",TRUE,(_xlfn._xlws.FILTER($A$2:$A$501,($D$2:$D$501&gt;=AI$7)*($D$2:$D$501&lt;AH$7)*($E$2:$E$501&gt;=$H131)*($E$2:$E$501&lt;$H130)," ")))</f>
        <v xml:space="preserve"> </v>
      </c>
      <c r="AI130" t="str" cm="1">
        <f t="array" ref="AI130">_xlfn.TEXTJOIN(",",TRUE,(_xlfn._xlws.FILTER($A$2:$A$501,($D$2:$D$501&gt;=AJ$7)*($D$2:$D$501&lt;AI$7)*($E$2:$E$501&gt;=$H131)*($E$2:$E$501&lt;$H130)," ")))</f>
        <v xml:space="preserve"> </v>
      </c>
      <c r="AJ130" t="str" cm="1">
        <f t="array" ref="AJ130">_xlfn.TEXTJOIN(",",TRUE,(_xlfn._xlws.FILTER($A$2:$A$501,($D$2:$D$501&gt;=AK$7)*($D$2:$D$501&lt;AJ$7)*($E$2:$E$501&gt;=$H131)*($E$2:$E$501&lt;$H130)," ")))</f>
        <v xml:space="preserve"> </v>
      </c>
      <c r="AK130" t="str" cm="1">
        <f t="array" ref="AK130">_xlfn.TEXTJOIN(",",TRUE,(_xlfn._xlws.FILTER($A$2:$A$501,($D$2:$D$501&gt;=AL$7)*($D$2:$D$501&lt;AK$7)*($E$2:$E$501&gt;=$H131)*($E$2:$E$501&lt;$H130)," ")))</f>
        <v xml:space="preserve"> </v>
      </c>
      <c r="AL130" t="str" cm="1">
        <f t="array" ref="AL130">_xlfn.TEXTJOIN(",",TRUE,(_xlfn._xlws.FILTER($A$2:$A$501,($D$2:$D$501&gt;=AM$7)*($D$2:$D$501&lt;AL$7)*($E$2:$E$501&gt;=$H131)*($E$2:$E$501&lt;$H130)," ")))</f>
        <v xml:space="preserve"> </v>
      </c>
      <c r="AM130" t="str" cm="1">
        <f t="array" ref="AM130">_xlfn.TEXTJOIN(",",TRUE,(_xlfn._xlws.FILTER($A$2:$A$501,($D$2:$D$501&gt;=AN$7)*($D$2:$D$501&lt;AM$7)*($E$2:$E$501&gt;=$H131)*($E$2:$E$501&lt;$H130)," ")))</f>
        <v xml:space="preserve"> </v>
      </c>
      <c r="AN130" t="str" cm="1">
        <f t="array" ref="AN130">_xlfn.TEXTJOIN(",",TRUE,(_xlfn._xlws.FILTER($A$2:$A$501,($D$2:$D$501&gt;=AO$7)*($D$2:$D$501&lt;AN$7)*($E$2:$E$501&gt;=$H131)*($E$2:$E$501&lt;$H130)," ")))</f>
        <v xml:space="preserve"> </v>
      </c>
      <c r="AO130" t="str" cm="1">
        <f t="array" ref="AO130">_xlfn.TEXTJOIN(",",TRUE,(_xlfn._xlws.FILTER($A$2:$A$501,($D$2:$D$501&gt;=AP$7)*($D$2:$D$501&lt;AO$7)*($E$2:$E$501&gt;=$H131)*($E$2:$E$501&lt;$H130)," ")))</f>
        <v xml:space="preserve"> </v>
      </c>
      <c r="AP130" t="str" cm="1">
        <f t="array" ref="AP130">_xlfn.TEXTJOIN(",",TRUE,(_xlfn._xlws.FILTER($A$2:$A$501,($D$2:$D$501&gt;=AQ$7)*($D$2:$D$501&lt;AP$7)*($E$2:$E$501&gt;=$H131)*($E$2:$E$501&lt;$H130)," ")))</f>
        <v xml:space="preserve"> </v>
      </c>
      <c r="AQ130" t="str" cm="1">
        <f t="array" ref="AQ130">_xlfn.TEXTJOIN(",",TRUE,(_xlfn._xlws.FILTER($A$2:$A$501,($D$2:$D$501&gt;=AR$7)*($D$2:$D$501&lt;AQ$7)*($E$2:$E$501&gt;=$H131)*($E$2:$E$501&lt;$H130)," ")))</f>
        <v xml:space="preserve"> </v>
      </c>
      <c r="AR130" t="str" cm="1">
        <f t="array" ref="AR130">_xlfn.TEXTJOIN(",",TRUE,(_xlfn._xlws.FILTER($A$2:$A$501,($D$2:$D$501&gt;=AS$7)*($D$2:$D$501&lt;AR$7)*($E$2:$E$501&gt;=$H131)*($E$2:$E$501&lt;$H130)," ")))</f>
        <v xml:space="preserve"> </v>
      </c>
      <c r="AS130" t="str" cm="1">
        <f t="array" ref="AS130">_xlfn.TEXTJOIN(",",TRUE,(_xlfn._xlws.FILTER($A$2:$A$501,($D$2:$D$501&gt;=AT$7)*($D$2:$D$501&lt;AS$7)*($E$2:$E$501&gt;=$H131)*($E$2:$E$501&lt;$H130)," ")))</f>
        <v xml:space="preserve"> </v>
      </c>
      <c r="AT130" t="str" cm="1">
        <f t="array" ref="AT130">_xlfn.TEXTJOIN(",",TRUE,(_xlfn._xlws.FILTER($A$2:$A$501,($D$2:$D$501&gt;=AU$7)*($D$2:$D$501&lt;AT$7)*($E$2:$E$501&gt;=$H131)*($E$2:$E$501&lt;$H130)," ")))</f>
        <v xml:space="preserve"> </v>
      </c>
      <c r="AU130" t="str" cm="1">
        <f t="array" ref="AU130">_xlfn.TEXTJOIN(",",TRUE,(_xlfn._xlws.FILTER($A$2:$A$501,($D$2:$D$501&gt;=AV$7)*($D$2:$D$501&lt;AU$7)*($E$2:$E$501&gt;=$H131)*($E$2:$E$501&lt;$H130)," ")))</f>
        <v xml:space="preserve"> </v>
      </c>
      <c r="AV130" t="str" cm="1">
        <f t="array" ref="AV130">_xlfn.TEXTJOIN(",",TRUE,(_xlfn._xlws.FILTER($A$2:$A$501,($D$2:$D$501&gt;=AW$7)*($D$2:$D$501&lt;AV$7)*($E$2:$E$501&gt;=$H131)*($E$2:$E$501&lt;$H130)," ")))</f>
        <v xml:space="preserve"> </v>
      </c>
      <c r="AW130" t="str" cm="1">
        <f t="array" ref="AW130">_xlfn.TEXTJOIN(",",TRUE,(_xlfn._xlws.FILTER($A$2:$A$501,($D$2:$D$501&gt;=AX$7)*($D$2:$D$501&lt;AW$7)*($E$2:$E$501&gt;=$H131)*($E$2:$E$501&lt;$H130)," ")))</f>
        <v xml:space="preserve"> </v>
      </c>
      <c r="AX130" t="str" cm="1">
        <f t="array" ref="AX130">_xlfn.TEXTJOIN(",",TRUE,(_xlfn._xlws.FILTER($A$2:$A$501,($D$2:$D$501&gt;=AY$7)*($D$2:$D$501&lt;AX$7)*($E$2:$E$501&gt;=$H131)*($E$2:$E$501&lt;$H130)," ")))</f>
        <v xml:space="preserve"> </v>
      </c>
      <c r="AY130" t="str" cm="1">
        <f t="array" ref="AY130">_xlfn.TEXTJOIN(",",TRUE,(_xlfn._xlws.FILTER($A$2:$A$501,($D$2:$D$501&gt;=AZ$7)*($D$2:$D$501&lt;AY$7)*($E$2:$E$501&gt;=$H131)*($E$2:$E$501&lt;$H130)," ")))</f>
        <v xml:space="preserve"> </v>
      </c>
      <c r="AZ130" t="str" cm="1">
        <f t="array" ref="AZ130">_xlfn.TEXTJOIN(",",TRUE,(_xlfn._xlws.FILTER($A$2:$A$501,($D$2:$D$501&gt;=BA$7)*($D$2:$D$501&lt;AZ$7)*($E$2:$E$501&gt;=$H131)*($E$2:$E$501&lt;$H130)," ")))</f>
        <v xml:space="preserve"> </v>
      </c>
      <c r="BA130" t="str" cm="1">
        <f t="array" ref="BA130">_xlfn.TEXTJOIN(",",TRUE,(_xlfn._xlws.FILTER($A$2:$A$501,($D$2:$D$501&gt;=BB$7)*($D$2:$D$501&lt;BA$7)*($E$2:$E$501&gt;=$H131)*($E$2:$E$501&lt;$H130)," ")))</f>
        <v xml:space="preserve"> </v>
      </c>
      <c r="BB130" t="str" cm="1">
        <f t="array" ref="BB130">_xlfn.TEXTJOIN(",",TRUE,(_xlfn._xlws.FILTER($A$2:$A$501,($D$2:$D$501&gt;=BC$7)*($D$2:$D$501&lt;BB$7)*($E$2:$E$501&gt;=$H131)*($E$2:$E$501&lt;$H130)," ")))</f>
        <v xml:space="preserve"> </v>
      </c>
    </row>
    <row r="131" spans="1:54" x14ac:dyDescent="0.2">
      <c r="A131" s="3" t="s">
        <v>213</v>
      </c>
      <c r="B131" s="3" t="s">
        <v>207</v>
      </c>
      <c r="C131" s="13">
        <v>2490087.29</v>
      </c>
      <c r="D131" s="15">
        <v>64380111.82</v>
      </c>
      <c r="E131" s="22">
        <f>TuitionRates3[[#This Row],[Tuition]]/D131</f>
        <v>3.8677896319317083E-2</v>
      </c>
      <c r="F131"/>
      <c r="H131" s="18">
        <v>2.7E-2</v>
      </c>
      <c r="I131" t="str" cm="1">
        <f t="array" ref="I131">_xlfn.TEXTJOIN(",",TRUE,(_xlfn._xlws.FILTER($A$2:$A$501,($D$2:$D$501&gt;=J$7)*($D$2:$D$501&lt;I$7)*($E$2:$E$501&gt;=$H132)*($E$2:$E$501&lt;$H131)," ")))</f>
        <v xml:space="preserve"> </v>
      </c>
      <c r="J131" t="str" cm="1">
        <f t="array" ref="J131">_xlfn.TEXTJOIN(",",TRUE,(_xlfn._xlws.FILTER($A$2:$A$501,($D$2:$D$501&gt;=K$7)*($D$2:$D$501&lt;J$7)*($E$2:$E$501&gt;=$H132)*($E$2:$E$501&lt;$H131)," ")))</f>
        <v xml:space="preserve"> </v>
      </c>
      <c r="K131" t="str" cm="1">
        <f t="array" ref="K131">_xlfn.TEXTJOIN(",",TRUE,(_xlfn._xlws.FILTER($A$2:$A$501,($D$2:$D$501&gt;=L$7)*($D$2:$D$501&lt;K$7)*($E$2:$E$501&gt;=$H132)*($E$2:$E$501&lt;$H131)," ")))</f>
        <v xml:space="preserve"> </v>
      </c>
      <c r="L131" t="str" cm="1">
        <f t="array" ref="L131">_xlfn.TEXTJOIN(",",TRUE,(_xlfn._xlws.FILTER($A$2:$A$501,($D$2:$D$501&gt;=M$7)*($D$2:$D$501&lt;L$7)*($E$2:$E$501&gt;=$H132)*($E$2:$E$501&lt;$H131)," ")))</f>
        <v xml:space="preserve"> </v>
      </c>
      <c r="M131" t="str" cm="1">
        <f t="array" ref="M131">_xlfn.TEXTJOIN(",",TRUE,(_xlfn._xlws.FILTER($A$2:$A$501,($D$2:$D$501&gt;=N$7)*($D$2:$D$501&lt;M$7)*($E$2:$E$501&gt;=$H132)*($E$2:$E$501&lt;$H131)," ")))</f>
        <v xml:space="preserve"> </v>
      </c>
      <c r="N131" t="str" cm="1">
        <f t="array" ref="N131">_xlfn.TEXTJOIN(",",TRUE,(_xlfn._xlws.FILTER($A$2:$A$501,($D$2:$D$501&gt;=O$7)*($D$2:$D$501&lt;N$7)*($E$2:$E$501&gt;=$H132)*($E$2:$E$501&lt;$H131)," ")))</f>
        <v xml:space="preserve"> </v>
      </c>
      <c r="O131" t="str" cm="1">
        <f t="array" ref="O131">_xlfn.TEXTJOIN(",",TRUE,(_xlfn._xlws.FILTER($A$2:$A$501,($D$2:$D$501&gt;=P$7)*($D$2:$D$501&lt;O$7)*($E$2:$E$501&gt;=$H132)*($E$2:$E$501&lt;$H131)," ")))</f>
        <v xml:space="preserve"> </v>
      </c>
      <c r="P131" t="str" cm="1">
        <f t="array" ref="P131">_xlfn.TEXTJOIN(",",TRUE,(_xlfn._xlws.FILTER($A$2:$A$501,($D$2:$D$501&gt;=Q$7)*($D$2:$D$501&lt;P$7)*($E$2:$E$501&gt;=$H132)*($E$2:$E$501&lt;$H131)," ")))</f>
        <v xml:space="preserve"> </v>
      </c>
      <c r="Q131" t="str" cm="1">
        <f t="array" ref="Q131">_xlfn.TEXTJOIN(",",TRUE,(_xlfn._xlws.FILTER($A$2:$A$501,($D$2:$D$501&gt;=R$7)*($D$2:$D$501&lt;Q$7)*($E$2:$E$501&gt;=$H132)*($E$2:$E$501&lt;$H131)," ")))</f>
        <v xml:space="preserve"> </v>
      </c>
      <c r="R131" t="str" cm="1">
        <f t="array" ref="R131">_xlfn.TEXTJOIN(",",TRUE,(_xlfn._xlws.FILTER($A$2:$A$501,($D$2:$D$501&gt;=S$7)*($D$2:$D$501&lt;R$7)*($E$2:$E$501&gt;=$H132)*($E$2:$E$501&lt;$H131)," ")))</f>
        <v xml:space="preserve"> </v>
      </c>
      <c r="S131" t="str" cm="1">
        <f t="array" ref="S131">_xlfn.TEXTJOIN(",",TRUE,(_xlfn._xlws.FILTER($A$2:$A$501,($D$2:$D$501&gt;=T$7)*($D$2:$D$501&lt;S$7)*($E$2:$E$501&gt;=$H132)*($E$2:$E$501&lt;$H131)," ")))</f>
        <v xml:space="preserve"> </v>
      </c>
      <c r="T131" t="str" cm="1">
        <f t="array" ref="T131">_xlfn.TEXTJOIN(",",TRUE,(_xlfn._xlws.FILTER($A$2:$A$501,($D$2:$D$501&gt;=U$7)*($D$2:$D$501&lt;T$7)*($E$2:$E$501&gt;=$H132)*($E$2:$E$501&lt;$H131)," ")))</f>
        <v xml:space="preserve"> </v>
      </c>
      <c r="U131" t="str" cm="1">
        <f t="array" ref="U131">_xlfn.TEXTJOIN(",",TRUE,(_xlfn._xlws.FILTER($A$2:$A$501,($D$2:$D$501&gt;=V$7)*($D$2:$D$501&lt;U$7)*($E$2:$E$501&gt;=$H132)*($E$2:$E$501&lt;$H131)," ")))</f>
        <v>Canon-McMillan SD,Armstrong SD</v>
      </c>
      <c r="V131" t="str" cm="1">
        <f t="array" ref="V131">_xlfn.TEXTJOIN(",",TRUE,(_xlfn._xlws.FILTER($A$2:$A$501,($D$2:$D$501&gt;=W$7)*($D$2:$D$501&lt;V$7)*($E$2:$E$501&gt;=$H132)*($E$2:$E$501&lt;$H131)," ")))</f>
        <v xml:space="preserve"> </v>
      </c>
      <c r="W131" t="str" cm="1">
        <f t="array" ref="W131">_xlfn.TEXTJOIN(",",TRUE,(_xlfn._xlws.FILTER($A$2:$A$501,($D$2:$D$501&gt;=X$7)*($D$2:$D$501&lt;W$7)*($E$2:$E$501&gt;=$H132)*($E$2:$E$501&lt;$H131)," ")))</f>
        <v>South Western SD</v>
      </c>
      <c r="X131" t="str" cm="1">
        <f t="array" ref="X131">_xlfn.TEXTJOIN(",",TRUE,(_xlfn._xlws.FILTER($A$2:$A$501,($D$2:$D$501&gt;=Y$7)*($D$2:$D$501&lt;X$7)*($E$2:$E$501&gt;=$H132)*($E$2:$E$501&lt;$H131)," ")))</f>
        <v>Elizabethtown Area SD</v>
      </c>
      <c r="Y131" t="str" cm="1">
        <f t="array" ref="Y131">_xlfn.TEXTJOIN(",",TRUE,(_xlfn._xlws.FILTER($A$2:$A$501,($D$2:$D$501&gt;=Z$7)*($D$2:$D$501&lt;Y$7)*($E$2:$E$501&gt;=$H132)*($E$2:$E$501&lt;$H131)," ")))</f>
        <v xml:space="preserve"> </v>
      </c>
      <c r="Z131" t="str" cm="1">
        <f t="array" ref="Z131">_xlfn.TEXTJOIN(",",TRUE,(_xlfn._xlws.FILTER($A$2:$A$501,($D$2:$D$501&gt;=AA$7)*($D$2:$D$501&lt;Z$7)*($E$2:$E$501&gt;=$H132)*($E$2:$E$501&lt;$H131)," ")))</f>
        <v>Eastern Lebanon County SD</v>
      </c>
      <c r="AA131" t="str" cm="1">
        <f t="array" ref="AA131">_xlfn.TEXTJOIN(",",TRUE,(_xlfn._xlws.FILTER($A$2:$A$501,($D$2:$D$501&gt;=AB$7)*($D$2:$D$501&lt;AA$7)*($E$2:$E$501&gt;=$H132)*($E$2:$E$501&lt;$H131)," ")))</f>
        <v>Ambridge Area SD</v>
      </c>
      <c r="AB131" t="str" cm="1">
        <f t="array" ref="AB131">_xlfn.TEXTJOIN(",",TRUE,(_xlfn._xlws.FILTER($A$2:$A$501,($D$2:$D$501&gt;=AC$7)*($D$2:$D$501&lt;AB$7)*($E$2:$E$501&gt;=$H132)*($E$2:$E$501&lt;$H131)," ")))</f>
        <v>Marion Center Area SD,Huntingdon Area SD,Penns Valley Area SD</v>
      </c>
      <c r="AC131" t="str" cm="1">
        <f t="array" ref="AC131">_xlfn.TEXTJOIN(",",TRUE,(_xlfn._xlws.FILTER($A$2:$A$501,($D$2:$D$501&gt;=AD$7)*($D$2:$D$501&lt;AC$7)*($E$2:$E$501&gt;=$H132)*($E$2:$E$501&lt;$H131)," ")))</f>
        <v>East Lycoming SD,Duquesne City SD,Moniteau SD,Wilmington Area SD,Kane Area SD</v>
      </c>
      <c r="AD131" t="str" cm="1">
        <f t="array" ref="AD131">_xlfn.TEXTJOIN(",",TRUE,(_xlfn._xlws.FILTER($A$2:$A$501,($D$2:$D$501&gt;=AE$7)*($D$2:$D$501&lt;AD$7)*($E$2:$E$501&gt;=$H132)*($E$2:$E$501&lt;$H131)," ")))</f>
        <v>Union Area SD,Canton Area SD</v>
      </c>
      <c r="AE131" t="str" cm="1">
        <f t="array" ref="AE131">_xlfn.TEXTJOIN(",",TRUE,(_xlfn._xlws.FILTER($A$2:$A$501,($D$2:$D$501&gt;=AF$7)*($D$2:$D$501&lt;AE$7)*($E$2:$E$501&gt;=$H132)*($E$2:$E$501&lt;$H131)," ")))</f>
        <v xml:space="preserve"> </v>
      </c>
      <c r="AF131" t="str" cm="1">
        <f t="array" ref="AF131">_xlfn.TEXTJOIN(",",TRUE,(_xlfn._xlws.FILTER($A$2:$A$501,($D$2:$D$501&gt;=AG$7)*($D$2:$D$501&lt;AF$7)*($E$2:$E$501&gt;=$H132)*($E$2:$E$501&lt;$H131)," ")))</f>
        <v xml:space="preserve"> </v>
      </c>
      <c r="AG131" t="str" cm="1">
        <f t="array" ref="AG131">_xlfn.TEXTJOIN(",",TRUE,(_xlfn._xlws.FILTER($A$2:$A$501,($D$2:$D$501&gt;=AH$7)*($D$2:$D$501&lt;AG$7)*($E$2:$E$501&gt;=$H132)*($E$2:$E$501&lt;$H131)," ")))</f>
        <v xml:space="preserve"> </v>
      </c>
      <c r="AH131" t="str" cm="1">
        <f t="array" ref="AH131">_xlfn.TEXTJOIN(",",TRUE,(_xlfn._xlws.FILTER($A$2:$A$501,($D$2:$D$501&gt;=AI$7)*($D$2:$D$501&lt;AH$7)*($E$2:$E$501&gt;=$H132)*($E$2:$E$501&lt;$H131)," ")))</f>
        <v xml:space="preserve"> </v>
      </c>
      <c r="AI131" t="str" cm="1">
        <f t="array" ref="AI131">_xlfn.TEXTJOIN(",",TRUE,(_xlfn._xlws.FILTER($A$2:$A$501,($D$2:$D$501&gt;=AJ$7)*($D$2:$D$501&lt;AI$7)*($E$2:$E$501&gt;=$H132)*($E$2:$E$501&lt;$H131)," ")))</f>
        <v xml:space="preserve"> </v>
      </c>
      <c r="AJ131" t="str" cm="1">
        <f t="array" ref="AJ131">_xlfn.TEXTJOIN(",",TRUE,(_xlfn._xlws.FILTER($A$2:$A$501,($D$2:$D$501&gt;=AK$7)*($D$2:$D$501&lt;AJ$7)*($E$2:$E$501&gt;=$H132)*($E$2:$E$501&lt;$H131)," ")))</f>
        <v xml:space="preserve"> </v>
      </c>
      <c r="AK131" t="str" cm="1">
        <f t="array" ref="AK131">_xlfn.TEXTJOIN(",",TRUE,(_xlfn._xlws.FILTER($A$2:$A$501,($D$2:$D$501&gt;=AL$7)*($D$2:$D$501&lt;AK$7)*($E$2:$E$501&gt;=$H132)*($E$2:$E$501&lt;$H131)," ")))</f>
        <v xml:space="preserve"> </v>
      </c>
      <c r="AL131" t="str" cm="1">
        <f t="array" ref="AL131">_xlfn.TEXTJOIN(",",TRUE,(_xlfn._xlws.FILTER($A$2:$A$501,($D$2:$D$501&gt;=AM$7)*($D$2:$D$501&lt;AL$7)*($E$2:$E$501&gt;=$H132)*($E$2:$E$501&lt;$H131)," ")))</f>
        <v xml:space="preserve"> </v>
      </c>
      <c r="AM131" t="str" cm="1">
        <f t="array" ref="AM131">_xlfn.TEXTJOIN(",",TRUE,(_xlfn._xlws.FILTER($A$2:$A$501,($D$2:$D$501&gt;=AN$7)*($D$2:$D$501&lt;AM$7)*($E$2:$E$501&gt;=$H132)*($E$2:$E$501&lt;$H131)," ")))</f>
        <v xml:space="preserve"> </v>
      </c>
      <c r="AN131" t="str" cm="1">
        <f t="array" ref="AN131">_xlfn.TEXTJOIN(",",TRUE,(_xlfn._xlws.FILTER($A$2:$A$501,($D$2:$D$501&gt;=AO$7)*($D$2:$D$501&lt;AN$7)*($E$2:$E$501&gt;=$H132)*($E$2:$E$501&lt;$H131)," ")))</f>
        <v xml:space="preserve"> </v>
      </c>
      <c r="AO131" t="str" cm="1">
        <f t="array" ref="AO131">_xlfn.TEXTJOIN(",",TRUE,(_xlfn._xlws.FILTER($A$2:$A$501,($D$2:$D$501&gt;=AP$7)*($D$2:$D$501&lt;AO$7)*($E$2:$E$501&gt;=$H132)*($E$2:$E$501&lt;$H131)," ")))</f>
        <v xml:space="preserve"> </v>
      </c>
      <c r="AP131" t="str" cm="1">
        <f t="array" ref="AP131">_xlfn.TEXTJOIN(",",TRUE,(_xlfn._xlws.FILTER($A$2:$A$501,($D$2:$D$501&gt;=AQ$7)*($D$2:$D$501&lt;AP$7)*($E$2:$E$501&gt;=$H132)*($E$2:$E$501&lt;$H131)," ")))</f>
        <v xml:space="preserve"> </v>
      </c>
      <c r="AQ131" t="str" cm="1">
        <f t="array" ref="AQ131">_xlfn.TEXTJOIN(",",TRUE,(_xlfn._xlws.FILTER($A$2:$A$501,($D$2:$D$501&gt;=AR$7)*($D$2:$D$501&lt;AQ$7)*($E$2:$E$501&gt;=$H132)*($E$2:$E$501&lt;$H131)," ")))</f>
        <v xml:space="preserve"> </v>
      </c>
      <c r="AR131" t="str" cm="1">
        <f t="array" ref="AR131">_xlfn.TEXTJOIN(",",TRUE,(_xlfn._xlws.FILTER($A$2:$A$501,($D$2:$D$501&gt;=AS$7)*($D$2:$D$501&lt;AR$7)*($E$2:$E$501&gt;=$H132)*($E$2:$E$501&lt;$H131)," ")))</f>
        <v xml:space="preserve"> </v>
      </c>
      <c r="AS131" t="str" cm="1">
        <f t="array" ref="AS131">_xlfn.TEXTJOIN(",",TRUE,(_xlfn._xlws.FILTER($A$2:$A$501,($D$2:$D$501&gt;=AT$7)*($D$2:$D$501&lt;AS$7)*($E$2:$E$501&gt;=$H132)*($E$2:$E$501&lt;$H131)," ")))</f>
        <v xml:space="preserve"> </v>
      </c>
      <c r="AT131" t="str" cm="1">
        <f t="array" ref="AT131">_xlfn.TEXTJOIN(",",TRUE,(_xlfn._xlws.FILTER($A$2:$A$501,($D$2:$D$501&gt;=AU$7)*($D$2:$D$501&lt;AT$7)*($E$2:$E$501&gt;=$H132)*($E$2:$E$501&lt;$H131)," ")))</f>
        <v xml:space="preserve"> </v>
      </c>
      <c r="AU131" t="str" cm="1">
        <f t="array" ref="AU131">_xlfn.TEXTJOIN(",",TRUE,(_xlfn._xlws.FILTER($A$2:$A$501,($D$2:$D$501&gt;=AV$7)*($D$2:$D$501&lt;AU$7)*($E$2:$E$501&gt;=$H132)*($E$2:$E$501&lt;$H131)," ")))</f>
        <v xml:space="preserve"> </v>
      </c>
      <c r="AV131" t="str" cm="1">
        <f t="array" ref="AV131">_xlfn.TEXTJOIN(",",TRUE,(_xlfn._xlws.FILTER($A$2:$A$501,($D$2:$D$501&gt;=AW$7)*($D$2:$D$501&lt;AV$7)*($E$2:$E$501&gt;=$H132)*($E$2:$E$501&lt;$H131)," ")))</f>
        <v xml:space="preserve"> </v>
      </c>
      <c r="AW131" t="str" cm="1">
        <f t="array" ref="AW131">_xlfn.TEXTJOIN(",",TRUE,(_xlfn._xlws.FILTER($A$2:$A$501,($D$2:$D$501&gt;=AX$7)*($D$2:$D$501&lt;AW$7)*($E$2:$E$501&gt;=$H132)*($E$2:$E$501&lt;$H131)," ")))</f>
        <v xml:space="preserve"> </v>
      </c>
      <c r="AX131" t="str" cm="1">
        <f t="array" ref="AX131">_xlfn.TEXTJOIN(",",TRUE,(_xlfn._xlws.FILTER($A$2:$A$501,($D$2:$D$501&gt;=AY$7)*($D$2:$D$501&lt;AX$7)*($E$2:$E$501&gt;=$H132)*($E$2:$E$501&lt;$H131)," ")))</f>
        <v xml:space="preserve"> </v>
      </c>
      <c r="AY131" t="str" cm="1">
        <f t="array" ref="AY131">_xlfn.TEXTJOIN(",",TRUE,(_xlfn._xlws.FILTER($A$2:$A$501,($D$2:$D$501&gt;=AZ$7)*($D$2:$D$501&lt;AY$7)*($E$2:$E$501&gt;=$H132)*($E$2:$E$501&lt;$H131)," ")))</f>
        <v xml:space="preserve"> </v>
      </c>
      <c r="AZ131" t="str" cm="1">
        <f t="array" ref="AZ131">_xlfn.TEXTJOIN(",",TRUE,(_xlfn._xlws.FILTER($A$2:$A$501,($D$2:$D$501&gt;=BA$7)*($D$2:$D$501&lt;AZ$7)*($E$2:$E$501&gt;=$H132)*($E$2:$E$501&lt;$H131)," ")))</f>
        <v xml:space="preserve"> </v>
      </c>
      <c r="BA131" t="str" cm="1">
        <f t="array" ref="BA131">_xlfn.TEXTJOIN(",",TRUE,(_xlfn._xlws.FILTER($A$2:$A$501,($D$2:$D$501&gt;=BB$7)*($D$2:$D$501&lt;BA$7)*($E$2:$E$501&gt;=$H132)*($E$2:$E$501&lt;$H131)," ")))</f>
        <v xml:space="preserve"> </v>
      </c>
      <c r="BB131" t="str" cm="1">
        <f t="array" ref="BB131">_xlfn.TEXTJOIN(",",TRUE,(_xlfn._xlws.FILTER($A$2:$A$501,($D$2:$D$501&gt;=BC$7)*($D$2:$D$501&lt;BB$7)*($E$2:$E$501&gt;=$H132)*($E$2:$E$501&lt;$H131)," ")))</f>
        <v xml:space="preserve"> </v>
      </c>
    </row>
    <row r="132" spans="1:54" x14ac:dyDescent="0.2">
      <c r="A132" s="3" t="s">
        <v>516</v>
      </c>
      <c r="B132" s="3" t="s">
        <v>515</v>
      </c>
      <c r="C132" s="13">
        <v>829786.91</v>
      </c>
      <c r="D132" s="15">
        <v>21518918.920000002</v>
      </c>
      <c r="E132" s="22">
        <f>TuitionRates3[[#This Row],[Tuition]]/D132</f>
        <v>3.8560808425593528E-2</v>
      </c>
      <c r="F132"/>
      <c r="H132" s="18">
        <v>2.5999999999999999E-2</v>
      </c>
      <c r="I132" t="str" cm="1">
        <f t="array" ref="I132">_xlfn.TEXTJOIN(",",TRUE,(_xlfn._xlws.FILTER($A$2:$A$501,($D$2:$D$501&gt;=J$7)*($D$2:$D$501&lt;I$7)*($E$2:$E$501&gt;=$H133)*($E$2:$E$501&lt;$H132)," ")))</f>
        <v xml:space="preserve"> </v>
      </c>
      <c r="J132" t="str" cm="1">
        <f t="array" ref="J132">_xlfn.TEXTJOIN(",",TRUE,(_xlfn._xlws.FILTER($A$2:$A$501,($D$2:$D$501&gt;=K$7)*($D$2:$D$501&lt;J$7)*($E$2:$E$501&gt;=$H133)*($E$2:$E$501&lt;$H132)," ")))</f>
        <v xml:space="preserve"> </v>
      </c>
      <c r="K132" t="str" cm="1">
        <f t="array" ref="K132">_xlfn.TEXTJOIN(",",TRUE,(_xlfn._xlws.FILTER($A$2:$A$501,($D$2:$D$501&gt;=L$7)*($D$2:$D$501&lt;K$7)*($E$2:$E$501&gt;=$H133)*($E$2:$E$501&lt;$H132)," ")))</f>
        <v xml:space="preserve"> </v>
      </c>
      <c r="L132" t="str" cm="1">
        <f t="array" ref="L132">_xlfn.TEXTJOIN(",",TRUE,(_xlfn._xlws.FILTER($A$2:$A$501,($D$2:$D$501&gt;=M$7)*($D$2:$D$501&lt;L$7)*($E$2:$E$501&gt;=$H133)*($E$2:$E$501&lt;$H132)," ")))</f>
        <v xml:space="preserve"> </v>
      </c>
      <c r="M132" t="str" cm="1">
        <f t="array" ref="M132">_xlfn.TEXTJOIN(",",TRUE,(_xlfn._xlws.FILTER($A$2:$A$501,($D$2:$D$501&gt;=N$7)*($D$2:$D$501&lt;M$7)*($E$2:$E$501&gt;=$H133)*($E$2:$E$501&lt;$H132)," ")))</f>
        <v xml:space="preserve"> </v>
      </c>
      <c r="N132" t="str" cm="1">
        <f t="array" ref="N132">_xlfn.TEXTJOIN(",",TRUE,(_xlfn._xlws.FILTER($A$2:$A$501,($D$2:$D$501&gt;=O$7)*($D$2:$D$501&lt;N$7)*($E$2:$E$501&gt;=$H133)*($E$2:$E$501&lt;$H132)," ")))</f>
        <v xml:space="preserve"> </v>
      </c>
      <c r="O132" t="str" cm="1">
        <f t="array" ref="O132">_xlfn.TEXTJOIN(",",TRUE,(_xlfn._xlws.FILTER($A$2:$A$501,($D$2:$D$501&gt;=P$7)*($D$2:$D$501&lt;O$7)*($E$2:$E$501&gt;=$H133)*($E$2:$E$501&lt;$H132)," ")))</f>
        <v xml:space="preserve"> </v>
      </c>
      <c r="P132" t="str" cm="1">
        <f t="array" ref="P132">_xlfn.TEXTJOIN(",",TRUE,(_xlfn._xlws.FILTER($A$2:$A$501,($D$2:$D$501&gt;=Q$7)*($D$2:$D$501&lt;P$7)*($E$2:$E$501&gt;=$H133)*($E$2:$E$501&lt;$H132)," ")))</f>
        <v xml:space="preserve"> </v>
      </c>
      <c r="Q132" t="str" cm="1">
        <f t="array" ref="Q132">_xlfn.TEXTJOIN(",",TRUE,(_xlfn._xlws.FILTER($A$2:$A$501,($D$2:$D$501&gt;=R$7)*($D$2:$D$501&lt;Q$7)*($E$2:$E$501&gt;=$H133)*($E$2:$E$501&lt;$H132)," ")))</f>
        <v xml:space="preserve"> </v>
      </c>
      <c r="R132" t="str" cm="1">
        <f t="array" ref="R132">_xlfn.TEXTJOIN(",",TRUE,(_xlfn._xlws.FILTER($A$2:$A$501,($D$2:$D$501&gt;=S$7)*($D$2:$D$501&lt;R$7)*($E$2:$E$501&gt;=$H133)*($E$2:$E$501&lt;$H132)," ")))</f>
        <v xml:space="preserve"> </v>
      </c>
      <c r="S132" t="str" cm="1">
        <f t="array" ref="S132">_xlfn.TEXTJOIN(",",TRUE,(_xlfn._xlws.FILTER($A$2:$A$501,($D$2:$D$501&gt;=T$7)*($D$2:$D$501&lt;S$7)*($E$2:$E$501&gt;=$H133)*($E$2:$E$501&lt;$H132)," ")))</f>
        <v xml:space="preserve"> </v>
      </c>
      <c r="T132" t="str" cm="1">
        <f t="array" ref="T132">_xlfn.TEXTJOIN(",",TRUE,(_xlfn._xlws.FILTER($A$2:$A$501,($D$2:$D$501&gt;=U$7)*($D$2:$D$501&lt;T$7)*($E$2:$E$501&gt;=$H133)*($E$2:$E$501&lt;$H132)," ")))</f>
        <v>Coatesville Area SD</v>
      </c>
      <c r="U132" t="str" cm="1">
        <f t="array" ref="U132">_xlfn.TEXTJOIN(",",TRUE,(_xlfn._xlws.FILTER($A$2:$A$501,($D$2:$D$501&gt;=V$7)*($D$2:$D$501&lt;U$7)*($E$2:$E$501&gt;=$H133)*($E$2:$E$501&lt;$H132)," ")))</f>
        <v xml:space="preserve"> </v>
      </c>
      <c r="V132" t="str" cm="1">
        <f t="array" ref="V132">_xlfn.TEXTJOIN(",",TRUE,(_xlfn._xlws.FILTER($A$2:$A$501,($D$2:$D$501&gt;=W$7)*($D$2:$D$501&lt;V$7)*($E$2:$E$501&gt;=$H133)*($E$2:$E$501&lt;$H132)," ")))</f>
        <v>Warren County SD</v>
      </c>
      <c r="W132" t="str" cm="1">
        <f t="array" ref="W132">_xlfn.TEXTJOIN(",",TRUE,(_xlfn._xlws.FILTER($A$2:$A$501,($D$2:$D$501&gt;=X$7)*($D$2:$D$501&lt;W$7)*($E$2:$E$501&gt;=$H133)*($E$2:$E$501&lt;$H132)," ")))</f>
        <v>Spring Grove Area SD</v>
      </c>
      <c r="X132" t="str" cm="1">
        <f t="array" ref="X132">_xlfn.TEXTJOIN(",",TRUE,(_xlfn._xlws.FILTER($A$2:$A$501,($D$2:$D$501&gt;=Y$7)*($D$2:$D$501&lt;X$7)*($E$2:$E$501&gt;=$H133)*($E$2:$E$501&lt;$H132)," ")))</f>
        <v>Lower Dauphin SD</v>
      </c>
      <c r="Y132" t="str" cm="1">
        <f t="array" ref="Y132">_xlfn.TEXTJOIN(",",TRUE,(_xlfn._xlws.FILTER($A$2:$A$501,($D$2:$D$501&gt;=Z$7)*($D$2:$D$501&lt;Y$7)*($E$2:$E$501&gt;=$H133)*($E$2:$E$501&lt;$H132)," ")))</f>
        <v xml:space="preserve"> </v>
      </c>
      <c r="Z132" t="str" cm="1">
        <f t="array" ref="Z132">_xlfn.TEXTJOIN(",",TRUE,(_xlfn._xlws.FILTER($A$2:$A$501,($D$2:$D$501&gt;=AA$7)*($D$2:$D$501&lt;Z$7)*($E$2:$E$501&gt;=$H133)*($E$2:$E$501&lt;$H132)," ")))</f>
        <v xml:space="preserve"> </v>
      </c>
      <c r="AA132" t="str" cm="1">
        <f t="array" ref="AA132">_xlfn.TEXTJOIN(",",TRUE,(_xlfn._xlws.FILTER($A$2:$A$501,($D$2:$D$501&gt;=AB$7)*($D$2:$D$501&lt;AA$7)*($E$2:$E$501&gt;=$H133)*($E$2:$E$501&lt;$H132)," ")))</f>
        <v>Bradford Area SD</v>
      </c>
      <c r="AB132" t="str" cm="1">
        <f t="array" ref="AB132">_xlfn.TEXTJOIN(",",TRUE,(_xlfn._xlws.FILTER($A$2:$A$501,($D$2:$D$501&gt;=AC$7)*($D$2:$D$501&lt;AB$7)*($E$2:$E$501&gt;=$H133)*($E$2:$E$501&lt;$H132)," ")))</f>
        <v>Philipsburg-Osceola Area SD</v>
      </c>
      <c r="AC132" t="str" cm="1">
        <f t="array" ref="AC132">_xlfn.TEXTJOIN(",",TRUE,(_xlfn._xlws.FILTER($A$2:$A$501,($D$2:$D$501&gt;=AD$7)*($D$2:$D$501&lt;AC$7)*($E$2:$E$501&gt;=$H133)*($E$2:$E$501&lt;$H132)," ")))</f>
        <v>Dunmore SD,Troy Area SD</v>
      </c>
      <c r="AD132" t="str" cm="1">
        <f t="array" ref="AD132">_xlfn.TEXTJOIN(",",TRUE,(_xlfn._xlws.FILTER($A$2:$A$501,($D$2:$D$501&gt;=AE$7)*($D$2:$D$501&lt;AD$7)*($E$2:$E$501&gt;=$H133)*($E$2:$E$501&lt;$H132)," ")))</f>
        <v>Jamestown Area SD,Fairfield Area SD</v>
      </c>
      <c r="AE132" t="str" cm="1">
        <f t="array" ref="AE132">_xlfn.TEXTJOIN(",",TRUE,(_xlfn._xlws.FILTER($A$2:$A$501,($D$2:$D$501&gt;=AF$7)*($D$2:$D$501&lt;AE$7)*($E$2:$E$501&gt;=$H133)*($E$2:$E$501&lt;$H132)," ")))</f>
        <v xml:space="preserve"> </v>
      </c>
      <c r="AF132" t="str" cm="1">
        <f t="array" ref="AF132">_xlfn.TEXTJOIN(",",TRUE,(_xlfn._xlws.FILTER($A$2:$A$501,($D$2:$D$501&gt;=AG$7)*($D$2:$D$501&lt;AF$7)*($E$2:$E$501&gt;=$H133)*($E$2:$E$501&lt;$H132)," ")))</f>
        <v xml:space="preserve"> </v>
      </c>
      <c r="AG132" t="str" cm="1">
        <f t="array" ref="AG132">_xlfn.TEXTJOIN(",",TRUE,(_xlfn._xlws.FILTER($A$2:$A$501,($D$2:$D$501&gt;=AH$7)*($D$2:$D$501&lt;AG$7)*($E$2:$E$501&gt;=$H133)*($E$2:$E$501&lt;$H132)," ")))</f>
        <v xml:space="preserve"> </v>
      </c>
      <c r="AH132" t="str" cm="1">
        <f t="array" ref="AH132">_xlfn.TEXTJOIN(",",TRUE,(_xlfn._xlws.FILTER($A$2:$A$501,($D$2:$D$501&gt;=AI$7)*($D$2:$D$501&lt;AH$7)*($E$2:$E$501&gt;=$H133)*($E$2:$E$501&lt;$H132)," ")))</f>
        <v xml:space="preserve"> </v>
      </c>
      <c r="AI132" t="str" cm="1">
        <f t="array" ref="AI132">_xlfn.TEXTJOIN(",",TRUE,(_xlfn._xlws.FILTER($A$2:$A$501,($D$2:$D$501&gt;=AJ$7)*($D$2:$D$501&lt;AI$7)*($E$2:$E$501&gt;=$H133)*($E$2:$E$501&lt;$H132)," ")))</f>
        <v xml:space="preserve"> </v>
      </c>
      <c r="AJ132" t="str" cm="1">
        <f t="array" ref="AJ132">_xlfn.TEXTJOIN(",",TRUE,(_xlfn._xlws.FILTER($A$2:$A$501,($D$2:$D$501&gt;=AK$7)*($D$2:$D$501&lt;AJ$7)*($E$2:$E$501&gt;=$H133)*($E$2:$E$501&lt;$H132)," ")))</f>
        <v xml:space="preserve"> </v>
      </c>
      <c r="AK132" t="str" cm="1">
        <f t="array" ref="AK132">_xlfn.TEXTJOIN(",",TRUE,(_xlfn._xlws.FILTER($A$2:$A$501,($D$2:$D$501&gt;=AL$7)*($D$2:$D$501&lt;AK$7)*($E$2:$E$501&gt;=$H133)*($E$2:$E$501&lt;$H132)," ")))</f>
        <v xml:space="preserve"> </v>
      </c>
      <c r="AL132" t="str" cm="1">
        <f t="array" ref="AL132">_xlfn.TEXTJOIN(",",TRUE,(_xlfn._xlws.FILTER($A$2:$A$501,($D$2:$D$501&gt;=AM$7)*($D$2:$D$501&lt;AL$7)*($E$2:$E$501&gt;=$H133)*($E$2:$E$501&lt;$H132)," ")))</f>
        <v xml:space="preserve"> </v>
      </c>
      <c r="AM132" t="str" cm="1">
        <f t="array" ref="AM132">_xlfn.TEXTJOIN(",",TRUE,(_xlfn._xlws.FILTER($A$2:$A$501,($D$2:$D$501&gt;=AN$7)*($D$2:$D$501&lt;AM$7)*($E$2:$E$501&gt;=$H133)*($E$2:$E$501&lt;$H132)," ")))</f>
        <v xml:space="preserve"> </v>
      </c>
      <c r="AN132" t="str" cm="1">
        <f t="array" ref="AN132">_xlfn.TEXTJOIN(",",TRUE,(_xlfn._xlws.FILTER($A$2:$A$501,($D$2:$D$501&gt;=AO$7)*($D$2:$D$501&lt;AN$7)*($E$2:$E$501&gt;=$H133)*($E$2:$E$501&lt;$H132)," ")))</f>
        <v xml:space="preserve"> </v>
      </c>
      <c r="AO132" t="str" cm="1">
        <f t="array" ref="AO132">_xlfn.TEXTJOIN(",",TRUE,(_xlfn._xlws.FILTER($A$2:$A$501,($D$2:$D$501&gt;=AP$7)*($D$2:$D$501&lt;AO$7)*($E$2:$E$501&gt;=$H133)*($E$2:$E$501&lt;$H132)," ")))</f>
        <v xml:space="preserve"> </v>
      </c>
      <c r="AP132" t="str" cm="1">
        <f t="array" ref="AP132">_xlfn.TEXTJOIN(",",TRUE,(_xlfn._xlws.FILTER($A$2:$A$501,($D$2:$D$501&gt;=AQ$7)*($D$2:$D$501&lt;AP$7)*($E$2:$E$501&gt;=$H133)*($E$2:$E$501&lt;$H132)," ")))</f>
        <v xml:space="preserve"> </v>
      </c>
      <c r="AQ132" t="str" cm="1">
        <f t="array" ref="AQ132">_xlfn.TEXTJOIN(",",TRUE,(_xlfn._xlws.FILTER($A$2:$A$501,($D$2:$D$501&gt;=AR$7)*($D$2:$D$501&lt;AQ$7)*($E$2:$E$501&gt;=$H133)*($E$2:$E$501&lt;$H132)," ")))</f>
        <v xml:space="preserve"> </v>
      </c>
      <c r="AR132" t="str" cm="1">
        <f t="array" ref="AR132">_xlfn.TEXTJOIN(",",TRUE,(_xlfn._xlws.FILTER($A$2:$A$501,($D$2:$D$501&gt;=AS$7)*($D$2:$D$501&lt;AR$7)*($E$2:$E$501&gt;=$H133)*($E$2:$E$501&lt;$H132)," ")))</f>
        <v xml:space="preserve"> </v>
      </c>
      <c r="AS132" t="str" cm="1">
        <f t="array" ref="AS132">_xlfn.TEXTJOIN(",",TRUE,(_xlfn._xlws.FILTER($A$2:$A$501,($D$2:$D$501&gt;=AT$7)*($D$2:$D$501&lt;AS$7)*($E$2:$E$501&gt;=$H133)*($E$2:$E$501&lt;$H132)," ")))</f>
        <v xml:space="preserve"> </v>
      </c>
      <c r="AT132" t="str" cm="1">
        <f t="array" ref="AT132">_xlfn.TEXTJOIN(",",TRUE,(_xlfn._xlws.FILTER($A$2:$A$501,($D$2:$D$501&gt;=AU$7)*($D$2:$D$501&lt;AT$7)*($E$2:$E$501&gt;=$H133)*($E$2:$E$501&lt;$H132)," ")))</f>
        <v xml:space="preserve"> </v>
      </c>
      <c r="AU132" t="str" cm="1">
        <f t="array" ref="AU132">_xlfn.TEXTJOIN(",",TRUE,(_xlfn._xlws.FILTER($A$2:$A$501,($D$2:$D$501&gt;=AV$7)*($D$2:$D$501&lt;AU$7)*($E$2:$E$501&gt;=$H133)*($E$2:$E$501&lt;$H132)," ")))</f>
        <v xml:space="preserve"> </v>
      </c>
      <c r="AV132" t="str" cm="1">
        <f t="array" ref="AV132">_xlfn.TEXTJOIN(",",TRUE,(_xlfn._xlws.FILTER($A$2:$A$501,($D$2:$D$501&gt;=AW$7)*($D$2:$D$501&lt;AV$7)*($E$2:$E$501&gt;=$H133)*($E$2:$E$501&lt;$H132)," ")))</f>
        <v xml:space="preserve"> </v>
      </c>
      <c r="AW132" t="str" cm="1">
        <f t="array" ref="AW132">_xlfn.TEXTJOIN(",",TRUE,(_xlfn._xlws.FILTER($A$2:$A$501,($D$2:$D$501&gt;=AX$7)*($D$2:$D$501&lt;AW$7)*($E$2:$E$501&gt;=$H133)*($E$2:$E$501&lt;$H132)," ")))</f>
        <v xml:space="preserve"> </v>
      </c>
      <c r="AX132" t="str" cm="1">
        <f t="array" ref="AX132">_xlfn.TEXTJOIN(",",TRUE,(_xlfn._xlws.FILTER($A$2:$A$501,($D$2:$D$501&gt;=AY$7)*($D$2:$D$501&lt;AX$7)*($E$2:$E$501&gt;=$H133)*($E$2:$E$501&lt;$H132)," ")))</f>
        <v xml:space="preserve"> </v>
      </c>
      <c r="AY132" t="str" cm="1">
        <f t="array" ref="AY132">_xlfn.TEXTJOIN(",",TRUE,(_xlfn._xlws.FILTER($A$2:$A$501,($D$2:$D$501&gt;=AZ$7)*($D$2:$D$501&lt;AY$7)*($E$2:$E$501&gt;=$H133)*($E$2:$E$501&lt;$H132)," ")))</f>
        <v xml:space="preserve"> </v>
      </c>
      <c r="AZ132" t="str" cm="1">
        <f t="array" ref="AZ132">_xlfn.TEXTJOIN(",",TRUE,(_xlfn._xlws.FILTER($A$2:$A$501,($D$2:$D$501&gt;=BA$7)*($D$2:$D$501&lt;AZ$7)*($E$2:$E$501&gt;=$H133)*($E$2:$E$501&lt;$H132)," ")))</f>
        <v xml:space="preserve"> </v>
      </c>
      <c r="BA132" t="str" cm="1">
        <f t="array" ref="BA132">_xlfn.TEXTJOIN(",",TRUE,(_xlfn._xlws.FILTER($A$2:$A$501,($D$2:$D$501&gt;=BB$7)*($D$2:$D$501&lt;BA$7)*($E$2:$E$501&gt;=$H133)*($E$2:$E$501&lt;$H132)," ")))</f>
        <v xml:space="preserve"> </v>
      </c>
      <c r="BB132" t="str" cm="1">
        <f t="array" ref="BB132">_xlfn.TEXTJOIN(",",TRUE,(_xlfn._xlws.FILTER($A$2:$A$501,($D$2:$D$501&gt;=BC$7)*($D$2:$D$501&lt;BB$7)*($E$2:$E$501&gt;=$H133)*($E$2:$E$501&lt;$H132)," ")))</f>
        <v xml:space="preserve"> </v>
      </c>
    </row>
    <row r="133" spans="1:54" x14ac:dyDescent="0.2">
      <c r="A133" s="3" t="s">
        <v>569</v>
      </c>
      <c r="B133" s="3" t="s">
        <v>554</v>
      </c>
      <c r="C133" s="13">
        <v>2584689.4900000002</v>
      </c>
      <c r="D133" s="15">
        <v>67118959.090000004</v>
      </c>
      <c r="E133" s="22">
        <f>TuitionRates3[[#This Row],[Tuition]]/D133</f>
        <v>3.8509081860673415E-2</v>
      </c>
      <c r="F133"/>
      <c r="H133" s="18">
        <v>2.5000000000000001E-2</v>
      </c>
      <c r="I133" t="str" cm="1">
        <f t="array" ref="I133">_xlfn.TEXTJOIN(",",TRUE,(_xlfn._xlws.FILTER($A$2:$A$501,($D$2:$D$501&gt;=J$7)*($D$2:$D$501&lt;I$7)*($E$2:$E$501&gt;=$H134)*($E$2:$E$501&lt;$H133)," ")))</f>
        <v xml:space="preserve"> </v>
      </c>
      <c r="J133" t="str" cm="1">
        <f t="array" ref="J133">_xlfn.TEXTJOIN(",",TRUE,(_xlfn._xlws.FILTER($A$2:$A$501,($D$2:$D$501&gt;=K$7)*($D$2:$D$501&lt;J$7)*($E$2:$E$501&gt;=$H134)*($E$2:$E$501&lt;$H133)," ")))</f>
        <v xml:space="preserve"> </v>
      </c>
      <c r="K133" t="str" cm="1">
        <f t="array" ref="K133">_xlfn.TEXTJOIN(",",TRUE,(_xlfn._xlws.FILTER($A$2:$A$501,($D$2:$D$501&gt;=L$7)*($D$2:$D$501&lt;K$7)*($E$2:$E$501&gt;=$H134)*($E$2:$E$501&lt;$H133)," ")))</f>
        <v xml:space="preserve"> </v>
      </c>
      <c r="L133" t="str" cm="1">
        <f t="array" ref="L133">_xlfn.TEXTJOIN(",",TRUE,(_xlfn._xlws.FILTER($A$2:$A$501,($D$2:$D$501&gt;=M$7)*($D$2:$D$501&lt;L$7)*($E$2:$E$501&gt;=$H134)*($E$2:$E$501&lt;$H133)," ")))</f>
        <v xml:space="preserve"> </v>
      </c>
      <c r="M133" t="str" cm="1">
        <f t="array" ref="M133">_xlfn.TEXTJOIN(",",TRUE,(_xlfn._xlws.FILTER($A$2:$A$501,($D$2:$D$501&gt;=N$7)*($D$2:$D$501&lt;M$7)*($E$2:$E$501&gt;=$H134)*($E$2:$E$501&lt;$H133)," ")))</f>
        <v xml:space="preserve"> </v>
      </c>
      <c r="N133" t="str" cm="1">
        <f t="array" ref="N133">_xlfn.TEXTJOIN(",",TRUE,(_xlfn._xlws.FILTER($A$2:$A$501,($D$2:$D$501&gt;=O$7)*($D$2:$D$501&lt;N$7)*($E$2:$E$501&gt;=$H134)*($E$2:$E$501&lt;$H133)," ")))</f>
        <v xml:space="preserve"> </v>
      </c>
      <c r="O133" t="str" cm="1">
        <f t="array" ref="O133">_xlfn.TEXTJOIN(",",TRUE,(_xlfn._xlws.FILTER($A$2:$A$501,($D$2:$D$501&gt;=P$7)*($D$2:$D$501&lt;O$7)*($E$2:$E$501&gt;=$H134)*($E$2:$E$501&lt;$H133)," ")))</f>
        <v xml:space="preserve"> </v>
      </c>
      <c r="P133" t="str" cm="1">
        <f t="array" ref="P133">_xlfn.TEXTJOIN(",",TRUE,(_xlfn._xlws.FILTER($A$2:$A$501,($D$2:$D$501&gt;=Q$7)*($D$2:$D$501&lt;P$7)*($E$2:$E$501&gt;=$H134)*($E$2:$E$501&lt;$H133)," ")))</f>
        <v xml:space="preserve"> </v>
      </c>
      <c r="Q133" t="str" cm="1">
        <f t="array" ref="Q133">_xlfn.TEXTJOIN(",",TRUE,(_xlfn._xlws.FILTER($A$2:$A$501,($D$2:$D$501&gt;=R$7)*($D$2:$D$501&lt;Q$7)*($E$2:$E$501&gt;=$H134)*($E$2:$E$501&lt;$H133)," ")))</f>
        <v xml:space="preserve"> </v>
      </c>
      <c r="R133" t="str" cm="1">
        <f t="array" ref="R133">_xlfn.TEXTJOIN(",",TRUE,(_xlfn._xlws.FILTER($A$2:$A$501,($D$2:$D$501&gt;=S$7)*($D$2:$D$501&lt;R$7)*($E$2:$E$501&gt;=$H134)*($E$2:$E$501&lt;$H133)," ")))</f>
        <v>Allentown City SD</v>
      </c>
      <c r="S133" t="str" cm="1">
        <f t="array" ref="S133">_xlfn.TEXTJOIN(",",TRUE,(_xlfn._xlws.FILTER($A$2:$A$501,($D$2:$D$501&gt;=T$7)*($D$2:$D$501&lt;S$7)*($E$2:$E$501&gt;=$H134)*($E$2:$E$501&lt;$H133)," ")))</f>
        <v>Bethlehem Area SD</v>
      </c>
      <c r="T133" t="str" cm="1">
        <f t="array" ref="T133">_xlfn.TEXTJOIN(",",TRUE,(_xlfn._xlws.FILTER($A$2:$A$501,($D$2:$D$501&gt;=U$7)*($D$2:$D$501&lt;T$7)*($E$2:$E$501&gt;=$H134)*($E$2:$E$501&lt;$H133)," ")))</f>
        <v>Upper Darby SD</v>
      </c>
      <c r="U133" t="str" cm="1">
        <f t="array" ref="U133">_xlfn.TEXTJOIN(",",TRUE,(_xlfn._xlws.FILTER($A$2:$A$501,($D$2:$D$501&gt;=V$7)*($D$2:$D$501&lt;U$7)*($E$2:$E$501&gt;=$H134)*($E$2:$E$501&lt;$H133)," ")))</f>
        <v xml:space="preserve"> </v>
      </c>
      <c r="V133" t="str" cm="1">
        <f t="array" ref="V133">_xlfn.TEXTJOIN(",",TRUE,(_xlfn._xlws.FILTER($A$2:$A$501,($D$2:$D$501&gt;=W$7)*($D$2:$D$501&lt;V$7)*($E$2:$E$501&gt;=$H134)*($E$2:$E$501&lt;$H133)," ")))</f>
        <v xml:space="preserve"> </v>
      </c>
      <c r="W133" t="str" cm="1">
        <f t="array" ref="W133">_xlfn.TEXTJOIN(",",TRUE,(_xlfn._xlws.FILTER($A$2:$A$501,($D$2:$D$501&gt;=X$7)*($D$2:$D$501&lt;W$7)*($E$2:$E$501&gt;=$H134)*($E$2:$E$501&lt;$H133)," ")))</f>
        <v xml:space="preserve"> </v>
      </c>
      <c r="X133" t="str" cm="1">
        <f t="array" ref="X133">_xlfn.TEXTJOIN(",",TRUE,(_xlfn._xlws.FILTER($A$2:$A$501,($D$2:$D$501&gt;=Y$7)*($D$2:$D$501&lt;X$7)*($E$2:$E$501&gt;=$H134)*($E$2:$E$501&lt;$H133)," ")))</f>
        <v xml:space="preserve"> </v>
      </c>
      <c r="Y133" t="str" cm="1">
        <f t="array" ref="Y133">_xlfn.TEXTJOIN(",",TRUE,(_xlfn._xlws.FILTER($A$2:$A$501,($D$2:$D$501&gt;=Z$7)*($D$2:$D$501&lt;Y$7)*($E$2:$E$501&gt;=$H134)*($E$2:$E$501&lt;$H133)," ")))</f>
        <v>DuBois Area SD,Derry Township SD,Southern York County SD,Cocalico SD,Greater Latrobe SD</v>
      </c>
      <c r="Z133" t="str" cm="1">
        <f t="array" ref="Z133">_xlfn.TEXTJOIN(",",TRUE,(_xlfn._xlws.FILTER($A$2:$A$501,($D$2:$D$501&gt;=AA$7)*($D$2:$D$501&lt;Z$7)*($E$2:$E$501&gt;=$H134)*($E$2:$E$501&lt;$H133)," ")))</f>
        <v xml:space="preserve"> </v>
      </c>
      <c r="AA133" t="str" cm="1">
        <f t="array" ref="AA133">_xlfn.TEXTJOIN(",",TRUE,(_xlfn._xlws.FILTER($A$2:$A$501,($D$2:$D$501&gt;=AB$7)*($D$2:$D$501&lt;AA$7)*($E$2:$E$501&gt;=$H134)*($E$2:$E$501&lt;$H133)," ")))</f>
        <v xml:space="preserve"> </v>
      </c>
      <c r="AB133" t="str" cm="1">
        <f t="array" ref="AB133">_xlfn.TEXTJOIN(",",TRUE,(_xlfn._xlws.FILTER($A$2:$A$501,($D$2:$D$501&gt;=AC$7)*($D$2:$D$501&lt;AB$7)*($E$2:$E$501&gt;=$H134)*($E$2:$E$501&lt;$H133)," ")))</f>
        <v>Iroquois SD,Milton Area SD</v>
      </c>
      <c r="AC133" t="str" cm="1">
        <f t="array" ref="AC133">_xlfn.TEXTJOIN(",",TRUE,(_xlfn._xlws.FILTER($A$2:$A$501,($D$2:$D$501&gt;=AD$7)*($D$2:$D$501&lt;AC$7)*($E$2:$E$501&gt;=$H134)*($E$2:$E$501&lt;$H133)," ")))</f>
        <v>Bloomsburg Area SD,Fort Cherry SD,Antietam SD,Windber Area SD</v>
      </c>
      <c r="AD133" t="str" cm="1">
        <f t="array" ref="AD133">_xlfn.TEXTJOIN(",",TRUE,(_xlfn._xlws.FILTER($A$2:$A$501,($D$2:$D$501&gt;=AE$7)*($D$2:$D$501&lt;AD$7)*($E$2:$E$501&gt;=$H134)*($E$2:$E$501&lt;$H133)," ")))</f>
        <v>Tussey Mountain SD,Tri-Valley SD</v>
      </c>
      <c r="AE133" t="str" cm="1">
        <f t="array" ref="AE133">_xlfn.TEXTJOIN(",",TRUE,(_xlfn._xlws.FILTER($A$2:$A$501,($D$2:$D$501&gt;=AF$7)*($D$2:$D$501&lt;AE$7)*($E$2:$E$501&gt;=$H134)*($E$2:$E$501&lt;$H133)," ")))</f>
        <v xml:space="preserve"> </v>
      </c>
      <c r="AF133" t="str" cm="1">
        <f t="array" ref="AF133">_xlfn.TEXTJOIN(",",TRUE,(_xlfn._xlws.FILTER($A$2:$A$501,($D$2:$D$501&gt;=AG$7)*($D$2:$D$501&lt;AF$7)*($E$2:$E$501&gt;=$H134)*($E$2:$E$501&lt;$H133)," ")))</f>
        <v xml:space="preserve"> </v>
      </c>
      <c r="AG133" t="str" cm="1">
        <f t="array" ref="AG133">_xlfn.TEXTJOIN(",",TRUE,(_xlfn._xlws.FILTER($A$2:$A$501,($D$2:$D$501&gt;=AH$7)*($D$2:$D$501&lt;AG$7)*($E$2:$E$501&gt;=$H134)*($E$2:$E$501&lt;$H133)," ")))</f>
        <v xml:space="preserve"> </v>
      </c>
      <c r="AH133" t="str" cm="1">
        <f t="array" ref="AH133">_xlfn.TEXTJOIN(",",TRUE,(_xlfn._xlws.FILTER($A$2:$A$501,($D$2:$D$501&gt;=AI$7)*($D$2:$D$501&lt;AH$7)*($E$2:$E$501&gt;=$H134)*($E$2:$E$501&lt;$H133)," ")))</f>
        <v xml:space="preserve"> </v>
      </c>
      <c r="AI133" t="str" cm="1">
        <f t="array" ref="AI133">_xlfn.TEXTJOIN(",",TRUE,(_xlfn._xlws.FILTER($A$2:$A$501,($D$2:$D$501&gt;=AJ$7)*($D$2:$D$501&lt;AI$7)*($E$2:$E$501&gt;=$H134)*($E$2:$E$501&lt;$H133)," ")))</f>
        <v xml:space="preserve"> </v>
      </c>
      <c r="AJ133" t="str" cm="1">
        <f t="array" ref="AJ133">_xlfn.TEXTJOIN(",",TRUE,(_xlfn._xlws.FILTER($A$2:$A$501,($D$2:$D$501&gt;=AK$7)*($D$2:$D$501&lt;AJ$7)*($E$2:$E$501&gt;=$H134)*($E$2:$E$501&lt;$H133)," ")))</f>
        <v xml:space="preserve"> </v>
      </c>
      <c r="AK133" t="str" cm="1">
        <f t="array" ref="AK133">_xlfn.TEXTJOIN(",",TRUE,(_xlfn._xlws.FILTER($A$2:$A$501,($D$2:$D$501&gt;=AL$7)*($D$2:$D$501&lt;AK$7)*($E$2:$E$501&gt;=$H134)*($E$2:$E$501&lt;$H133)," ")))</f>
        <v xml:space="preserve"> </v>
      </c>
      <c r="AL133" t="str" cm="1">
        <f t="array" ref="AL133">_xlfn.TEXTJOIN(",",TRUE,(_xlfn._xlws.FILTER($A$2:$A$501,($D$2:$D$501&gt;=AM$7)*($D$2:$D$501&lt;AL$7)*($E$2:$E$501&gt;=$H134)*($E$2:$E$501&lt;$H133)," ")))</f>
        <v xml:space="preserve"> </v>
      </c>
      <c r="AM133" t="str" cm="1">
        <f t="array" ref="AM133">_xlfn.TEXTJOIN(",",TRUE,(_xlfn._xlws.FILTER($A$2:$A$501,($D$2:$D$501&gt;=AN$7)*($D$2:$D$501&lt;AM$7)*($E$2:$E$501&gt;=$H134)*($E$2:$E$501&lt;$H133)," ")))</f>
        <v xml:space="preserve"> </v>
      </c>
      <c r="AN133" t="str" cm="1">
        <f t="array" ref="AN133">_xlfn.TEXTJOIN(",",TRUE,(_xlfn._xlws.FILTER($A$2:$A$501,($D$2:$D$501&gt;=AO$7)*($D$2:$D$501&lt;AN$7)*($E$2:$E$501&gt;=$H134)*($E$2:$E$501&lt;$H133)," ")))</f>
        <v xml:space="preserve"> </v>
      </c>
      <c r="AO133" t="str" cm="1">
        <f t="array" ref="AO133">_xlfn.TEXTJOIN(",",TRUE,(_xlfn._xlws.FILTER($A$2:$A$501,($D$2:$D$501&gt;=AP$7)*($D$2:$D$501&lt;AO$7)*($E$2:$E$501&gt;=$H134)*($E$2:$E$501&lt;$H133)," ")))</f>
        <v xml:space="preserve"> </v>
      </c>
      <c r="AP133" t="str" cm="1">
        <f t="array" ref="AP133">_xlfn.TEXTJOIN(",",TRUE,(_xlfn._xlws.FILTER($A$2:$A$501,($D$2:$D$501&gt;=AQ$7)*($D$2:$D$501&lt;AP$7)*($E$2:$E$501&gt;=$H134)*($E$2:$E$501&lt;$H133)," ")))</f>
        <v xml:space="preserve"> </v>
      </c>
      <c r="AQ133" t="str" cm="1">
        <f t="array" ref="AQ133">_xlfn.TEXTJOIN(",",TRUE,(_xlfn._xlws.FILTER($A$2:$A$501,($D$2:$D$501&gt;=AR$7)*($D$2:$D$501&lt;AQ$7)*($E$2:$E$501&gt;=$H134)*($E$2:$E$501&lt;$H133)," ")))</f>
        <v xml:space="preserve"> </v>
      </c>
      <c r="AR133" t="str" cm="1">
        <f t="array" ref="AR133">_xlfn.TEXTJOIN(",",TRUE,(_xlfn._xlws.FILTER($A$2:$A$501,($D$2:$D$501&gt;=AS$7)*($D$2:$D$501&lt;AR$7)*($E$2:$E$501&gt;=$H134)*($E$2:$E$501&lt;$H133)," ")))</f>
        <v xml:space="preserve"> </v>
      </c>
      <c r="AS133" t="str" cm="1">
        <f t="array" ref="AS133">_xlfn.TEXTJOIN(",",TRUE,(_xlfn._xlws.FILTER($A$2:$A$501,($D$2:$D$501&gt;=AT$7)*($D$2:$D$501&lt;AS$7)*($E$2:$E$501&gt;=$H134)*($E$2:$E$501&lt;$H133)," ")))</f>
        <v xml:space="preserve"> </v>
      </c>
      <c r="AT133" t="str" cm="1">
        <f t="array" ref="AT133">_xlfn.TEXTJOIN(",",TRUE,(_xlfn._xlws.FILTER($A$2:$A$501,($D$2:$D$501&gt;=AU$7)*($D$2:$D$501&lt;AT$7)*($E$2:$E$501&gt;=$H134)*($E$2:$E$501&lt;$H133)," ")))</f>
        <v xml:space="preserve"> </v>
      </c>
      <c r="AU133" t="str" cm="1">
        <f t="array" ref="AU133">_xlfn.TEXTJOIN(",",TRUE,(_xlfn._xlws.FILTER($A$2:$A$501,($D$2:$D$501&gt;=AV$7)*($D$2:$D$501&lt;AU$7)*($E$2:$E$501&gt;=$H134)*($E$2:$E$501&lt;$H133)," ")))</f>
        <v xml:space="preserve"> </v>
      </c>
      <c r="AV133" t="str" cm="1">
        <f t="array" ref="AV133">_xlfn.TEXTJOIN(",",TRUE,(_xlfn._xlws.FILTER($A$2:$A$501,($D$2:$D$501&gt;=AW$7)*($D$2:$D$501&lt;AV$7)*($E$2:$E$501&gt;=$H134)*($E$2:$E$501&lt;$H133)," ")))</f>
        <v xml:space="preserve"> </v>
      </c>
      <c r="AW133" t="str" cm="1">
        <f t="array" ref="AW133">_xlfn.TEXTJOIN(",",TRUE,(_xlfn._xlws.FILTER($A$2:$A$501,($D$2:$D$501&gt;=AX$7)*($D$2:$D$501&lt;AW$7)*($E$2:$E$501&gt;=$H134)*($E$2:$E$501&lt;$H133)," ")))</f>
        <v xml:space="preserve"> </v>
      </c>
      <c r="AX133" t="str" cm="1">
        <f t="array" ref="AX133">_xlfn.TEXTJOIN(",",TRUE,(_xlfn._xlws.FILTER($A$2:$A$501,($D$2:$D$501&gt;=AY$7)*($D$2:$D$501&lt;AX$7)*($E$2:$E$501&gt;=$H134)*($E$2:$E$501&lt;$H133)," ")))</f>
        <v xml:space="preserve"> </v>
      </c>
      <c r="AY133" t="str" cm="1">
        <f t="array" ref="AY133">_xlfn.TEXTJOIN(",",TRUE,(_xlfn._xlws.FILTER($A$2:$A$501,($D$2:$D$501&gt;=AZ$7)*($D$2:$D$501&lt;AY$7)*($E$2:$E$501&gt;=$H134)*($E$2:$E$501&lt;$H133)," ")))</f>
        <v xml:space="preserve"> </v>
      </c>
      <c r="AZ133" t="str" cm="1">
        <f t="array" ref="AZ133">_xlfn.TEXTJOIN(",",TRUE,(_xlfn._xlws.FILTER($A$2:$A$501,($D$2:$D$501&gt;=BA$7)*($D$2:$D$501&lt;AZ$7)*($E$2:$E$501&gt;=$H134)*($E$2:$E$501&lt;$H133)," ")))</f>
        <v xml:space="preserve"> </v>
      </c>
      <c r="BA133" t="str" cm="1">
        <f t="array" ref="BA133">_xlfn.TEXTJOIN(",",TRUE,(_xlfn._xlws.FILTER($A$2:$A$501,($D$2:$D$501&gt;=BB$7)*($D$2:$D$501&lt;BA$7)*($E$2:$E$501&gt;=$H134)*($E$2:$E$501&lt;$H133)," ")))</f>
        <v xml:space="preserve"> </v>
      </c>
      <c r="BB133" t="str" cm="1">
        <f t="array" ref="BB133">_xlfn.TEXTJOIN(",",TRUE,(_xlfn._xlws.FILTER($A$2:$A$501,($D$2:$D$501&gt;=BC$7)*($D$2:$D$501&lt;BB$7)*($E$2:$E$501&gt;=$H134)*($E$2:$E$501&lt;$H133)," ")))</f>
        <v xml:space="preserve"> </v>
      </c>
    </row>
    <row r="134" spans="1:54" x14ac:dyDescent="0.2">
      <c r="A134" s="3" t="s">
        <v>241</v>
      </c>
      <c r="B134" s="3" t="s">
        <v>227</v>
      </c>
      <c r="C134" s="13">
        <v>4655278.68</v>
      </c>
      <c r="D134" s="15">
        <v>121100678.53</v>
      </c>
      <c r="E134" s="22">
        <f>TuitionRates3[[#This Row],[Tuition]]/D134</f>
        <v>3.8441392207779895E-2</v>
      </c>
      <c r="F134"/>
      <c r="H134" s="18">
        <v>2.4E-2</v>
      </c>
      <c r="I134" t="str" cm="1">
        <f t="array" ref="I134">_xlfn.TEXTJOIN(",",TRUE,(_xlfn._xlws.FILTER($A$2:$A$501,($D$2:$D$501&gt;=J$7)*($D$2:$D$501&lt;I$7)*($E$2:$E$501&gt;=$H135)*($E$2:$E$501&lt;$H134)," ")))</f>
        <v xml:space="preserve"> </v>
      </c>
      <c r="J134" t="str" cm="1">
        <f t="array" ref="J134">_xlfn.TEXTJOIN(",",TRUE,(_xlfn._xlws.FILTER($A$2:$A$501,($D$2:$D$501&gt;=K$7)*($D$2:$D$501&lt;J$7)*($E$2:$E$501&gt;=$H135)*($E$2:$E$501&lt;$H134)," ")))</f>
        <v xml:space="preserve"> </v>
      </c>
      <c r="K134" t="str" cm="1">
        <f t="array" ref="K134">_xlfn.TEXTJOIN(",",TRUE,(_xlfn._xlws.FILTER($A$2:$A$501,($D$2:$D$501&gt;=L$7)*($D$2:$D$501&lt;K$7)*($E$2:$E$501&gt;=$H135)*($E$2:$E$501&lt;$H134)," ")))</f>
        <v xml:space="preserve"> </v>
      </c>
      <c r="L134" t="str" cm="1">
        <f t="array" ref="L134">_xlfn.TEXTJOIN(",",TRUE,(_xlfn._xlws.FILTER($A$2:$A$501,($D$2:$D$501&gt;=M$7)*($D$2:$D$501&lt;L$7)*($E$2:$E$501&gt;=$H135)*($E$2:$E$501&lt;$H134)," ")))</f>
        <v xml:space="preserve"> </v>
      </c>
      <c r="M134" t="str" cm="1">
        <f t="array" ref="M134">_xlfn.TEXTJOIN(",",TRUE,(_xlfn._xlws.FILTER($A$2:$A$501,($D$2:$D$501&gt;=N$7)*($D$2:$D$501&lt;M$7)*($E$2:$E$501&gt;=$H135)*($E$2:$E$501&lt;$H134)," ")))</f>
        <v xml:space="preserve"> </v>
      </c>
      <c r="N134" t="str" cm="1">
        <f t="array" ref="N134">_xlfn.TEXTJOIN(",",TRUE,(_xlfn._xlws.FILTER($A$2:$A$501,($D$2:$D$501&gt;=O$7)*($D$2:$D$501&lt;N$7)*($E$2:$E$501&gt;=$H135)*($E$2:$E$501&lt;$H134)," ")))</f>
        <v xml:space="preserve"> </v>
      </c>
      <c r="O134" t="str" cm="1">
        <f t="array" ref="O134">_xlfn.TEXTJOIN(",",TRUE,(_xlfn._xlws.FILTER($A$2:$A$501,($D$2:$D$501&gt;=P$7)*($D$2:$D$501&lt;O$7)*($E$2:$E$501&gt;=$H135)*($E$2:$E$501&lt;$H134)," ")))</f>
        <v xml:space="preserve"> </v>
      </c>
      <c r="P134" t="str" cm="1">
        <f t="array" ref="P134">_xlfn.TEXTJOIN(",",TRUE,(_xlfn._xlws.FILTER($A$2:$A$501,($D$2:$D$501&gt;=Q$7)*($D$2:$D$501&lt;P$7)*($E$2:$E$501&gt;=$H135)*($E$2:$E$501&lt;$H134)," ")))</f>
        <v xml:space="preserve"> </v>
      </c>
      <c r="Q134" t="str" cm="1">
        <f t="array" ref="Q134">_xlfn.TEXTJOIN(",",TRUE,(_xlfn._xlws.FILTER($A$2:$A$501,($D$2:$D$501&gt;=R$7)*($D$2:$D$501&lt;Q$7)*($E$2:$E$501&gt;=$H135)*($E$2:$E$501&lt;$H134)," ")))</f>
        <v xml:space="preserve"> </v>
      </c>
      <c r="R134" t="str" cm="1">
        <f t="array" ref="R134">_xlfn.TEXTJOIN(",",TRUE,(_xlfn._xlws.FILTER($A$2:$A$501,($D$2:$D$501&gt;=S$7)*($D$2:$D$501&lt;R$7)*($E$2:$E$501&gt;=$H135)*($E$2:$E$501&lt;$H134)," ")))</f>
        <v xml:space="preserve"> </v>
      </c>
      <c r="S134" t="str" cm="1">
        <f t="array" ref="S134">_xlfn.TEXTJOIN(",",TRUE,(_xlfn._xlws.FILTER($A$2:$A$501,($D$2:$D$501&gt;=T$7)*($D$2:$D$501&lt;S$7)*($E$2:$E$501&gt;=$H135)*($E$2:$E$501&lt;$H134)," ")))</f>
        <v xml:space="preserve"> </v>
      </c>
      <c r="T134" t="str" cm="1">
        <f t="array" ref="T134">_xlfn.TEXTJOIN(",",TRUE,(_xlfn._xlws.FILTER($A$2:$A$501,($D$2:$D$501&gt;=U$7)*($D$2:$D$501&lt;T$7)*($E$2:$E$501&gt;=$H135)*($E$2:$E$501&lt;$H134)," ")))</f>
        <v xml:space="preserve"> </v>
      </c>
      <c r="U134" t="str" cm="1">
        <f t="array" ref="U134">_xlfn.TEXTJOIN(",",TRUE,(_xlfn._xlws.FILTER($A$2:$A$501,($D$2:$D$501&gt;=V$7)*($D$2:$D$501&lt;U$7)*($E$2:$E$501&gt;=$H135)*($E$2:$E$501&lt;$H134)," ")))</f>
        <v>Cheltenham SD</v>
      </c>
      <c r="V134" t="str" cm="1">
        <f t="array" ref="V134">_xlfn.TEXTJOIN(",",TRUE,(_xlfn._xlws.FILTER($A$2:$A$501,($D$2:$D$501&gt;=W$7)*($D$2:$D$501&lt;V$7)*($E$2:$E$501&gt;=$H135)*($E$2:$E$501&lt;$H134)," ")))</f>
        <v xml:space="preserve"> </v>
      </c>
      <c r="W134" t="str" cm="1">
        <f t="array" ref="W134">_xlfn.TEXTJOIN(",",TRUE,(_xlfn._xlws.FILTER($A$2:$A$501,($D$2:$D$501&gt;=X$7)*($D$2:$D$501&lt;W$7)*($E$2:$E$501&gt;=$H135)*($E$2:$E$501&lt;$H134)," ")))</f>
        <v xml:space="preserve"> </v>
      </c>
      <c r="X134" t="str" cm="1">
        <f t="array" ref="X134">_xlfn.TEXTJOIN(",",TRUE,(_xlfn._xlws.FILTER($A$2:$A$501,($D$2:$D$501&gt;=Y$7)*($D$2:$D$501&lt;X$7)*($E$2:$E$501&gt;=$H135)*($E$2:$E$501&lt;$H134)," ")))</f>
        <v xml:space="preserve"> </v>
      </c>
      <c r="Y134" t="str" cm="1">
        <f t="array" ref="Y134">_xlfn.TEXTJOIN(",",TRUE,(_xlfn._xlws.FILTER($A$2:$A$501,($D$2:$D$501&gt;=Z$7)*($D$2:$D$501&lt;Y$7)*($E$2:$E$501&gt;=$H135)*($E$2:$E$501&lt;$H134)," ")))</f>
        <v>Eastern Lancaster County SD,West Mifflin Area SD</v>
      </c>
      <c r="Z134" t="str" cm="1">
        <f t="array" ref="Z134">_xlfn.TEXTJOIN(",",TRUE,(_xlfn._xlws.FILTER($A$2:$A$501,($D$2:$D$501&gt;=AA$7)*($D$2:$D$501&lt;Z$7)*($E$2:$E$501&gt;=$H135)*($E$2:$E$501&lt;$H134)," ")))</f>
        <v xml:space="preserve"> </v>
      </c>
      <c r="AA134" t="str" cm="1">
        <f t="array" ref="AA134">_xlfn.TEXTJOIN(",",TRUE,(_xlfn._xlws.FILTER($A$2:$A$501,($D$2:$D$501&gt;=AB$7)*($D$2:$D$501&lt;AA$7)*($E$2:$E$501&gt;=$H135)*($E$2:$E$501&lt;$H134)," ")))</f>
        <v>Central Valley SD</v>
      </c>
      <c r="AB134" t="str" cm="1">
        <f t="array" ref="AB134">_xlfn.TEXTJOIN(",",TRUE,(_xlfn._xlws.FILTER($A$2:$A$501,($D$2:$D$501&gt;=AC$7)*($D$2:$D$501&lt;AB$7)*($E$2:$E$501&gt;=$H135)*($E$2:$E$501&lt;$H134)," ")))</f>
        <v>New Brighton Area SD,Catasauqua Area SD</v>
      </c>
      <c r="AC134" t="str" cm="1">
        <f t="array" ref="AC134">_xlfn.TEXTJOIN(",",TRUE,(_xlfn._xlws.FILTER($A$2:$A$501,($D$2:$D$501&gt;=AD$7)*($D$2:$D$501&lt;AC$7)*($E$2:$E$501&gt;=$H135)*($E$2:$E$501&lt;$H134)," ")))</f>
        <v>Central Cambria SD,Bellwood-Antis SD</v>
      </c>
      <c r="AD134" t="str" cm="1">
        <f t="array" ref="AD134">_xlfn.TEXTJOIN(",",TRUE,(_xlfn._xlws.FILTER($A$2:$A$501,($D$2:$D$501&gt;=AE$7)*($D$2:$D$501&lt;AD$7)*($E$2:$E$501&gt;=$H135)*($E$2:$E$501&lt;$H134)," ")))</f>
        <v>Northeast Bradford SD,West Middlesex Area SD,Conemaugh Township Area SD,Jefferson-Morgan SD</v>
      </c>
      <c r="AE134" t="str" cm="1">
        <f t="array" ref="AE134">_xlfn.TEXTJOIN(",",TRUE,(_xlfn._xlws.FILTER($A$2:$A$501,($D$2:$D$501&gt;=AF$7)*($D$2:$D$501&lt;AE$7)*($E$2:$E$501&gt;=$H135)*($E$2:$E$501&lt;$H134)," ")))</f>
        <v xml:space="preserve"> </v>
      </c>
      <c r="AF134" t="str" cm="1">
        <f t="array" ref="AF134">_xlfn.TEXTJOIN(",",TRUE,(_xlfn._xlws.FILTER($A$2:$A$501,($D$2:$D$501&gt;=AG$7)*($D$2:$D$501&lt;AF$7)*($E$2:$E$501&gt;=$H135)*($E$2:$E$501&lt;$H134)," ")))</f>
        <v xml:space="preserve"> </v>
      </c>
      <c r="AG134" t="str" cm="1">
        <f t="array" ref="AG134">_xlfn.TEXTJOIN(",",TRUE,(_xlfn._xlws.FILTER($A$2:$A$501,($D$2:$D$501&gt;=AH$7)*($D$2:$D$501&lt;AG$7)*($E$2:$E$501&gt;=$H135)*($E$2:$E$501&lt;$H134)," ")))</f>
        <v xml:space="preserve"> </v>
      </c>
      <c r="AH134" t="str" cm="1">
        <f t="array" ref="AH134">_xlfn.TEXTJOIN(",",TRUE,(_xlfn._xlws.FILTER($A$2:$A$501,($D$2:$D$501&gt;=AI$7)*($D$2:$D$501&lt;AH$7)*($E$2:$E$501&gt;=$H135)*($E$2:$E$501&lt;$H134)," ")))</f>
        <v xml:space="preserve"> </v>
      </c>
      <c r="AI134" t="str" cm="1">
        <f t="array" ref="AI134">_xlfn.TEXTJOIN(",",TRUE,(_xlfn._xlws.FILTER($A$2:$A$501,($D$2:$D$501&gt;=AJ$7)*($D$2:$D$501&lt;AI$7)*($E$2:$E$501&gt;=$H135)*($E$2:$E$501&lt;$H134)," ")))</f>
        <v xml:space="preserve"> </v>
      </c>
      <c r="AJ134" t="str" cm="1">
        <f t="array" ref="AJ134">_xlfn.TEXTJOIN(",",TRUE,(_xlfn._xlws.FILTER($A$2:$A$501,($D$2:$D$501&gt;=AK$7)*($D$2:$D$501&lt;AJ$7)*($E$2:$E$501&gt;=$H135)*($E$2:$E$501&lt;$H134)," ")))</f>
        <v xml:space="preserve"> </v>
      </c>
      <c r="AK134" t="str" cm="1">
        <f t="array" ref="AK134">_xlfn.TEXTJOIN(",",TRUE,(_xlfn._xlws.FILTER($A$2:$A$501,($D$2:$D$501&gt;=AL$7)*($D$2:$D$501&lt;AK$7)*($E$2:$E$501&gt;=$H135)*($E$2:$E$501&lt;$H134)," ")))</f>
        <v xml:space="preserve"> </v>
      </c>
      <c r="AL134" t="str" cm="1">
        <f t="array" ref="AL134">_xlfn.TEXTJOIN(",",TRUE,(_xlfn._xlws.FILTER($A$2:$A$501,($D$2:$D$501&gt;=AM$7)*($D$2:$D$501&lt;AL$7)*($E$2:$E$501&gt;=$H135)*($E$2:$E$501&lt;$H134)," ")))</f>
        <v xml:space="preserve"> </v>
      </c>
      <c r="AM134" t="str" cm="1">
        <f t="array" ref="AM134">_xlfn.TEXTJOIN(",",TRUE,(_xlfn._xlws.FILTER($A$2:$A$501,($D$2:$D$501&gt;=AN$7)*($D$2:$D$501&lt;AM$7)*($E$2:$E$501&gt;=$H135)*($E$2:$E$501&lt;$H134)," ")))</f>
        <v xml:space="preserve"> </v>
      </c>
      <c r="AN134" t="str" cm="1">
        <f t="array" ref="AN134">_xlfn.TEXTJOIN(",",TRUE,(_xlfn._xlws.FILTER($A$2:$A$501,($D$2:$D$501&gt;=AO$7)*($D$2:$D$501&lt;AN$7)*($E$2:$E$501&gt;=$H135)*($E$2:$E$501&lt;$H134)," ")))</f>
        <v xml:space="preserve"> </v>
      </c>
      <c r="AO134" t="str" cm="1">
        <f t="array" ref="AO134">_xlfn.TEXTJOIN(",",TRUE,(_xlfn._xlws.FILTER($A$2:$A$501,($D$2:$D$501&gt;=AP$7)*($D$2:$D$501&lt;AO$7)*($E$2:$E$501&gt;=$H135)*($E$2:$E$501&lt;$H134)," ")))</f>
        <v xml:space="preserve"> </v>
      </c>
      <c r="AP134" t="str" cm="1">
        <f t="array" ref="AP134">_xlfn.TEXTJOIN(",",TRUE,(_xlfn._xlws.FILTER($A$2:$A$501,($D$2:$D$501&gt;=AQ$7)*($D$2:$D$501&lt;AP$7)*($E$2:$E$501&gt;=$H135)*($E$2:$E$501&lt;$H134)," ")))</f>
        <v xml:space="preserve"> </v>
      </c>
      <c r="AQ134" t="str" cm="1">
        <f t="array" ref="AQ134">_xlfn.TEXTJOIN(",",TRUE,(_xlfn._xlws.FILTER($A$2:$A$501,($D$2:$D$501&gt;=AR$7)*($D$2:$D$501&lt;AQ$7)*($E$2:$E$501&gt;=$H135)*($E$2:$E$501&lt;$H134)," ")))</f>
        <v xml:space="preserve"> </v>
      </c>
      <c r="AR134" t="str" cm="1">
        <f t="array" ref="AR134">_xlfn.TEXTJOIN(",",TRUE,(_xlfn._xlws.FILTER($A$2:$A$501,($D$2:$D$501&gt;=AS$7)*($D$2:$D$501&lt;AR$7)*($E$2:$E$501&gt;=$H135)*($E$2:$E$501&lt;$H134)," ")))</f>
        <v xml:space="preserve"> </v>
      </c>
      <c r="AS134" t="str" cm="1">
        <f t="array" ref="AS134">_xlfn.TEXTJOIN(",",TRUE,(_xlfn._xlws.FILTER($A$2:$A$501,($D$2:$D$501&gt;=AT$7)*($D$2:$D$501&lt;AS$7)*($E$2:$E$501&gt;=$H135)*($E$2:$E$501&lt;$H134)," ")))</f>
        <v xml:space="preserve"> </v>
      </c>
      <c r="AT134" t="str" cm="1">
        <f t="array" ref="AT134">_xlfn.TEXTJOIN(",",TRUE,(_xlfn._xlws.FILTER($A$2:$A$501,($D$2:$D$501&gt;=AU$7)*($D$2:$D$501&lt;AT$7)*($E$2:$E$501&gt;=$H135)*($E$2:$E$501&lt;$H134)," ")))</f>
        <v xml:space="preserve"> </v>
      </c>
      <c r="AU134" t="str" cm="1">
        <f t="array" ref="AU134">_xlfn.TEXTJOIN(",",TRUE,(_xlfn._xlws.FILTER($A$2:$A$501,($D$2:$D$501&gt;=AV$7)*($D$2:$D$501&lt;AU$7)*($E$2:$E$501&gt;=$H135)*($E$2:$E$501&lt;$H134)," ")))</f>
        <v xml:space="preserve"> </v>
      </c>
      <c r="AV134" t="str" cm="1">
        <f t="array" ref="AV134">_xlfn.TEXTJOIN(",",TRUE,(_xlfn._xlws.FILTER($A$2:$A$501,($D$2:$D$501&gt;=AW$7)*($D$2:$D$501&lt;AV$7)*($E$2:$E$501&gt;=$H135)*($E$2:$E$501&lt;$H134)," ")))</f>
        <v xml:space="preserve"> </v>
      </c>
      <c r="AW134" t="str" cm="1">
        <f t="array" ref="AW134">_xlfn.TEXTJOIN(",",TRUE,(_xlfn._xlws.FILTER($A$2:$A$501,($D$2:$D$501&gt;=AX$7)*($D$2:$D$501&lt;AW$7)*($E$2:$E$501&gt;=$H135)*($E$2:$E$501&lt;$H134)," ")))</f>
        <v xml:space="preserve"> </v>
      </c>
      <c r="AX134" t="str" cm="1">
        <f t="array" ref="AX134">_xlfn.TEXTJOIN(",",TRUE,(_xlfn._xlws.FILTER($A$2:$A$501,($D$2:$D$501&gt;=AY$7)*($D$2:$D$501&lt;AX$7)*($E$2:$E$501&gt;=$H135)*($E$2:$E$501&lt;$H134)," ")))</f>
        <v xml:space="preserve"> </v>
      </c>
      <c r="AY134" t="str" cm="1">
        <f t="array" ref="AY134">_xlfn.TEXTJOIN(",",TRUE,(_xlfn._xlws.FILTER($A$2:$A$501,($D$2:$D$501&gt;=AZ$7)*($D$2:$D$501&lt;AY$7)*($E$2:$E$501&gt;=$H135)*($E$2:$E$501&lt;$H134)," ")))</f>
        <v xml:space="preserve"> </v>
      </c>
      <c r="AZ134" t="str" cm="1">
        <f t="array" ref="AZ134">_xlfn.TEXTJOIN(",",TRUE,(_xlfn._xlws.FILTER($A$2:$A$501,($D$2:$D$501&gt;=BA$7)*($D$2:$D$501&lt;AZ$7)*($E$2:$E$501&gt;=$H135)*($E$2:$E$501&lt;$H134)," ")))</f>
        <v xml:space="preserve"> </v>
      </c>
      <c r="BA134" t="str" cm="1">
        <f t="array" ref="BA134">_xlfn.TEXTJOIN(",",TRUE,(_xlfn._xlws.FILTER($A$2:$A$501,($D$2:$D$501&gt;=BB$7)*($D$2:$D$501&lt;BA$7)*($E$2:$E$501&gt;=$H135)*($E$2:$E$501&lt;$H134)," ")))</f>
        <v xml:space="preserve"> </v>
      </c>
      <c r="BB134" t="str" cm="1">
        <f t="array" ref="BB134">_xlfn.TEXTJOIN(",",TRUE,(_xlfn._xlws.FILTER($A$2:$A$501,($D$2:$D$501&gt;=BC$7)*($D$2:$D$501&lt;BB$7)*($E$2:$E$501&gt;=$H135)*($E$2:$E$501&lt;$H134)," ")))</f>
        <v xml:space="preserve"> </v>
      </c>
    </row>
    <row r="135" spans="1:54" x14ac:dyDescent="0.2">
      <c r="A135" s="3" t="s">
        <v>377</v>
      </c>
      <c r="B135" s="3" t="s">
        <v>371</v>
      </c>
      <c r="C135" s="13">
        <v>791587.8</v>
      </c>
      <c r="D135" s="15">
        <v>20664351.25</v>
      </c>
      <c r="E135" s="22">
        <f>TuitionRates3[[#This Row],[Tuition]]/D135</f>
        <v>3.8306927249893707E-2</v>
      </c>
      <c r="F135"/>
      <c r="H135" s="18">
        <v>2.3E-2</v>
      </c>
      <c r="I135" t="str" cm="1">
        <f t="array" ref="I135">_xlfn.TEXTJOIN(",",TRUE,(_xlfn._xlws.FILTER($A$2:$A$501,($D$2:$D$501&gt;=J$7)*($D$2:$D$501&lt;I$7)*($E$2:$E$501&gt;=$H136)*($E$2:$E$501&lt;$H135)," ")))</f>
        <v xml:space="preserve"> </v>
      </c>
      <c r="J135" t="str" cm="1">
        <f t="array" ref="J135">_xlfn.TEXTJOIN(",",TRUE,(_xlfn._xlws.FILTER($A$2:$A$501,($D$2:$D$501&gt;=K$7)*($D$2:$D$501&lt;J$7)*($E$2:$E$501&gt;=$H136)*($E$2:$E$501&lt;$H135)," ")))</f>
        <v xml:space="preserve"> </v>
      </c>
      <c r="K135" t="str" cm="1">
        <f t="array" ref="K135">_xlfn.TEXTJOIN(",",TRUE,(_xlfn._xlws.FILTER($A$2:$A$501,($D$2:$D$501&gt;=L$7)*($D$2:$D$501&lt;K$7)*($E$2:$E$501&gt;=$H136)*($E$2:$E$501&lt;$H135)," ")))</f>
        <v xml:space="preserve"> </v>
      </c>
      <c r="L135" t="str" cm="1">
        <f t="array" ref="L135">_xlfn.TEXTJOIN(",",TRUE,(_xlfn._xlws.FILTER($A$2:$A$501,($D$2:$D$501&gt;=M$7)*($D$2:$D$501&lt;L$7)*($E$2:$E$501&gt;=$H136)*($E$2:$E$501&lt;$H135)," ")))</f>
        <v xml:space="preserve"> </v>
      </c>
      <c r="M135" t="str" cm="1">
        <f t="array" ref="M135">_xlfn.TEXTJOIN(",",TRUE,(_xlfn._xlws.FILTER($A$2:$A$501,($D$2:$D$501&gt;=N$7)*($D$2:$D$501&lt;M$7)*($E$2:$E$501&gt;=$H136)*($E$2:$E$501&lt;$H135)," ")))</f>
        <v xml:space="preserve"> </v>
      </c>
      <c r="N135" t="str" cm="1">
        <f t="array" ref="N135">_xlfn.TEXTJOIN(",",TRUE,(_xlfn._xlws.FILTER($A$2:$A$501,($D$2:$D$501&gt;=O$7)*($D$2:$D$501&lt;N$7)*($E$2:$E$501&gt;=$H136)*($E$2:$E$501&lt;$H135)," ")))</f>
        <v xml:space="preserve"> </v>
      </c>
      <c r="O135" t="str" cm="1">
        <f t="array" ref="O135">_xlfn.TEXTJOIN(",",TRUE,(_xlfn._xlws.FILTER($A$2:$A$501,($D$2:$D$501&gt;=P$7)*($D$2:$D$501&lt;O$7)*($E$2:$E$501&gt;=$H136)*($E$2:$E$501&lt;$H135)," ")))</f>
        <v xml:space="preserve"> </v>
      </c>
      <c r="P135" t="str" cm="1">
        <f t="array" ref="P135">_xlfn.TEXTJOIN(",",TRUE,(_xlfn._xlws.FILTER($A$2:$A$501,($D$2:$D$501&gt;=Q$7)*($D$2:$D$501&lt;P$7)*($E$2:$E$501&gt;=$H136)*($E$2:$E$501&lt;$H135)," ")))</f>
        <v xml:space="preserve"> </v>
      </c>
      <c r="Q135" t="str" cm="1">
        <f t="array" ref="Q135">_xlfn.TEXTJOIN(",",TRUE,(_xlfn._xlws.FILTER($A$2:$A$501,($D$2:$D$501&gt;=R$7)*($D$2:$D$501&lt;Q$7)*($E$2:$E$501&gt;=$H136)*($E$2:$E$501&lt;$H135)," ")))</f>
        <v xml:space="preserve"> </v>
      </c>
      <c r="R135" t="str" cm="1">
        <f t="array" ref="R135">_xlfn.TEXTJOIN(",",TRUE,(_xlfn._xlws.FILTER($A$2:$A$501,($D$2:$D$501&gt;=S$7)*($D$2:$D$501&lt;R$7)*($E$2:$E$501&gt;=$H136)*($E$2:$E$501&lt;$H135)," ")))</f>
        <v xml:space="preserve"> </v>
      </c>
      <c r="S135" t="str" cm="1">
        <f t="array" ref="S135">_xlfn.TEXTJOIN(",",TRUE,(_xlfn._xlws.FILTER($A$2:$A$501,($D$2:$D$501&gt;=T$7)*($D$2:$D$501&lt;S$7)*($E$2:$E$501&gt;=$H136)*($E$2:$E$501&lt;$H135)," ")))</f>
        <v xml:space="preserve"> </v>
      </c>
      <c r="T135" t="str" cm="1">
        <f t="array" ref="T135">_xlfn.TEXTJOIN(",",TRUE,(_xlfn._xlws.FILTER($A$2:$A$501,($D$2:$D$501&gt;=U$7)*($D$2:$D$501&lt;T$7)*($E$2:$E$501&gt;=$H136)*($E$2:$E$501&lt;$H135)," ")))</f>
        <v xml:space="preserve"> </v>
      </c>
      <c r="U135" t="str" cm="1">
        <f t="array" ref="U135">_xlfn.TEXTJOIN(",",TRUE,(_xlfn._xlws.FILTER($A$2:$A$501,($D$2:$D$501&gt;=V$7)*($D$2:$D$501&lt;U$7)*($E$2:$E$501&gt;=$H136)*($E$2:$E$501&lt;$H135)," ")))</f>
        <v>Norristown Area SD</v>
      </c>
      <c r="V135" t="str" cm="1">
        <f t="array" ref="V135">_xlfn.TEXTJOIN(",",TRUE,(_xlfn._xlws.FILTER($A$2:$A$501,($D$2:$D$501&gt;=W$7)*($D$2:$D$501&lt;V$7)*($E$2:$E$501&gt;=$H136)*($E$2:$E$501&lt;$H135)," ")))</f>
        <v xml:space="preserve"> </v>
      </c>
      <c r="W135" t="str" cm="1">
        <f t="array" ref="W135">_xlfn.TEXTJOIN(",",TRUE,(_xlfn._xlws.FILTER($A$2:$A$501,($D$2:$D$501&gt;=X$7)*($D$2:$D$501&lt;W$7)*($E$2:$E$501&gt;=$H136)*($E$2:$E$501&lt;$H135)," ")))</f>
        <v>Gateway SD</v>
      </c>
      <c r="X135" t="str" cm="1">
        <f t="array" ref="X135">_xlfn.TEXTJOIN(",",TRUE,(_xlfn._xlws.FILTER($A$2:$A$501,($D$2:$D$501&gt;=Y$7)*($D$2:$D$501&lt;X$7)*($E$2:$E$501&gt;=$H136)*($E$2:$E$501&lt;$H135)," ")))</f>
        <v>Gettysburg Area SD,McKeesport Area SD</v>
      </c>
      <c r="Y135" t="str" cm="1">
        <f t="array" ref="Y135">_xlfn.TEXTJOIN(",",TRUE,(_xlfn._xlws.FILTER($A$2:$A$501,($D$2:$D$501&gt;=Z$7)*($D$2:$D$501&lt;Y$7)*($E$2:$E$501&gt;=$H136)*($E$2:$E$501&lt;$H135)," ")))</f>
        <v xml:space="preserve"> </v>
      </c>
      <c r="Z135" t="str" cm="1">
        <f t="array" ref="Z135">_xlfn.TEXTJOIN(",",TRUE,(_xlfn._xlws.FILTER($A$2:$A$501,($D$2:$D$501&gt;=AA$7)*($D$2:$D$501&lt;Z$7)*($E$2:$E$501&gt;=$H136)*($E$2:$E$501&lt;$H135)," ")))</f>
        <v>South Eastern SD,Mars Area SD</v>
      </c>
      <c r="AA135" t="str" cm="1">
        <f t="array" ref="AA135">_xlfn.TEXTJOIN(",",TRUE,(_xlfn._xlws.FILTER($A$2:$A$501,($D$2:$D$501&gt;=AB$7)*($D$2:$D$501&lt;AA$7)*($E$2:$E$501&gt;=$H136)*($E$2:$E$501&lt;$H135)," ")))</f>
        <v xml:space="preserve"> </v>
      </c>
      <c r="AB135" t="str" cm="1">
        <f t="array" ref="AB135">_xlfn.TEXTJOIN(",",TRUE,(_xlfn._xlws.FILTER($A$2:$A$501,($D$2:$D$501&gt;=AC$7)*($D$2:$D$501&lt;AB$7)*($E$2:$E$501&gt;=$H136)*($E$2:$E$501&lt;$H135)," ")))</f>
        <v>Upper Adams SD,Riverside SD,Oley Valley SD</v>
      </c>
      <c r="AC135" t="str" cm="1">
        <f t="array" ref="AC135">_xlfn.TEXTJOIN(",",TRUE,(_xlfn._xlws.FILTER($A$2:$A$501,($D$2:$D$501&gt;=AD$7)*($D$2:$D$501&lt;AC$7)*($E$2:$E$501&gt;=$H136)*($E$2:$E$501&lt;$H135)," ")))</f>
        <v>Camp Hill SD,Loyalsock Township SD</v>
      </c>
      <c r="AD135" t="str" cm="1">
        <f t="array" ref="AD135">_xlfn.TEXTJOIN(",",TRUE,(_xlfn._xlws.FILTER($A$2:$A$501,($D$2:$D$501&gt;=AE$7)*($D$2:$D$501&lt;AD$7)*($E$2:$E$501&gt;=$H136)*($E$2:$E$501&lt;$H135)," ")))</f>
        <v>Port Allegany SD</v>
      </c>
      <c r="AE135" t="str" cm="1">
        <f t="array" ref="AE135">_xlfn.TEXTJOIN(",",TRUE,(_xlfn._xlws.FILTER($A$2:$A$501,($D$2:$D$501&gt;=AF$7)*($D$2:$D$501&lt;AE$7)*($E$2:$E$501&gt;=$H136)*($E$2:$E$501&lt;$H135)," ")))</f>
        <v xml:space="preserve"> </v>
      </c>
      <c r="AF135" t="str" cm="1">
        <f t="array" ref="AF135">_xlfn.TEXTJOIN(",",TRUE,(_xlfn._xlws.FILTER($A$2:$A$501,($D$2:$D$501&gt;=AG$7)*($D$2:$D$501&lt;AF$7)*($E$2:$E$501&gt;=$H136)*($E$2:$E$501&lt;$H135)," ")))</f>
        <v xml:space="preserve"> </v>
      </c>
      <c r="AG135" t="str" cm="1">
        <f t="array" ref="AG135">_xlfn.TEXTJOIN(",",TRUE,(_xlfn._xlws.FILTER($A$2:$A$501,($D$2:$D$501&gt;=AH$7)*($D$2:$D$501&lt;AG$7)*($E$2:$E$501&gt;=$H136)*($E$2:$E$501&lt;$H135)," ")))</f>
        <v xml:space="preserve"> </v>
      </c>
      <c r="AH135" t="str" cm="1">
        <f t="array" ref="AH135">_xlfn.TEXTJOIN(",",TRUE,(_xlfn._xlws.FILTER($A$2:$A$501,($D$2:$D$501&gt;=AI$7)*($D$2:$D$501&lt;AH$7)*($E$2:$E$501&gt;=$H136)*($E$2:$E$501&lt;$H135)," ")))</f>
        <v xml:space="preserve"> </v>
      </c>
      <c r="AI135" t="str" cm="1">
        <f t="array" ref="AI135">_xlfn.TEXTJOIN(",",TRUE,(_xlfn._xlws.FILTER($A$2:$A$501,($D$2:$D$501&gt;=AJ$7)*($D$2:$D$501&lt;AI$7)*($E$2:$E$501&gt;=$H136)*($E$2:$E$501&lt;$H135)," ")))</f>
        <v xml:space="preserve"> </v>
      </c>
      <c r="AJ135" t="str" cm="1">
        <f t="array" ref="AJ135">_xlfn.TEXTJOIN(",",TRUE,(_xlfn._xlws.FILTER($A$2:$A$501,($D$2:$D$501&gt;=AK$7)*($D$2:$D$501&lt;AJ$7)*($E$2:$E$501&gt;=$H136)*($E$2:$E$501&lt;$H135)," ")))</f>
        <v xml:space="preserve"> </v>
      </c>
      <c r="AK135" t="str" cm="1">
        <f t="array" ref="AK135">_xlfn.TEXTJOIN(",",TRUE,(_xlfn._xlws.FILTER($A$2:$A$501,($D$2:$D$501&gt;=AL$7)*($D$2:$D$501&lt;AK$7)*($E$2:$E$501&gt;=$H136)*($E$2:$E$501&lt;$H135)," ")))</f>
        <v xml:space="preserve"> </v>
      </c>
      <c r="AL135" t="str" cm="1">
        <f t="array" ref="AL135">_xlfn.TEXTJOIN(",",TRUE,(_xlfn._xlws.FILTER($A$2:$A$501,($D$2:$D$501&gt;=AM$7)*($D$2:$D$501&lt;AL$7)*($E$2:$E$501&gt;=$H136)*($E$2:$E$501&lt;$H135)," ")))</f>
        <v xml:space="preserve"> </v>
      </c>
      <c r="AM135" t="str" cm="1">
        <f t="array" ref="AM135">_xlfn.TEXTJOIN(",",TRUE,(_xlfn._xlws.FILTER($A$2:$A$501,($D$2:$D$501&gt;=AN$7)*($D$2:$D$501&lt;AM$7)*($E$2:$E$501&gt;=$H136)*($E$2:$E$501&lt;$H135)," ")))</f>
        <v xml:space="preserve"> </v>
      </c>
      <c r="AN135" t="str" cm="1">
        <f t="array" ref="AN135">_xlfn.TEXTJOIN(",",TRUE,(_xlfn._xlws.FILTER($A$2:$A$501,($D$2:$D$501&gt;=AO$7)*($D$2:$D$501&lt;AN$7)*($E$2:$E$501&gt;=$H136)*($E$2:$E$501&lt;$H135)," ")))</f>
        <v xml:space="preserve"> </v>
      </c>
      <c r="AO135" t="str" cm="1">
        <f t="array" ref="AO135">_xlfn.TEXTJOIN(",",TRUE,(_xlfn._xlws.FILTER($A$2:$A$501,($D$2:$D$501&gt;=AP$7)*($D$2:$D$501&lt;AO$7)*($E$2:$E$501&gt;=$H136)*($E$2:$E$501&lt;$H135)," ")))</f>
        <v xml:space="preserve"> </v>
      </c>
      <c r="AP135" t="str" cm="1">
        <f t="array" ref="AP135">_xlfn.TEXTJOIN(",",TRUE,(_xlfn._xlws.FILTER($A$2:$A$501,($D$2:$D$501&gt;=AQ$7)*($D$2:$D$501&lt;AP$7)*($E$2:$E$501&gt;=$H136)*($E$2:$E$501&lt;$H135)," ")))</f>
        <v xml:space="preserve"> </v>
      </c>
      <c r="AQ135" t="str" cm="1">
        <f t="array" ref="AQ135">_xlfn.TEXTJOIN(",",TRUE,(_xlfn._xlws.FILTER($A$2:$A$501,($D$2:$D$501&gt;=AR$7)*($D$2:$D$501&lt;AQ$7)*($E$2:$E$501&gt;=$H136)*($E$2:$E$501&lt;$H135)," ")))</f>
        <v xml:space="preserve"> </v>
      </c>
      <c r="AR135" t="str" cm="1">
        <f t="array" ref="AR135">_xlfn.TEXTJOIN(",",TRUE,(_xlfn._xlws.FILTER($A$2:$A$501,($D$2:$D$501&gt;=AS$7)*($D$2:$D$501&lt;AR$7)*($E$2:$E$501&gt;=$H136)*($E$2:$E$501&lt;$H135)," ")))</f>
        <v xml:space="preserve"> </v>
      </c>
      <c r="AS135" t="str" cm="1">
        <f t="array" ref="AS135">_xlfn.TEXTJOIN(",",TRUE,(_xlfn._xlws.FILTER($A$2:$A$501,($D$2:$D$501&gt;=AT$7)*($D$2:$D$501&lt;AS$7)*($E$2:$E$501&gt;=$H136)*($E$2:$E$501&lt;$H135)," ")))</f>
        <v xml:space="preserve"> </v>
      </c>
      <c r="AT135" t="str" cm="1">
        <f t="array" ref="AT135">_xlfn.TEXTJOIN(",",TRUE,(_xlfn._xlws.FILTER($A$2:$A$501,($D$2:$D$501&gt;=AU$7)*($D$2:$D$501&lt;AT$7)*($E$2:$E$501&gt;=$H136)*($E$2:$E$501&lt;$H135)," ")))</f>
        <v xml:space="preserve"> </v>
      </c>
      <c r="AU135" t="str" cm="1">
        <f t="array" ref="AU135">_xlfn.TEXTJOIN(",",TRUE,(_xlfn._xlws.FILTER($A$2:$A$501,($D$2:$D$501&gt;=AV$7)*($D$2:$D$501&lt;AU$7)*($E$2:$E$501&gt;=$H136)*($E$2:$E$501&lt;$H135)," ")))</f>
        <v xml:space="preserve"> </v>
      </c>
      <c r="AV135" t="str" cm="1">
        <f t="array" ref="AV135">_xlfn.TEXTJOIN(",",TRUE,(_xlfn._xlws.FILTER($A$2:$A$501,($D$2:$D$501&gt;=AW$7)*($D$2:$D$501&lt;AV$7)*($E$2:$E$501&gt;=$H136)*($E$2:$E$501&lt;$H135)," ")))</f>
        <v xml:space="preserve"> </v>
      </c>
      <c r="AW135" t="str" cm="1">
        <f t="array" ref="AW135">_xlfn.TEXTJOIN(",",TRUE,(_xlfn._xlws.FILTER($A$2:$A$501,($D$2:$D$501&gt;=AX$7)*($D$2:$D$501&lt;AW$7)*($E$2:$E$501&gt;=$H136)*($E$2:$E$501&lt;$H135)," ")))</f>
        <v xml:space="preserve"> </v>
      </c>
      <c r="AX135" t="str" cm="1">
        <f t="array" ref="AX135">_xlfn.TEXTJOIN(",",TRUE,(_xlfn._xlws.FILTER($A$2:$A$501,($D$2:$D$501&gt;=AY$7)*($D$2:$D$501&lt;AX$7)*($E$2:$E$501&gt;=$H136)*($E$2:$E$501&lt;$H135)," ")))</f>
        <v xml:space="preserve"> </v>
      </c>
      <c r="AY135" t="str" cm="1">
        <f t="array" ref="AY135">_xlfn.TEXTJOIN(",",TRUE,(_xlfn._xlws.FILTER($A$2:$A$501,($D$2:$D$501&gt;=AZ$7)*($D$2:$D$501&lt;AY$7)*($E$2:$E$501&gt;=$H136)*($E$2:$E$501&lt;$H135)," ")))</f>
        <v xml:space="preserve"> </v>
      </c>
      <c r="AZ135" t="str" cm="1">
        <f t="array" ref="AZ135">_xlfn.TEXTJOIN(",",TRUE,(_xlfn._xlws.FILTER($A$2:$A$501,($D$2:$D$501&gt;=BA$7)*($D$2:$D$501&lt;AZ$7)*($E$2:$E$501&gt;=$H136)*($E$2:$E$501&lt;$H135)," ")))</f>
        <v xml:space="preserve"> </v>
      </c>
      <c r="BA135" t="str" cm="1">
        <f t="array" ref="BA135">_xlfn.TEXTJOIN(",",TRUE,(_xlfn._xlws.FILTER($A$2:$A$501,($D$2:$D$501&gt;=BB$7)*($D$2:$D$501&lt;BA$7)*($E$2:$E$501&gt;=$H136)*($E$2:$E$501&lt;$H135)," ")))</f>
        <v xml:space="preserve"> </v>
      </c>
      <c r="BB135" t="str" cm="1">
        <f t="array" ref="BB135">_xlfn.TEXTJOIN(",",TRUE,(_xlfn._xlws.FILTER($A$2:$A$501,($D$2:$D$501&gt;=BC$7)*($D$2:$D$501&lt;BB$7)*($E$2:$E$501&gt;=$H136)*($E$2:$E$501&lt;$H135)," ")))</f>
        <v xml:space="preserve"> </v>
      </c>
    </row>
    <row r="136" spans="1:54" x14ac:dyDescent="0.2">
      <c r="A136" s="3" t="s">
        <v>444</v>
      </c>
      <c r="B136" s="3" t="s">
        <v>440</v>
      </c>
      <c r="C136" s="13">
        <v>2163446.5</v>
      </c>
      <c r="D136" s="15">
        <v>56481896.289999999</v>
      </c>
      <c r="E136" s="22">
        <f>TuitionRates3[[#This Row],[Tuition]]/D136</f>
        <v>3.8303361645154847E-2</v>
      </c>
      <c r="F136"/>
      <c r="H136" s="18">
        <v>2.1999999999999999E-2</v>
      </c>
      <c r="I136" t="str" cm="1">
        <f t="array" ref="I136">_xlfn.TEXTJOIN(",",TRUE,(_xlfn._xlws.FILTER($A$2:$A$501,($D$2:$D$501&gt;=J$7)*($D$2:$D$501&lt;I$7)*($E$2:$E$501&gt;=$H137)*($E$2:$E$501&lt;$H136)," ")))</f>
        <v xml:space="preserve"> </v>
      </c>
      <c r="J136" t="str" cm="1">
        <f t="array" ref="J136">_xlfn.TEXTJOIN(",",TRUE,(_xlfn._xlws.FILTER($A$2:$A$501,($D$2:$D$501&gt;=K$7)*($D$2:$D$501&lt;J$7)*($E$2:$E$501&gt;=$H137)*($E$2:$E$501&lt;$H136)," ")))</f>
        <v xml:space="preserve"> </v>
      </c>
      <c r="K136" t="str" cm="1">
        <f t="array" ref="K136">_xlfn.TEXTJOIN(",",TRUE,(_xlfn._xlws.FILTER($A$2:$A$501,($D$2:$D$501&gt;=L$7)*($D$2:$D$501&lt;K$7)*($E$2:$E$501&gt;=$H137)*($E$2:$E$501&lt;$H136)," ")))</f>
        <v xml:space="preserve"> </v>
      </c>
      <c r="L136" t="str" cm="1">
        <f t="array" ref="L136">_xlfn.TEXTJOIN(",",TRUE,(_xlfn._xlws.FILTER($A$2:$A$501,($D$2:$D$501&gt;=M$7)*($D$2:$D$501&lt;L$7)*($E$2:$E$501&gt;=$H137)*($E$2:$E$501&lt;$H136)," ")))</f>
        <v xml:space="preserve"> </v>
      </c>
      <c r="M136" t="str" cm="1">
        <f t="array" ref="M136">_xlfn.TEXTJOIN(",",TRUE,(_xlfn._xlws.FILTER($A$2:$A$501,($D$2:$D$501&gt;=N$7)*($D$2:$D$501&lt;M$7)*($E$2:$E$501&gt;=$H137)*($E$2:$E$501&lt;$H136)," ")))</f>
        <v xml:space="preserve"> </v>
      </c>
      <c r="N136" t="str" cm="1">
        <f t="array" ref="N136">_xlfn.TEXTJOIN(",",TRUE,(_xlfn._xlws.FILTER($A$2:$A$501,($D$2:$D$501&gt;=O$7)*($D$2:$D$501&lt;N$7)*($E$2:$E$501&gt;=$H137)*($E$2:$E$501&lt;$H136)," ")))</f>
        <v xml:space="preserve"> </v>
      </c>
      <c r="O136" t="str" cm="1">
        <f t="array" ref="O136">_xlfn.TEXTJOIN(",",TRUE,(_xlfn._xlws.FILTER($A$2:$A$501,($D$2:$D$501&gt;=P$7)*($D$2:$D$501&lt;O$7)*($E$2:$E$501&gt;=$H137)*($E$2:$E$501&lt;$H136)," ")))</f>
        <v xml:space="preserve"> </v>
      </c>
      <c r="P136" t="str" cm="1">
        <f t="array" ref="P136">_xlfn.TEXTJOIN(",",TRUE,(_xlfn._xlws.FILTER($A$2:$A$501,($D$2:$D$501&gt;=Q$7)*($D$2:$D$501&lt;P$7)*($E$2:$E$501&gt;=$H137)*($E$2:$E$501&lt;$H136)," ")))</f>
        <v xml:space="preserve"> </v>
      </c>
      <c r="Q136" t="str" cm="1">
        <f t="array" ref="Q136">_xlfn.TEXTJOIN(",",TRUE,(_xlfn._xlws.FILTER($A$2:$A$501,($D$2:$D$501&gt;=R$7)*($D$2:$D$501&lt;Q$7)*($E$2:$E$501&gt;=$H137)*($E$2:$E$501&lt;$H136)," ")))</f>
        <v xml:space="preserve"> </v>
      </c>
      <c r="R136" t="str" cm="1">
        <f t="array" ref="R136">_xlfn.TEXTJOIN(",",TRUE,(_xlfn._xlws.FILTER($A$2:$A$501,($D$2:$D$501&gt;=S$7)*($D$2:$D$501&lt;R$7)*($E$2:$E$501&gt;=$H137)*($E$2:$E$501&lt;$H136)," ")))</f>
        <v xml:space="preserve"> </v>
      </c>
      <c r="S136" t="str" cm="1">
        <f t="array" ref="S136">_xlfn.TEXTJOIN(",",TRUE,(_xlfn._xlws.FILTER($A$2:$A$501,($D$2:$D$501&gt;=T$7)*($D$2:$D$501&lt;S$7)*($E$2:$E$501&gt;=$H137)*($E$2:$E$501&lt;$H136)," ")))</f>
        <v xml:space="preserve"> </v>
      </c>
      <c r="T136" t="str" cm="1">
        <f t="array" ref="T136">_xlfn.TEXTJOIN(",",TRUE,(_xlfn._xlws.FILTER($A$2:$A$501,($D$2:$D$501&gt;=U$7)*($D$2:$D$501&lt;T$7)*($E$2:$E$501&gt;=$H137)*($E$2:$E$501&lt;$H136)," ")))</f>
        <v xml:space="preserve"> </v>
      </c>
      <c r="U136" t="str" cm="1">
        <f t="array" ref="U136">_xlfn.TEXTJOIN(",",TRUE,(_xlfn._xlws.FILTER($A$2:$A$501,($D$2:$D$501&gt;=V$7)*($D$2:$D$501&lt;U$7)*($E$2:$E$501&gt;=$H137)*($E$2:$E$501&lt;$H136)," ")))</f>
        <v>Northampton Area SD,Central York SD,Lebanon SD</v>
      </c>
      <c r="V136" t="str" cm="1">
        <f t="array" ref="V136">_xlfn.TEXTJOIN(",",TRUE,(_xlfn._xlws.FILTER($A$2:$A$501,($D$2:$D$501&gt;=W$7)*($D$2:$D$501&lt;V$7)*($E$2:$E$501&gt;=$H137)*($E$2:$E$501&lt;$H136)," ")))</f>
        <v xml:space="preserve"> </v>
      </c>
      <c r="W136" t="str" cm="1">
        <f t="array" ref="W136">_xlfn.TEXTJOIN(",",TRUE,(_xlfn._xlws.FILTER($A$2:$A$501,($D$2:$D$501&gt;=X$7)*($D$2:$D$501&lt;W$7)*($E$2:$E$501&gt;=$H137)*($E$2:$E$501&lt;$H136)," ")))</f>
        <v xml:space="preserve"> </v>
      </c>
      <c r="X136" t="str" cm="1">
        <f t="array" ref="X136">_xlfn.TEXTJOIN(",",TRUE,(_xlfn._xlws.FILTER($A$2:$A$501,($D$2:$D$501&gt;=Y$7)*($D$2:$D$501&lt;X$7)*($E$2:$E$501&gt;=$H137)*($E$2:$E$501&lt;$H136)," ")))</f>
        <v xml:space="preserve"> </v>
      </c>
      <c r="Y136" t="str" cm="1">
        <f t="array" ref="Y136">_xlfn.TEXTJOIN(",",TRUE,(_xlfn._xlws.FILTER($A$2:$A$501,($D$2:$D$501&gt;=Z$7)*($D$2:$D$501&lt;Y$7)*($E$2:$E$501&gt;=$H137)*($E$2:$E$501&lt;$H136)," ")))</f>
        <v xml:space="preserve"> </v>
      </c>
      <c r="Z136" t="str" cm="1">
        <f t="array" ref="Z136">_xlfn.TEXTJOIN(",",TRUE,(_xlfn._xlws.FILTER($A$2:$A$501,($D$2:$D$501&gt;=AA$7)*($D$2:$D$501&lt;Z$7)*($E$2:$E$501&gt;=$H137)*($E$2:$E$501&lt;$H136)," ")))</f>
        <v>Octorara Area SD</v>
      </c>
      <c r="AA136" t="str" cm="1">
        <f t="array" ref="AA136">_xlfn.TEXTJOIN(",",TRUE,(_xlfn._xlws.FILTER($A$2:$A$501,($D$2:$D$501&gt;=AB$7)*($D$2:$D$501&lt;AA$7)*($E$2:$E$501&gt;=$H137)*($E$2:$E$501&lt;$H136)," ")))</f>
        <v>Crestwood SD,Hanover Public SD</v>
      </c>
      <c r="AB136" t="str" cm="1">
        <f t="array" ref="AB136">_xlfn.TEXTJOIN(",",TRUE,(_xlfn._xlws.FILTER($A$2:$A$501,($D$2:$D$501&gt;=AC$7)*($D$2:$D$501&lt;AB$7)*($E$2:$E$501&gt;=$H137)*($E$2:$E$501&lt;$H136)," ")))</f>
        <v>Carlynton SD,Towanda Area SD</v>
      </c>
      <c r="AC136" t="str" cm="1">
        <f t="array" ref="AC136">_xlfn.TEXTJOIN(",",TRUE,(_xlfn._xlws.FILTER($A$2:$A$501,($D$2:$D$501&gt;=AD$7)*($D$2:$D$501&lt;AC$7)*($E$2:$E$501&gt;=$H137)*($E$2:$E$501&lt;$H136)," ")))</f>
        <v>Cranberry Area SD,Tyrone Area SD,Penn Cambria SD,Montgomery Area SD</v>
      </c>
      <c r="AD136" t="str" cm="1">
        <f t="array" ref="AD136">_xlfn.TEXTJOIN(",",TRUE,(_xlfn._xlws.FILTER($A$2:$A$501,($D$2:$D$501&gt;=AE$7)*($D$2:$D$501&lt;AD$7)*($E$2:$E$501&gt;=$H137)*($E$2:$E$501&lt;$H136)," ")))</f>
        <v>Valley Grove SD</v>
      </c>
      <c r="AE136" t="str" cm="1">
        <f t="array" ref="AE136">_xlfn.TEXTJOIN(",",TRUE,(_xlfn._xlws.FILTER($A$2:$A$501,($D$2:$D$501&gt;=AF$7)*($D$2:$D$501&lt;AE$7)*($E$2:$E$501&gt;=$H137)*($E$2:$E$501&lt;$H136)," ")))</f>
        <v xml:space="preserve"> </v>
      </c>
      <c r="AF136" t="str" cm="1">
        <f t="array" ref="AF136">_xlfn.TEXTJOIN(",",TRUE,(_xlfn._xlws.FILTER($A$2:$A$501,($D$2:$D$501&gt;=AG$7)*($D$2:$D$501&lt;AF$7)*($E$2:$E$501&gt;=$H137)*($E$2:$E$501&lt;$H136)," ")))</f>
        <v xml:space="preserve"> </v>
      </c>
      <c r="AG136" t="str" cm="1">
        <f t="array" ref="AG136">_xlfn.TEXTJOIN(",",TRUE,(_xlfn._xlws.FILTER($A$2:$A$501,($D$2:$D$501&gt;=AH$7)*($D$2:$D$501&lt;AG$7)*($E$2:$E$501&gt;=$H137)*($E$2:$E$501&lt;$H136)," ")))</f>
        <v xml:space="preserve"> </v>
      </c>
      <c r="AH136" t="str" cm="1">
        <f t="array" ref="AH136">_xlfn.TEXTJOIN(",",TRUE,(_xlfn._xlws.FILTER($A$2:$A$501,($D$2:$D$501&gt;=AI$7)*($D$2:$D$501&lt;AH$7)*($E$2:$E$501&gt;=$H137)*($E$2:$E$501&lt;$H136)," ")))</f>
        <v xml:space="preserve"> </v>
      </c>
      <c r="AI136" t="str" cm="1">
        <f t="array" ref="AI136">_xlfn.TEXTJOIN(",",TRUE,(_xlfn._xlws.FILTER($A$2:$A$501,($D$2:$D$501&gt;=AJ$7)*($D$2:$D$501&lt;AI$7)*($E$2:$E$501&gt;=$H137)*($E$2:$E$501&lt;$H136)," ")))</f>
        <v xml:space="preserve"> </v>
      </c>
      <c r="AJ136" t="str" cm="1">
        <f t="array" ref="AJ136">_xlfn.TEXTJOIN(",",TRUE,(_xlfn._xlws.FILTER($A$2:$A$501,($D$2:$D$501&gt;=AK$7)*($D$2:$D$501&lt;AJ$7)*($E$2:$E$501&gt;=$H137)*($E$2:$E$501&lt;$H136)," ")))</f>
        <v xml:space="preserve"> </v>
      </c>
      <c r="AK136" t="str" cm="1">
        <f t="array" ref="AK136">_xlfn.TEXTJOIN(",",TRUE,(_xlfn._xlws.FILTER($A$2:$A$501,($D$2:$D$501&gt;=AL$7)*($D$2:$D$501&lt;AK$7)*($E$2:$E$501&gt;=$H137)*($E$2:$E$501&lt;$H136)," ")))</f>
        <v xml:space="preserve"> </v>
      </c>
      <c r="AL136" t="str" cm="1">
        <f t="array" ref="AL136">_xlfn.TEXTJOIN(",",TRUE,(_xlfn._xlws.FILTER($A$2:$A$501,($D$2:$D$501&gt;=AM$7)*($D$2:$D$501&lt;AL$7)*($E$2:$E$501&gt;=$H137)*($E$2:$E$501&lt;$H136)," ")))</f>
        <v xml:space="preserve"> </v>
      </c>
      <c r="AM136" t="str" cm="1">
        <f t="array" ref="AM136">_xlfn.TEXTJOIN(",",TRUE,(_xlfn._xlws.FILTER($A$2:$A$501,($D$2:$D$501&gt;=AN$7)*($D$2:$D$501&lt;AM$7)*($E$2:$E$501&gt;=$H137)*($E$2:$E$501&lt;$H136)," ")))</f>
        <v xml:space="preserve"> </v>
      </c>
      <c r="AN136" t="str" cm="1">
        <f t="array" ref="AN136">_xlfn.TEXTJOIN(",",TRUE,(_xlfn._xlws.FILTER($A$2:$A$501,($D$2:$D$501&gt;=AO$7)*($D$2:$D$501&lt;AN$7)*($E$2:$E$501&gt;=$H137)*($E$2:$E$501&lt;$H136)," ")))</f>
        <v xml:space="preserve"> </v>
      </c>
      <c r="AO136" t="str" cm="1">
        <f t="array" ref="AO136">_xlfn.TEXTJOIN(",",TRUE,(_xlfn._xlws.FILTER($A$2:$A$501,($D$2:$D$501&gt;=AP$7)*($D$2:$D$501&lt;AO$7)*($E$2:$E$501&gt;=$H137)*($E$2:$E$501&lt;$H136)," ")))</f>
        <v xml:space="preserve"> </v>
      </c>
      <c r="AP136" t="str" cm="1">
        <f t="array" ref="AP136">_xlfn.TEXTJOIN(",",TRUE,(_xlfn._xlws.FILTER($A$2:$A$501,($D$2:$D$501&gt;=AQ$7)*($D$2:$D$501&lt;AP$7)*($E$2:$E$501&gt;=$H137)*($E$2:$E$501&lt;$H136)," ")))</f>
        <v xml:space="preserve"> </v>
      </c>
      <c r="AQ136" t="str" cm="1">
        <f t="array" ref="AQ136">_xlfn.TEXTJOIN(",",TRUE,(_xlfn._xlws.FILTER($A$2:$A$501,($D$2:$D$501&gt;=AR$7)*($D$2:$D$501&lt;AQ$7)*($E$2:$E$501&gt;=$H137)*($E$2:$E$501&lt;$H136)," ")))</f>
        <v xml:space="preserve"> </v>
      </c>
      <c r="AR136" t="str" cm="1">
        <f t="array" ref="AR136">_xlfn.TEXTJOIN(",",TRUE,(_xlfn._xlws.FILTER($A$2:$A$501,($D$2:$D$501&gt;=AS$7)*($D$2:$D$501&lt;AR$7)*($E$2:$E$501&gt;=$H137)*($E$2:$E$501&lt;$H136)," ")))</f>
        <v xml:space="preserve"> </v>
      </c>
      <c r="AS136" t="str" cm="1">
        <f t="array" ref="AS136">_xlfn.TEXTJOIN(",",TRUE,(_xlfn._xlws.FILTER($A$2:$A$501,($D$2:$D$501&gt;=AT$7)*($D$2:$D$501&lt;AS$7)*($E$2:$E$501&gt;=$H137)*($E$2:$E$501&lt;$H136)," ")))</f>
        <v xml:space="preserve"> </v>
      </c>
      <c r="AT136" t="str" cm="1">
        <f t="array" ref="AT136">_xlfn.TEXTJOIN(",",TRUE,(_xlfn._xlws.FILTER($A$2:$A$501,($D$2:$D$501&gt;=AU$7)*($D$2:$D$501&lt;AT$7)*($E$2:$E$501&gt;=$H137)*($E$2:$E$501&lt;$H136)," ")))</f>
        <v xml:space="preserve"> </v>
      </c>
      <c r="AU136" t="str" cm="1">
        <f t="array" ref="AU136">_xlfn.TEXTJOIN(",",TRUE,(_xlfn._xlws.FILTER($A$2:$A$501,($D$2:$D$501&gt;=AV$7)*($D$2:$D$501&lt;AU$7)*($E$2:$E$501&gt;=$H137)*($E$2:$E$501&lt;$H136)," ")))</f>
        <v xml:space="preserve"> </v>
      </c>
      <c r="AV136" t="str" cm="1">
        <f t="array" ref="AV136">_xlfn.TEXTJOIN(",",TRUE,(_xlfn._xlws.FILTER($A$2:$A$501,($D$2:$D$501&gt;=AW$7)*($D$2:$D$501&lt;AV$7)*($E$2:$E$501&gt;=$H137)*($E$2:$E$501&lt;$H136)," ")))</f>
        <v xml:space="preserve"> </v>
      </c>
      <c r="AW136" t="str" cm="1">
        <f t="array" ref="AW136">_xlfn.TEXTJOIN(",",TRUE,(_xlfn._xlws.FILTER($A$2:$A$501,($D$2:$D$501&gt;=AX$7)*($D$2:$D$501&lt;AW$7)*($E$2:$E$501&gt;=$H137)*($E$2:$E$501&lt;$H136)," ")))</f>
        <v xml:space="preserve"> </v>
      </c>
      <c r="AX136" t="str" cm="1">
        <f t="array" ref="AX136">_xlfn.TEXTJOIN(",",TRUE,(_xlfn._xlws.FILTER($A$2:$A$501,($D$2:$D$501&gt;=AY$7)*($D$2:$D$501&lt;AX$7)*($E$2:$E$501&gt;=$H137)*($E$2:$E$501&lt;$H136)," ")))</f>
        <v xml:space="preserve"> </v>
      </c>
      <c r="AY136" t="str" cm="1">
        <f t="array" ref="AY136">_xlfn.TEXTJOIN(",",TRUE,(_xlfn._xlws.FILTER($A$2:$A$501,($D$2:$D$501&gt;=AZ$7)*($D$2:$D$501&lt;AY$7)*($E$2:$E$501&gt;=$H137)*($E$2:$E$501&lt;$H136)," ")))</f>
        <v xml:space="preserve"> </v>
      </c>
      <c r="AZ136" t="str" cm="1">
        <f t="array" ref="AZ136">_xlfn.TEXTJOIN(",",TRUE,(_xlfn._xlws.FILTER($A$2:$A$501,($D$2:$D$501&gt;=BA$7)*($D$2:$D$501&lt;AZ$7)*($E$2:$E$501&gt;=$H137)*($E$2:$E$501&lt;$H136)," ")))</f>
        <v xml:space="preserve"> </v>
      </c>
      <c r="BA136" t="str" cm="1">
        <f t="array" ref="BA136">_xlfn.TEXTJOIN(",",TRUE,(_xlfn._xlws.FILTER($A$2:$A$501,($D$2:$D$501&gt;=BB$7)*($D$2:$D$501&lt;BA$7)*($E$2:$E$501&gt;=$H137)*($E$2:$E$501&lt;$H136)," ")))</f>
        <v xml:space="preserve"> </v>
      </c>
      <c r="BB136" t="str" cm="1">
        <f t="array" ref="BB136">_xlfn.TEXTJOIN(",",TRUE,(_xlfn._xlws.FILTER($A$2:$A$501,($D$2:$D$501&gt;=BC$7)*($D$2:$D$501&lt;BB$7)*($E$2:$E$501&gt;=$H137)*($E$2:$E$501&lt;$H136)," ")))</f>
        <v xml:space="preserve"> </v>
      </c>
    </row>
    <row r="137" spans="1:54" x14ac:dyDescent="0.2">
      <c r="A137" s="3" t="s">
        <v>267</v>
      </c>
      <c r="B137" s="3" t="s">
        <v>268</v>
      </c>
      <c r="C137" s="13">
        <v>555328.85</v>
      </c>
      <c r="D137" s="15">
        <v>14518481.6</v>
      </c>
      <c r="E137" s="22">
        <f>TuitionRates3[[#This Row],[Tuition]]/D137</f>
        <v>3.8249788462727398E-2</v>
      </c>
      <c r="F137"/>
      <c r="H137" s="18">
        <v>2.1000000000000001E-2</v>
      </c>
      <c r="I137" t="str" cm="1">
        <f t="array" ref="I137">_xlfn.TEXTJOIN(",",TRUE,(_xlfn._xlws.FILTER($A$2:$A$501,($D$2:$D$501&gt;=J$7)*($D$2:$D$501&lt;I$7)*($E$2:$E$501&gt;=$H138)*($E$2:$E$501&lt;$H137)," ")))</f>
        <v xml:space="preserve"> </v>
      </c>
      <c r="J137" t="str" cm="1">
        <f t="array" ref="J137">_xlfn.TEXTJOIN(",",TRUE,(_xlfn._xlws.FILTER($A$2:$A$501,($D$2:$D$501&gt;=K$7)*($D$2:$D$501&lt;J$7)*($E$2:$E$501&gt;=$H138)*($E$2:$E$501&lt;$H137)," ")))</f>
        <v xml:space="preserve"> </v>
      </c>
      <c r="K137" t="str" cm="1">
        <f t="array" ref="K137">_xlfn.TEXTJOIN(",",TRUE,(_xlfn._xlws.FILTER($A$2:$A$501,($D$2:$D$501&gt;=L$7)*($D$2:$D$501&lt;K$7)*($E$2:$E$501&gt;=$H138)*($E$2:$E$501&lt;$H137)," ")))</f>
        <v xml:space="preserve"> </v>
      </c>
      <c r="L137" t="str" cm="1">
        <f t="array" ref="L137">_xlfn.TEXTJOIN(",",TRUE,(_xlfn._xlws.FILTER($A$2:$A$501,($D$2:$D$501&gt;=M$7)*($D$2:$D$501&lt;L$7)*($E$2:$E$501&gt;=$H138)*($E$2:$E$501&lt;$H137)," ")))</f>
        <v xml:space="preserve"> </v>
      </c>
      <c r="M137" t="str" cm="1">
        <f t="array" ref="M137">_xlfn.TEXTJOIN(",",TRUE,(_xlfn._xlws.FILTER($A$2:$A$501,($D$2:$D$501&gt;=N$7)*($D$2:$D$501&lt;M$7)*($E$2:$E$501&gt;=$H138)*($E$2:$E$501&lt;$H137)," ")))</f>
        <v xml:space="preserve"> </v>
      </c>
      <c r="N137" t="str" cm="1">
        <f t="array" ref="N137">_xlfn.TEXTJOIN(",",TRUE,(_xlfn._xlws.FILTER($A$2:$A$501,($D$2:$D$501&gt;=O$7)*($D$2:$D$501&lt;N$7)*($E$2:$E$501&gt;=$H138)*($E$2:$E$501&lt;$H137)," ")))</f>
        <v xml:space="preserve"> </v>
      </c>
      <c r="O137" t="str" cm="1">
        <f t="array" ref="O137">_xlfn.TEXTJOIN(",",TRUE,(_xlfn._xlws.FILTER($A$2:$A$501,($D$2:$D$501&gt;=P$7)*($D$2:$D$501&lt;O$7)*($E$2:$E$501&gt;=$H138)*($E$2:$E$501&lt;$H137)," ")))</f>
        <v xml:space="preserve"> </v>
      </c>
      <c r="P137" t="str" cm="1">
        <f t="array" ref="P137">_xlfn.TEXTJOIN(",",TRUE,(_xlfn._xlws.FILTER($A$2:$A$501,($D$2:$D$501&gt;=Q$7)*($D$2:$D$501&lt;P$7)*($E$2:$E$501&gt;=$H138)*($E$2:$E$501&lt;$H137)," ")))</f>
        <v xml:space="preserve"> </v>
      </c>
      <c r="Q137" t="str" cm="1">
        <f t="array" ref="Q137">_xlfn.TEXTJOIN(",",TRUE,(_xlfn._xlws.FILTER($A$2:$A$501,($D$2:$D$501&gt;=R$7)*($D$2:$D$501&lt;Q$7)*($E$2:$E$501&gt;=$H138)*($E$2:$E$501&lt;$H137)," ")))</f>
        <v xml:space="preserve"> </v>
      </c>
      <c r="R137" t="str" cm="1">
        <f t="array" ref="R137">_xlfn.TEXTJOIN(",",TRUE,(_xlfn._xlws.FILTER($A$2:$A$501,($D$2:$D$501&gt;=S$7)*($D$2:$D$501&lt;R$7)*($E$2:$E$501&gt;=$H138)*($E$2:$E$501&lt;$H137)," ")))</f>
        <v xml:space="preserve"> </v>
      </c>
      <c r="S137" t="str" cm="1">
        <f t="array" ref="S137">_xlfn.TEXTJOIN(",",TRUE,(_xlfn._xlws.FILTER($A$2:$A$501,($D$2:$D$501&gt;=T$7)*($D$2:$D$501&lt;S$7)*($E$2:$E$501&gt;=$H138)*($E$2:$E$501&lt;$H137)," ")))</f>
        <v xml:space="preserve"> </v>
      </c>
      <c r="T137" t="str" cm="1">
        <f t="array" ref="T137">_xlfn.TEXTJOIN(",",TRUE,(_xlfn._xlws.FILTER($A$2:$A$501,($D$2:$D$501&gt;=U$7)*($D$2:$D$501&lt;T$7)*($E$2:$E$501&gt;=$H138)*($E$2:$E$501&lt;$H137)," ")))</f>
        <v>Hazleton Area SD</v>
      </c>
      <c r="U137" t="str" cm="1">
        <f t="array" ref="U137">_xlfn.TEXTJOIN(",",TRUE,(_xlfn._xlws.FILTER($A$2:$A$501,($D$2:$D$501&gt;=V$7)*($D$2:$D$501&lt;U$7)*($E$2:$E$501&gt;=$H138)*($E$2:$E$501&lt;$H137)," ")))</f>
        <v>East Penn SD</v>
      </c>
      <c r="V137" t="str" cm="1">
        <f t="array" ref="V137">_xlfn.TEXTJOIN(",",TRUE,(_xlfn._xlws.FILTER($A$2:$A$501,($D$2:$D$501&gt;=W$7)*($D$2:$D$501&lt;V$7)*($E$2:$E$501&gt;=$H138)*($E$2:$E$501&lt;$H137)," ")))</f>
        <v>Delaware Valley SD,Whitehall-Coplay SD</v>
      </c>
      <c r="W137" t="str" cm="1">
        <f t="array" ref="W137">_xlfn.TEXTJOIN(",",TRUE,(_xlfn._xlws.FILTER($A$2:$A$501,($D$2:$D$501&gt;=X$7)*($D$2:$D$501&lt;W$7)*($E$2:$E$501&gt;=$H138)*($E$2:$E$501&lt;$H137)," ")))</f>
        <v xml:space="preserve"> </v>
      </c>
      <c r="X137" t="str" cm="1">
        <f t="array" ref="X137">_xlfn.TEXTJOIN(",",TRUE,(_xlfn._xlws.FILTER($A$2:$A$501,($D$2:$D$501&gt;=Y$7)*($D$2:$D$501&lt;X$7)*($E$2:$E$501&gt;=$H138)*($E$2:$E$501&lt;$H137)," ")))</f>
        <v>Solanco SD</v>
      </c>
      <c r="Y137" t="str" cm="1">
        <f t="array" ref="Y137">_xlfn.TEXTJOIN(",",TRUE,(_xlfn._xlws.FILTER($A$2:$A$501,($D$2:$D$501&gt;=Z$7)*($D$2:$D$501&lt;Y$7)*($E$2:$E$501&gt;=$H138)*($E$2:$E$501&lt;$H137)," ")))</f>
        <v xml:space="preserve"> </v>
      </c>
      <c r="Z137" t="str" cm="1">
        <f t="array" ref="Z137">_xlfn.TEXTJOIN(",",TRUE,(_xlfn._xlws.FILTER($A$2:$A$501,($D$2:$D$501&gt;=AA$7)*($D$2:$D$501&lt;Z$7)*($E$2:$E$501&gt;=$H138)*($E$2:$E$501&lt;$H137)," ")))</f>
        <v>Abington Heights SD,Bellefonte Area SD,Elizabeth Forward SD,Fleetwood Area SD</v>
      </c>
      <c r="AA137" t="str" cm="1">
        <f t="array" ref="AA137">_xlfn.TEXTJOIN(",",TRUE,(_xlfn._xlws.FILTER($A$2:$A$501,($D$2:$D$501&gt;=AB$7)*($D$2:$D$501&lt;AA$7)*($E$2:$E$501&gt;=$H138)*($E$2:$E$501&lt;$H137)," ")))</f>
        <v>Deer Lakes SD,Somerset Area SD</v>
      </c>
      <c r="AB137" t="str" cm="1">
        <f t="array" ref="AB137">_xlfn.TEXTJOIN(",",TRUE,(_xlfn._xlws.FILTER($A$2:$A$501,($D$2:$D$501&gt;=AC$7)*($D$2:$D$501&lt;AB$7)*($E$2:$E$501&gt;=$H138)*($E$2:$E$501&lt;$H137)," ")))</f>
        <v>Fort LeBoeuf SD,Warrior Run SD</v>
      </c>
      <c r="AC137" t="str" cm="1">
        <f t="array" ref="AC137">_xlfn.TEXTJOIN(",",TRUE,(_xlfn._xlws.FILTER($A$2:$A$501,($D$2:$D$501&gt;=AD$7)*($D$2:$D$501&lt;AC$7)*($E$2:$E$501&gt;=$H138)*($E$2:$E$501&lt;$H137)," ")))</f>
        <v>Karns City Area SD,Southern Columbia Area SD,Wattsburg Area SD</v>
      </c>
      <c r="AD137" t="str" cm="1">
        <f t="array" ref="AD137">_xlfn.TEXTJOIN(",",TRUE,(_xlfn._xlws.FILTER($A$2:$A$501,($D$2:$D$501&gt;=AE$7)*($D$2:$D$501&lt;AD$7)*($E$2:$E$501&gt;=$H138)*($E$2:$E$501&lt;$H137)," ")))</f>
        <v>West Branch Area SD,Ridgway Area SD,Homer-Center SD</v>
      </c>
      <c r="AE137" t="str" cm="1">
        <f t="array" ref="AE137">_xlfn.TEXTJOIN(",",TRUE,(_xlfn._xlws.FILTER($A$2:$A$501,($D$2:$D$501&gt;=AF$7)*($D$2:$D$501&lt;AE$7)*($E$2:$E$501&gt;=$H138)*($E$2:$E$501&lt;$H137)," ")))</f>
        <v xml:space="preserve"> </v>
      </c>
      <c r="AF137" t="str" cm="1">
        <f t="array" ref="AF137">_xlfn.TEXTJOIN(",",TRUE,(_xlfn._xlws.FILTER($A$2:$A$501,($D$2:$D$501&gt;=AG$7)*($D$2:$D$501&lt;AF$7)*($E$2:$E$501&gt;=$H138)*($E$2:$E$501&lt;$H137)," ")))</f>
        <v xml:space="preserve"> </v>
      </c>
      <c r="AG137" t="str" cm="1">
        <f t="array" ref="AG137">_xlfn.TEXTJOIN(",",TRUE,(_xlfn._xlws.FILTER($A$2:$A$501,($D$2:$D$501&gt;=AH$7)*($D$2:$D$501&lt;AG$7)*($E$2:$E$501&gt;=$H138)*($E$2:$E$501&lt;$H137)," ")))</f>
        <v xml:space="preserve"> </v>
      </c>
      <c r="AH137" t="str" cm="1">
        <f t="array" ref="AH137">_xlfn.TEXTJOIN(",",TRUE,(_xlfn._xlws.FILTER($A$2:$A$501,($D$2:$D$501&gt;=AI$7)*($D$2:$D$501&lt;AH$7)*($E$2:$E$501&gt;=$H138)*($E$2:$E$501&lt;$H137)," ")))</f>
        <v xml:space="preserve"> </v>
      </c>
      <c r="AI137" t="str" cm="1">
        <f t="array" ref="AI137">_xlfn.TEXTJOIN(",",TRUE,(_xlfn._xlws.FILTER($A$2:$A$501,($D$2:$D$501&gt;=AJ$7)*($D$2:$D$501&lt;AI$7)*($E$2:$E$501&gt;=$H138)*($E$2:$E$501&lt;$H137)," ")))</f>
        <v xml:space="preserve"> </v>
      </c>
      <c r="AJ137" t="str" cm="1">
        <f t="array" ref="AJ137">_xlfn.TEXTJOIN(",",TRUE,(_xlfn._xlws.FILTER($A$2:$A$501,($D$2:$D$501&gt;=AK$7)*($D$2:$D$501&lt;AJ$7)*($E$2:$E$501&gt;=$H138)*($E$2:$E$501&lt;$H137)," ")))</f>
        <v xml:space="preserve"> </v>
      </c>
      <c r="AK137" t="str" cm="1">
        <f t="array" ref="AK137">_xlfn.TEXTJOIN(",",TRUE,(_xlfn._xlws.FILTER($A$2:$A$501,($D$2:$D$501&gt;=AL$7)*($D$2:$D$501&lt;AK$7)*($E$2:$E$501&gt;=$H138)*($E$2:$E$501&lt;$H137)," ")))</f>
        <v xml:space="preserve"> </v>
      </c>
      <c r="AL137" t="str" cm="1">
        <f t="array" ref="AL137">_xlfn.TEXTJOIN(",",TRUE,(_xlfn._xlws.FILTER($A$2:$A$501,($D$2:$D$501&gt;=AM$7)*($D$2:$D$501&lt;AL$7)*($E$2:$E$501&gt;=$H138)*($E$2:$E$501&lt;$H137)," ")))</f>
        <v xml:space="preserve"> </v>
      </c>
      <c r="AM137" t="str" cm="1">
        <f t="array" ref="AM137">_xlfn.TEXTJOIN(",",TRUE,(_xlfn._xlws.FILTER($A$2:$A$501,($D$2:$D$501&gt;=AN$7)*($D$2:$D$501&lt;AM$7)*($E$2:$E$501&gt;=$H138)*($E$2:$E$501&lt;$H137)," ")))</f>
        <v xml:space="preserve"> </v>
      </c>
      <c r="AN137" t="str" cm="1">
        <f t="array" ref="AN137">_xlfn.TEXTJOIN(",",TRUE,(_xlfn._xlws.FILTER($A$2:$A$501,($D$2:$D$501&gt;=AO$7)*($D$2:$D$501&lt;AN$7)*($E$2:$E$501&gt;=$H138)*($E$2:$E$501&lt;$H137)," ")))</f>
        <v xml:space="preserve"> </v>
      </c>
      <c r="AO137" t="str" cm="1">
        <f t="array" ref="AO137">_xlfn.TEXTJOIN(",",TRUE,(_xlfn._xlws.FILTER($A$2:$A$501,($D$2:$D$501&gt;=AP$7)*($D$2:$D$501&lt;AO$7)*($E$2:$E$501&gt;=$H138)*($E$2:$E$501&lt;$H137)," ")))</f>
        <v xml:space="preserve"> </v>
      </c>
      <c r="AP137" t="str" cm="1">
        <f t="array" ref="AP137">_xlfn.TEXTJOIN(",",TRUE,(_xlfn._xlws.FILTER($A$2:$A$501,($D$2:$D$501&gt;=AQ$7)*($D$2:$D$501&lt;AP$7)*($E$2:$E$501&gt;=$H138)*($E$2:$E$501&lt;$H137)," ")))</f>
        <v xml:space="preserve"> </v>
      </c>
      <c r="AQ137" t="str" cm="1">
        <f t="array" ref="AQ137">_xlfn.TEXTJOIN(",",TRUE,(_xlfn._xlws.FILTER($A$2:$A$501,($D$2:$D$501&gt;=AR$7)*($D$2:$D$501&lt;AQ$7)*($E$2:$E$501&gt;=$H138)*($E$2:$E$501&lt;$H137)," ")))</f>
        <v xml:space="preserve"> </v>
      </c>
      <c r="AR137" t="str" cm="1">
        <f t="array" ref="AR137">_xlfn.TEXTJOIN(",",TRUE,(_xlfn._xlws.FILTER($A$2:$A$501,($D$2:$D$501&gt;=AS$7)*($D$2:$D$501&lt;AR$7)*($E$2:$E$501&gt;=$H138)*($E$2:$E$501&lt;$H137)," ")))</f>
        <v xml:space="preserve"> </v>
      </c>
      <c r="AS137" t="str" cm="1">
        <f t="array" ref="AS137">_xlfn.TEXTJOIN(",",TRUE,(_xlfn._xlws.FILTER($A$2:$A$501,($D$2:$D$501&gt;=AT$7)*($D$2:$D$501&lt;AS$7)*($E$2:$E$501&gt;=$H138)*($E$2:$E$501&lt;$H137)," ")))</f>
        <v xml:space="preserve"> </v>
      </c>
      <c r="AT137" t="str" cm="1">
        <f t="array" ref="AT137">_xlfn.TEXTJOIN(",",TRUE,(_xlfn._xlws.FILTER($A$2:$A$501,($D$2:$D$501&gt;=AU$7)*($D$2:$D$501&lt;AT$7)*($E$2:$E$501&gt;=$H138)*($E$2:$E$501&lt;$H137)," ")))</f>
        <v xml:space="preserve"> </v>
      </c>
      <c r="AU137" t="str" cm="1">
        <f t="array" ref="AU137">_xlfn.TEXTJOIN(",",TRUE,(_xlfn._xlws.FILTER($A$2:$A$501,($D$2:$D$501&gt;=AV$7)*($D$2:$D$501&lt;AU$7)*($E$2:$E$501&gt;=$H138)*($E$2:$E$501&lt;$H137)," ")))</f>
        <v xml:space="preserve"> </v>
      </c>
      <c r="AV137" t="str" cm="1">
        <f t="array" ref="AV137">_xlfn.TEXTJOIN(",",TRUE,(_xlfn._xlws.FILTER($A$2:$A$501,($D$2:$D$501&gt;=AW$7)*($D$2:$D$501&lt;AV$7)*($E$2:$E$501&gt;=$H138)*($E$2:$E$501&lt;$H137)," ")))</f>
        <v xml:space="preserve"> </v>
      </c>
      <c r="AW137" t="str" cm="1">
        <f t="array" ref="AW137">_xlfn.TEXTJOIN(",",TRUE,(_xlfn._xlws.FILTER($A$2:$A$501,($D$2:$D$501&gt;=AX$7)*($D$2:$D$501&lt;AW$7)*($E$2:$E$501&gt;=$H138)*($E$2:$E$501&lt;$H137)," ")))</f>
        <v xml:space="preserve"> </v>
      </c>
      <c r="AX137" t="str" cm="1">
        <f t="array" ref="AX137">_xlfn.TEXTJOIN(",",TRUE,(_xlfn._xlws.FILTER($A$2:$A$501,($D$2:$D$501&gt;=AY$7)*($D$2:$D$501&lt;AX$7)*($E$2:$E$501&gt;=$H138)*($E$2:$E$501&lt;$H137)," ")))</f>
        <v xml:space="preserve"> </v>
      </c>
      <c r="AY137" t="str" cm="1">
        <f t="array" ref="AY137">_xlfn.TEXTJOIN(",",TRUE,(_xlfn._xlws.FILTER($A$2:$A$501,($D$2:$D$501&gt;=AZ$7)*($D$2:$D$501&lt;AY$7)*($E$2:$E$501&gt;=$H138)*($E$2:$E$501&lt;$H137)," ")))</f>
        <v xml:space="preserve"> </v>
      </c>
      <c r="AZ137" t="str" cm="1">
        <f t="array" ref="AZ137">_xlfn.TEXTJOIN(",",TRUE,(_xlfn._xlws.FILTER($A$2:$A$501,($D$2:$D$501&gt;=BA$7)*($D$2:$D$501&lt;AZ$7)*($E$2:$E$501&gt;=$H138)*($E$2:$E$501&lt;$H137)," ")))</f>
        <v xml:space="preserve"> </v>
      </c>
      <c r="BA137" t="str" cm="1">
        <f t="array" ref="BA137">_xlfn.TEXTJOIN(",",TRUE,(_xlfn._xlws.FILTER($A$2:$A$501,($D$2:$D$501&gt;=BB$7)*($D$2:$D$501&lt;BA$7)*($E$2:$E$501&gt;=$H138)*($E$2:$E$501&lt;$H137)," ")))</f>
        <v xml:space="preserve"> </v>
      </c>
      <c r="BB137" t="str" cm="1">
        <f t="array" ref="BB137">_xlfn.TEXTJOIN(",",TRUE,(_xlfn._xlws.FILTER($A$2:$A$501,($D$2:$D$501&gt;=BC$7)*($D$2:$D$501&lt;BB$7)*($E$2:$E$501&gt;=$H138)*($E$2:$E$501&lt;$H137)," ")))</f>
        <v xml:space="preserve"> </v>
      </c>
    </row>
    <row r="138" spans="1:54" x14ac:dyDescent="0.2">
      <c r="A138" s="3" t="s">
        <v>426</v>
      </c>
      <c r="B138" s="3" t="s">
        <v>406</v>
      </c>
      <c r="C138" s="13">
        <v>2924503.13</v>
      </c>
      <c r="D138" s="15">
        <v>76529158.670000002</v>
      </c>
      <c r="E138" s="22">
        <f>TuitionRates3[[#This Row],[Tuition]]/D138</f>
        <v>3.8214233382738425E-2</v>
      </c>
      <c r="F138"/>
      <c r="H138" s="18">
        <v>0.02</v>
      </c>
      <c r="I138" t="str" cm="1">
        <f t="array" ref="I138">_xlfn.TEXTJOIN(",",TRUE,(_xlfn._xlws.FILTER($A$2:$A$501,($D$2:$D$501&gt;=J$7)*($D$2:$D$501&lt;I$7)*($E$2:$E$501&gt;=$H139)*($E$2:$E$501&lt;$H138)," ")))</f>
        <v xml:space="preserve"> </v>
      </c>
      <c r="J138" t="str" cm="1">
        <f t="array" ref="J138">_xlfn.TEXTJOIN(",",TRUE,(_xlfn._xlws.FILTER($A$2:$A$501,($D$2:$D$501&gt;=K$7)*($D$2:$D$501&lt;J$7)*($E$2:$E$501&gt;=$H139)*($E$2:$E$501&lt;$H138)," ")))</f>
        <v xml:space="preserve"> </v>
      </c>
      <c r="K138" t="str" cm="1">
        <f t="array" ref="K138">_xlfn.TEXTJOIN(",",TRUE,(_xlfn._xlws.FILTER($A$2:$A$501,($D$2:$D$501&gt;=L$7)*($D$2:$D$501&lt;K$7)*($E$2:$E$501&gt;=$H139)*($E$2:$E$501&lt;$H138)," ")))</f>
        <v xml:space="preserve"> </v>
      </c>
      <c r="L138" t="str" cm="1">
        <f t="array" ref="L138">_xlfn.TEXTJOIN(",",TRUE,(_xlfn._xlws.FILTER($A$2:$A$501,($D$2:$D$501&gt;=M$7)*($D$2:$D$501&lt;L$7)*($E$2:$E$501&gt;=$H139)*($E$2:$E$501&lt;$H138)," ")))</f>
        <v xml:space="preserve"> </v>
      </c>
      <c r="M138" t="str" cm="1">
        <f t="array" ref="M138">_xlfn.TEXTJOIN(",",TRUE,(_xlfn._xlws.FILTER($A$2:$A$501,($D$2:$D$501&gt;=N$7)*($D$2:$D$501&lt;M$7)*($E$2:$E$501&gt;=$H139)*($E$2:$E$501&lt;$H138)," ")))</f>
        <v xml:space="preserve"> </v>
      </c>
      <c r="N138" t="str" cm="1">
        <f t="array" ref="N138">_xlfn.TEXTJOIN(",",TRUE,(_xlfn._xlws.FILTER($A$2:$A$501,($D$2:$D$501&gt;=O$7)*($D$2:$D$501&lt;N$7)*($E$2:$E$501&gt;=$H139)*($E$2:$E$501&lt;$H138)," ")))</f>
        <v xml:space="preserve"> </v>
      </c>
      <c r="O138" t="str" cm="1">
        <f t="array" ref="O138">_xlfn.TEXTJOIN(",",TRUE,(_xlfn._xlws.FILTER($A$2:$A$501,($D$2:$D$501&gt;=P$7)*($D$2:$D$501&lt;O$7)*($E$2:$E$501&gt;=$H139)*($E$2:$E$501&lt;$H138)," ")))</f>
        <v xml:space="preserve"> </v>
      </c>
      <c r="P138" t="str" cm="1">
        <f t="array" ref="P138">_xlfn.TEXTJOIN(",",TRUE,(_xlfn._xlws.FILTER($A$2:$A$501,($D$2:$D$501&gt;=Q$7)*($D$2:$D$501&lt;P$7)*($E$2:$E$501&gt;=$H139)*($E$2:$E$501&lt;$H138)," ")))</f>
        <v xml:space="preserve"> </v>
      </c>
      <c r="Q138" t="str" cm="1">
        <f t="array" ref="Q138">_xlfn.TEXTJOIN(",",TRUE,(_xlfn._xlws.FILTER($A$2:$A$501,($D$2:$D$501&gt;=R$7)*($D$2:$D$501&lt;Q$7)*($E$2:$E$501&gt;=$H139)*($E$2:$E$501&lt;$H138)," ")))</f>
        <v xml:space="preserve"> </v>
      </c>
      <c r="R138" t="str" cm="1">
        <f t="array" ref="R138">_xlfn.TEXTJOIN(",",TRUE,(_xlfn._xlws.FILTER($A$2:$A$501,($D$2:$D$501&gt;=S$7)*($D$2:$D$501&lt;R$7)*($E$2:$E$501&gt;=$H139)*($E$2:$E$501&lt;$H138)," ")))</f>
        <v xml:space="preserve"> </v>
      </c>
      <c r="S138" t="str" cm="1">
        <f t="array" ref="S138">_xlfn.TEXTJOIN(",",TRUE,(_xlfn._xlws.FILTER($A$2:$A$501,($D$2:$D$501&gt;=T$7)*($D$2:$D$501&lt;S$7)*($E$2:$E$501&gt;=$H139)*($E$2:$E$501&lt;$H138)," ")))</f>
        <v xml:space="preserve"> </v>
      </c>
      <c r="T138" t="str" cm="1">
        <f t="array" ref="T138">_xlfn.TEXTJOIN(",",TRUE,(_xlfn._xlws.FILTER($A$2:$A$501,($D$2:$D$501&gt;=U$7)*($D$2:$D$501&lt;T$7)*($E$2:$E$501&gt;=$H139)*($E$2:$E$501&lt;$H138)," ")))</f>
        <v xml:space="preserve"> </v>
      </c>
      <c r="U138" t="str" cm="1">
        <f t="array" ref="U138">_xlfn.TEXTJOIN(",",TRUE,(_xlfn._xlws.FILTER($A$2:$A$501,($D$2:$D$501&gt;=V$7)*($D$2:$D$501&lt;U$7)*($E$2:$E$501&gt;=$H139)*($E$2:$E$501&lt;$H138)," ")))</f>
        <v>Bristol Township SD,Millcreek Township SD,Penn Manor SD</v>
      </c>
      <c r="V138" t="str" cm="1">
        <f t="array" ref="V138">_xlfn.TEXTJOIN(",",TRUE,(_xlfn._xlws.FILTER($A$2:$A$501,($D$2:$D$501&gt;=W$7)*($D$2:$D$501&lt;V$7)*($E$2:$E$501&gt;=$H139)*($E$2:$E$501&lt;$H138)," ")))</f>
        <v>Cornwall-Lebanon SD</v>
      </c>
      <c r="W138" t="str" cm="1">
        <f t="array" ref="W138">_xlfn.TEXTJOIN(",",TRUE,(_xlfn._xlws.FILTER($A$2:$A$501,($D$2:$D$501&gt;=X$7)*($D$2:$D$501&lt;W$7)*($E$2:$E$501&gt;=$H139)*($E$2:$E$501&lt;$H138)," ")))</f>
        <v xml:space="preserve"> </v>
      </c>
      <c r="X138" t="str" cm="1">
        <f t="array" ref="X138">_xlfn.TEXTJOIN(",",TRUE,(_xlfn._xlws.FILTER($A$2:$A$501,($D$2:$D$501&gt;=Y$7)*($D$2:$D$501&lt;X$7)*($E$2:$E$501&gt;=$H139)*($E$2:$E$501&lt;$H138)," ")))</f>
        <v xml:space="preserve"> </v>
      </c>
      <c r="Y138" t="str" cm="1">
        <f t="array" ref="Y138">_xlfn.TEXTJOIN(",",TRUE,(_xlfn._xlws.FILTER($A$2:$A$501,($D$2:$D$501&gt;=Z$7)*($D$2:$D$501&lt;Y$7)*($E$2:$E$501&gt;=$H139)*($E$2:$E$501&lt;$H138)," ")))</f>
        <v>Conrad Weiser Area SD</v>
      </c>
      <c r="Z138" t="str" cm="1">
        <f t="array" ref="Z138">_xlfn.TEXTJOIN(",",TRUE,(_xlfn._xlws.FILTER($A$2:$A$501,($D$2:$D$501&gt;=AA$7)*($D$2:$D$501&lt;Z$7)*($E$2:$E$501&gt;=$H139)*($E$2:$E$501&lt;$H138)," ")))</f>
        <v>Hollidaysburg Area SD</v>
      </c>
      <c r="AA138" t="str" cm="1">
        <f t="array" ref="AA138">_xlfn.TEXTJOIN(",",TRUE,(_xlfn._xlws.FILTER($A$2:$A$501,($D$2:$D$501&gt;=AB$7)*($D$2:$D$501&lt;AA$7)*($E$2:$E$501&gt;=$H139)*($E$2:$E$501&lt;$H138)," ")))</f>
        <v>Schuylkill Valley SD</v>
      </c>
      <c r="AB138" t="str" cm="1">
        <f t="array" ref="AB138">_xlfn.TEXTJOIN(",",TRUE,(_xlfn._xlws.FILTER($A$2:$A$501,($D$2:$D$501&gt;=AC$7)*($D$2:$D$501&lt;AB$7)*($E$2:$E$501&gt;=$H139)*($E$2:$E$501&lt;$H138)," ")))</f>
        <v>Saint Marys Area SD,Central Columbia SD,South Park SD</v>
      </c>
      <c r="AC138" t="str" cm="1">
        <f t="array" ref="AC138">_xlfn.TEXTJOIN(",",TRUE,(_xlfn._xlws.FILTER($A$2:$A$501,($D$2:$D$501&gt;=AD$7)*($D$2:$D$501&lt;AC$7)*($E$2:$E$501&gt;=$H139)*($E$2:$E$501&lt;$H138)," ")))</f>
        <v>Brookville Area SD,Blue Ridge SD,Mohawk Area SD,Curwensville Area SD,Neshannock Township SD</v>
      </c>
      <c r="AD138" t="str" cm="1">
        <f t="array" ref="AD138">_xlfn.TEXTJOIN(",",TRUE,(_xlfn._xlws.FILTER($A$2:$A$501,($D$2:$D$501&gt;=AE$7)*($D$2:$D$501&lt;AD$7)*($E$2:$E$501&gt;=$H139)*($E$2:$E$501&lt;$H138)," ")))</f>
        <v>Sharpsville Area SD,Millville Area SD</v>
      </c>
      <c r="AE138" t="str" cm="1">
        <f t="array" ref="AE138">_xlfn.TEXTJOIN(",",TRUE,(_xlfn._xlws.FILTER($A$2:$A$501,($D$2:$D$501&gt;=AF$7)*($D$2:$D$501&lt;AE$7)*($E$2:$E$501&gt;=$H139)*($E$2:$E$501&lt;$H138)," ")))</f>
        <v xml:space="preserve"> </v>
      </c>
      <c r="AF138" t="str" cm="1">
        <f t="array" ref="AF138">_xlfn.TEXTJOIN(",",TRUE,(_xlfn._xlws.FILTER($A$2:$A$501,($D$2:$D$501&gt;=AG$7)*($D$2:$D$501&lt;AF$7)*($E$2:$E$501&gt;=$H139)*($E$2:$E$501&lt;$H138)," ")))</f>
        <v>Williamsburg Community SD</v>
      </c>
      <c r="AG138" t="str" cm="1">
        <f t="array" ref="AG138">_xlfn.TEXTJOIN(",",TRUE,(_xlfn._xlws.FILTER($A$2:$A$501,($D$2:$D$501&gt;=AH$7)*($D$2:$D$501&lt;AG$7)*($E$2:$E$501&gt;=$H139)*($E$2:$E$501&lt;$H138)," ")))</f>
        <v xml:space="preserve"> </v>
      </c>
      <c r="AH138" t="str" cm="1">
        <f t="array" ref="AH138">_xlfn.TEXTJOIN(",",TRUE,(_xlfn._xlws.FILTER($A$2:$A$501,($D$2:$D$501&gt;=AI$7)*($D$2:$D$501&lt;AH$7)*($E$2:$E$501&gt;=$H139)*($E$2:$E$501&lt;$H138)," ")))</f>
        <v xml:space="preserve"> </v>
      </c>
      <c r="AI138" t="str" cm="1">
        <f t="array" ref="AI138">_xlfn.TEXTJOIN(",",TRUE,(_xlfn._xlws.FILTER($A$2:$A$501,($D$2:$D$501&gt;=AJ$7)*($D$2:$D$501&lt;AI$7)*($E$2:$E$501&gt;=$H139)*($E$2:$E$501&lt;$H138)," ")))</f>
        <v xml:space="preserve"> </v>
      </c>
      <c r="AJ138" t="str" cm="1">
        <f t="array" ref="AJ138">_xlfn.TEXTJOIN(",",TRUE,(_xlfn._xlws.FILTER($A$2:$A$501,($D$2:$D$501&gt;=AK$7)*($D$2:$D$501&lt;AJ$7)*($E$2:$E$501&gt;=$H139)*($E$2:$E$501&lt;$H138)," ")))</f>
        <v xml:space="preserve"> </v>
      </c>
      <c r="AK138" t="str" cm="1">
        <f t="array" ref="AK138">_xlfn.TEXTJOIN(",",TRUE,(_xlfn._xlws.FILTER($A$2:$A$501,($D$2:$D$501&gt;=AL$7)*($D$2:$D$501&lt;AK$7)*($E$2:$E$501&gt;=$H139)*($E$2:$E$501&lt;$H138)," ")))</f>
        <v xml:space="preserve"> </v>
      </c>
      <c r="AL138" t="str" cm="1">
        <f t="array" ref="AL138">_xlfn.TEXTJOIN(",",TRUE,(_xlfn._xlws.FILTER($A$2:$A$501,($D$2:$D$501&gt;=AM$7)*($D$2:$D$501&lt;AL$7)*($E$2:$E$501&gt;=$H139)*($E$2:$E$501&lt;$H138)," ")))</f>
        <v xml:space="preserve"> </v>
      </c>
      <c r="AM138" t="str" cm="1">
        <f t="array" ref="AM138">_xlfn.TEXTJOIN(",",TRUE,(_xlfn._xlws.FILTER($A$2:$A$501,($D$2:$D$501&gt;=AN$7)*($D$2:$D$501&lt;AM$7)*($E$2:$E$501&gt;=$H139)*($E$2:$E$501&lt;$H138)," ")))</f>
        <v xml:space="preserve"> </v>
      </c>
      <c r="AN138" t="str" cm="1">
        <f t="array" ref="AN138">_xlfn.TEXTJOIN(",",TRUE,(_xlfn._xlws.FILTER($A$2:$A$501,($D$2:$D$501&gt;=AO$7)*($D$2:$D$501&lt;AN$7)*($E$2:$E$501&gt;=$H139)*($E$2:$E$501&lt;$H138)," ")))</f>
        <v xml:space="preserve"> </v>
      </c>
      <c r="AO138" t="str" cm="1">
        <f t="array" ref="AO138">_xlfn.TEXTJOIN(",",TRUE,(_xlfn._xlws.FILTER($A$2:$A$501,($D$2:$D$501&gt;=AP$7)*($D$2:$D$501&lt;AO$7)*($E$2:$E$501&gt;=$H139)*($E$2:$E$501&lt;$H138)," ")))</f>
        <v xml:space="preserve"> </v>
      </c>
      <c r="AP138" t="str" cm="1">
        <f t="array" ref="AP138">_xlfn.TEXTJOIN(",",TRUE,(_xlfn._xlws.FILTER($A$2:$A$501,($D$2:$D$501&gt;=AQ$7)*($D$2:$D$501&lt;AP$7)*($E$2:$E$501&gt;=$H139)*($E$2:$E$501&lt;$H138)," ")))</f>
        <v xml:space="preserve"> </v>
      </c>
      <c r="AQ138" t="str" cm="1">
        <f t="array" ref="AQ138">_xlfn.TEXTJOIN(",",TRUE,(_xlfn._xlws.FILTER($A$2:$A$501,($D$2:$D$501&gt;=AR$7)*($D$2:$D$501&lt;AQ$7)*($E$2:$E$501&gt;=$H139)*($E$2:$E$501&lt;$H138)," ")))</f>
        <v xml:space="preserve"> </v>
      </c>
      <c r="AR138" t="str" cm="1">
        <f t="array" ref="AR138">_xlfn.TEXTJOIN(",",TRUE,(_xlfn._xlws.FILTER($A$2:$A$501,($D$2:$D$501&gt;=AS$7)*($D$2:$D$501&lt;AR$7)*($E$2:$E$501&gt;=$H139)*($E$2:$E$501&lt;$H138)," ")))</f>
        <v xml:space="preserve"> </v>
      </c>
      <c r="AS138" t="str" cm="1">
        <f t="array" ref="AS138">_xlfn.TEXTJOIN(",",TRUE,(_xlfn._xlws.FILTER($A$2:$A$501,($D$2:$D$501&gt;=AT$7)*($D$2:$D$501&lt;AS$7)*($E$2:$E$501&gt;=$H139)*($E$2:$E$501&lt;$H138)," ")))</f>
        <v xml:space="preserve"> </v>
      </c>
      <c r="AT138" t="str" cm="1">
        <f t="array" ref="AT138">_xlfn.TEXTJOIN(",",TRUE,(_xlfn._xlws.FILTER($A$2:$A$501,($D$2:$D$501&gt;=AU$7)*($D$2:$D$501&lt;AT$7)*($E$2:$E$501&gt;=$H139)*($E$2:$E$501&lt;$H138)," ")))</f>
        <v xml:space="preserve"> </v>
      </c>
      <c r="AU138" t="str" cm="1">
        <f t="array" ref="AU138">_xlfn.TEXTJOIN(",",TRUE,(_xlfn._xlws.FILTER($A$2:$A$501,($D$2:$D$501&gt;=AV$7)*($D$2:$D$501&lt;AU$7)*($E$2:$E$501&gt;=$H139)*($E$2:$E$501&lt;$H138)," ")))</f>
        <v xml:space="preserve"> </v>
      </c>
      <c r="AV138" t="str" cm="1">
        <f t="array" ref="AV138">_xlfn.TEXTJOIN(",",TRUE,(_xlfn._xlws.FILTER($A$2:$A$501,($D$2:$D$501&gt;=AW$7)*($D$2:$D$501&lt;AV$7)*($E$2:$E$501&gt;=$H139)*($E$2:$E$501&lt;$H138)," ")))</f>
        <v xml:space="preserve"> </v>
      </c>
      <c r="AW138" t="str" cm="1">
        <f t="array" ref="AW138">_xlfn.TEXTJOIN(",",TRUE,(_xlfn._xlws.FILTER($A$2:$A$501,($D$2:$D$501&gt;=AX$7)*($D$2:$D$501&lt;AW$7)*($E$2:$E$501&gt;=$H139)*($E$2:$E$501&lt;$H138)," ")))</f>
        <v xml:space="preserve"> </v>
      </c>
      <c r="AX138" t="str" cm="1">
        <f t="array" ref="AX138">_xlfn.TEXTJOIN(",",TRUE,(_xlfn._xlws.FILTER($A$2:$A$501,($D$2:$D$501&gt;=AY$7)*($D$2:$D$501&lt;AX$7)*($E$2:$E$501&gt;=$H139)*($E$2:$E$501&lt;$H138)," ")))</f>
        <v xml:space="preserve"> </v>
      </c>
      <c r="AY138" t="str" cm="1">
        <f t="array" ref="AY138">_xlfn.TEXTJOIN(",",TRUE,(_xlfn._xlws.FILTER($A$2:$A$501,($D$2:$D$501&gt;=AZ$7)*($D$2:$D$501&lt;AY$7)*($E$2:$E$501&gt;=$H139)*($E$2:$E$501&lt;$H138)," ")))</f>
        <v xml:space="preserve"> </v>
      </c>
      <c r="AZ138" t="str" cm="1">
        <f t="array" ref="AZ138">_xlfn.TEXTJOIN(",",TRUE,(_xlfn._xlws.FILTER($A$2:$A$501,($D$2:$D$501&gt;=BA$7)*($D$2:$D$501&lt;AZ$7)*($E$2:$E$501&gt;=$H139)*($E$2:$E$501&lt;$H138)," ")))</f>
        <v xml:space="preserve"> </v>
      </c>
      <c r="BA138" t="str" cm="1">
        <f t="array" ref="BA138">_xlfn.TEXTJOIN(",",TRUE,(_xlfn._xlws.FILTER($A$2:$A$501,($D$2:$D$501&gt;=BB$7)*($D$2:$D$501&lt;BA$7)*($E$2:$E$501&gt;=$H139)*($E$2:$E$501&lt;$H138)," ")))</f>
        <v xml:space="preserve"> </v>
      </c>
      <c r="BB138" t="str" cm="1">
        <f t="array" ref="BB138">_xlfn.TEXTJOIN(",",TRUE,(_xlfn._xlws.FILTER($A$2:$A$501,($D$2:$D$501&gt;=BC$7)*($D$2:$D$501&lt;BB$7)*($E$2:$E$501&gt;=$H139)*($E$2:$E$501&lt;$H138)," ")))</f>
        <v xml:space="preserve"> </v>
      </c>
    </row>
    <row r="139" spans="1:54" x14ac:dyDescent="0.2">
      <c r="A139" s="3" t="s">
        <v>82</v>
      </c>
      <c r="B139" s="3" t="s">
        <v>81</v>
      </c>
      <c r="C139" s="13">
        <v>5276758.8099999996</v>
      </c>
      <c r="D139" s="15">
        <v>138457358.16</v>
      </c>
      <c r="E139" s="22">
        <f>TuitionRates3[[#This Row],[Tuition]]/D139</f>
        <v>3.8111075352905602E-2</v>
      </c>
      <c r="F139"/>
      <c r="H139" s="18">
        <v>1.9E-2</v>
      </c>
      <c r="I139" t="str" cm="1">
        <f t="array" ref="I139">_xlfn.TEXTJOIN(",",TRUE,(_xlfn._xlws.FILTER($A$2:$A$501,($D$2:$D$501&gt;=J$7)*($D$2:$D$501&lt;I$7)*($E$2:$E$501&gt;=$H140)*($E$2:$E$501&lt;$H139)," ")))</f>
        <v xml:space="preserve"> </v>
      </c>
      <c r="J139" t="str" cm="1">
        <f t="array" ref="J139">_xlfn.TEXTJOIN(",",TRUE,(_xlfn._xlws.FILTER($A$2:$A$501,($D$2:$D$501&gt;=K$7)*($D$2:$D$501&lt;J$7)*($E$2:$E$501&gt;=$H140)*($E$2:$E$501&lt;$H139)," ")))</f>
        <v xml:space="preserve"> </v>
      </c>
      <c r="K139" t="str" cm="1">
        <f t="array" ref="K139">_xlfn.TEXTJOIN(",",TRUE,(_xlfn._xlws.FILTER($A$2:$A$501,($D$2:$D$501&gt;=L$7)*($D$2:$D$501&lt;K$7)*($E$2:$E$501&gt;=$H140)*($E$2:$E$501&lt;$H139)," ")))</f>
        <v xml:space="preserve"> </v>
      </c>
      <c r="L139" t="str" cm="1">
        <f t="array" ref="L139">_xlfn.TEXTJOIN(",",TRUE,(_xlfn._xlws.FILTER($A$2:$A$501,($D$2:$D$501&gt;=M$7)*($D$2:$D$501&lt;L$7)*($E$2:$E$501&gt;=$H140)*($E$2:$E$501&lt;$H139)," ")))</f>
        <v xml:space="preserve"> </v>
      </c>
      <c r="M139" t="str" cm="1">
        <f t="array" ref="M139">_xlfn.TEXTJOIN(",",TRUE,(_xlfn._xlws.FILTER($A$2:$A$501,($D$2:$D$501&gt;=N$7)*($D$2:$D$501&lt;M$7)*($E$2:$E$501&gt;=$H140)*($E$2:$E$501&lt;$H139)," ")))</f>
        <v xml:space="preserve"> </v>
      </c>
      <c r="N139" t="str" cm="1">
        <f t="array" ref="N139">_xlfn.TEXTJOIN(",",TRUE,(_xlfn._xlws.FILTER($A$2:$A$501,($D$2:$D$501&gt;=O$7)*($D$2:$D$501&lt;N$7)*($E$2:$E$501&gt;=$H140)*($E$2:$E$501&lt;$H139)," ")))</f>
        <v xml:space="preserve"> </v>
      </c>
      <c r="O139" t="str" cm="1">
        <f t="array" ref="O139">_xlfn.TEXTJOIN(",",TRUE,(_xlfn._xlws.FILTER($A$2:$A$501,($D$2:$D$501&gt;=P$7)*($D$2:$D$501&lt;O$7)*($E$2:$E$501&gt;=$H140)*($E$2:$E$501&lt;$H139)," ")))</f>
        <v xml:space="preserve"> </v>
      </c>
      <c r="P139" t="str" cm="1">
        <f t="array" ref="P139">_xlfn.TEXTJOIN(",",TRUE,(_xlfn._xlws.FILTER($A$2:$A$501,($D$2:$D$501&gt;=Q$7)*($D$2:$D$501&lt;P$7)*($E$2:$E$501&gt;=$H140)*($E$2:$E$501&lt;$H139)," ")))</f>
        <v xml:space="preserve"> </v>
      </c>
      <c r="Q139" t="str" cm="1">
        <f t="array" ref="Q139">_xlfn.TEXTJOIN(",",TRUE,(_xlfn._xlws.FILTER($A$2:$A$501,($D$2:$D$501&gt;=R$7)*($D$2:$D$501&lt;Q$7)*($E$2:$E$501&gt;=$H140)*($E$2:$E$501&lt;$H139)," ")))</f>
        <v xml:space="preserve"> </v>
      </c>
      <c r="R139" t="str" cm="1">
        <f t="array" ref="R139">_xlfn.TEXTJOIN(",",TRUE,(_xlfn._xlws.FILTER($A$2:$A$501,($D$2:$D$501&gt;=S$7)*($D$2:$D$501&lt;R$7)*($E$2:$E$501&gt;=$H140)*($E$2:$E$501&lt;$H139)," ")))</f>
        <v xml:space="preserve"> </v>
      </c>
      <c r="S139" t="str" cm="1">
        <f t="array" ref="S139">_xlfn.TEXTJOIN(",",TRUE,(_xlfn._xlws.FILTER($A$2:$A$501,($D$2:$D$501&gt;=T$7)*($D$2:$D$501&lt;S$7)*($E$2:$E$501&gt;=$H140)*($E$2:$E$501&lt;$H139)," ")))</f>
        <v xml:space="preserve"> </v>
      </c>
      <c r="T139" t="str" cm="1">
        <f t="array" ref="T139">_xlfn.TEXTJOIN(",",TRUE,(_xlfn._xlws.FILTER($A$2:$A$501,($D$2:$D$501&gt;=U$7)*($D$2:$D$501&lt;T$7)*($E$2:$E$501&gt;=$H140)*($E$2:$E$501&lt;$H139)," ")))</f>
        <v>Neshaminy SD</v>
      </c>
      <c r="U139" t="str" cm="1">
        <f t="array" ref="U139">_xlfn.TEXTJOIN(",",TRUE,(_xlfn._xlws.FILTER($A$2:$A$501,($D$2:$D$501&gt;=V$7)*($D$2:$D$501&lt;U$7)*($E$2:$E$501&gt;=$H140)*($E$2:$E$501&lt;$H139)," ")))</f>
        <v xml:space="preserve"> </v>
      </c>
      <c r="V139" t="str" cm="1">
        <f t="array" ref="V139">_xlfn.TEXTJOIN(",",TRUE,(_xlfn._xlws.FILTER($A$2:$A$501,($D$2:$D$501&gt;=W$7)*($D$2:$D$501&lt;V$7)*($E$2:$E$501&gt;=$H140)*($E$2:$E$501&lt;$H139)," ")))</f>
        <v xml:space="preserve"> </v>
      </c>
      <c r="W139" t="str" cm="1">
        <f t="array" ref="W139">_xlfn.TEXTJOIN(",",TRUE,(_xlfn._xlws.FILTER($A$2:$A$501,($D$2:$D$501&gt;=X$7)*($D$2:$D$501&lt;W$7)*($E$2:$E$501&gt;=$H140)*($E$2:$E$501&lt;$H139)," ")))</f>
        <v>Exeter Township SD,Ephrata Area SD,Moon Area SD</v>
      </c>
      <c r="X139" t="str" cm="1">
        <f t="array" ref="X139">_xlfn.TEXTJOIN(",",TRUE,(_xlfn._xlws.FILTER($A$2:$A$501,($D$2:$D$501&gt;=Y$7)*($D$2:$D$501&lt;X$7)*($E$2:$E$501&gt;=$H140)*($E$2:$E$501&lt;$H139)," ")))</f>
        <v>Upper Moreland Township SD</v>
      </c>
      <c r="Y139" t="str" cm="1">
        <f t="array" ref="Y139">_xlfn.TEXTJOIN(",",TRUE,(_xlfn._xlws.FILTER($A$2:$A$501,($D$2:$D$501&gt;=Z$7)*($D$2:$D$501&lt;Y$7)*($E$2:$E$501&gt;=$H140)*($E$2:$E$501&lt;$H139)," ")))</f>
        <v xml:space="preserve"> </v>
      </c>
      <c r="Z139" t="str" cm="1">
        <f t="array" ref="Z139">_xlfn.TEXTJOIN(",",TRUE,(_xlfn._xlws.FILTER($A$2:$A$501,($D$2:$D$501&gt;=AA$7)*($D$2:$D$501&lt;Z$7)*($E$2:$E$501&gt;=$H140)*($E$2:$E$501&lt;$H139)," ")))</f>
        <v xml:space="preserve"> </v>
      </c>
      <c r="AA139" t="str" cm="1">
        <f t="array" ref="AA139">_xlfn.TEXTJOIN(",",TRUE,(_xlfn._xlws.FILTER($A$2:$A$501,($D$2:$D$501&gt;=AB$7)*($D$2:$D$501&lt;AA$7)*($E$2:$E$501&gt;=$H140)*($E$2:$E$501&lt;$H139)," ")))</f>
        <v>Salisbury Township SD</v>
      </c>
      <c r="AB139" t="str" cm="1">
        <f t="array" ref="AB139">_xlfn.TEXTJOIN(",",TRUE,(_xlfn._xlws.FILTER($A$2:$A$501,($D$2:$D$501&gt;=AC$7)*($D$2:$D$501&lt;AB$7)*($E$2:$E$501&gt;=$H140)*($E$2:$E$501&lt;$H139)," ")))</f>
        <v>Hermitage SD</v>
      </c>
      <c r="AC139" t="str" cm="1">
        <f t="array" ref="AC139">_xlfn.TEXTJOIN(",",TRUE,(_xlfn._xlws.FILTER($A$2:$A$501,($D$2:$D$501&gt;=AD$7)*($D$2:$D$501&lt;AC$7)*($E$2:$E$501&gt;=$H140)*($E$2:$E$501&lt;$H139)," ")))</f>
        <v xml:space="preserve"> </v>
      </c>
      <c r="AD139" t="str" cm="1">
        <f t="array" ref="AD139">_xlfn.TEXTJOIN(",",TRUE,(_xlfn._xlws.FILTER($A$2:$A$501,($D$2:$D$501&gt;=AE$7)*($D$2:$D$501&lt;AD$7)*($E$2:$E$501&gt;=$H140)*($E$2:$E$501&lt;$H139)," ")))</f>
        <v>Benton Area SD</v>
      </c>
      <c r="AE139" t="str" cm="1">
        <f t="array" ref="AE139">_xlfn.TEXTJOIN(",",TRUE,(_xlfn._xlws.FILTER($A$2:$A$501,($D$2:$D$501&gt;=AF$7)*($D$2:$D$501&lt;AE$7)*($E$2:$E$501&gt;=$H140)*($E$2:$E$501&lt;$H139)," ")))</f>
        <v xml:space="preserve"> </v>
      </c>
      <c r="AF139" t="str" cm="1">
        <f t="array" ref="AF139">_xlfn.TEXTJOIN(",",TRUE,(_xlfn._xlws.FILTER($A$2:$A$501,($D$2:$D$501&gt;=AG$7)*($D$2:$D$501&lt;AF$7)*($E$2:$E$501&gt;=$H140)*($E$2:$E$501&lt;$H139)," ")))</f>
        <v>Shanksville-Stonycreek SD</v>
      </c>
      <c r="AG139" t="str" cm="1">
        <f t="array" ref="AG139">_xlfn.TEXTJOIN(",",TRUE,(_xlfn._xlws.FILTER($A$2:$A$501,($D$2:$D$501&gt;=AH$7)*($D$2:$D$501&lt;AG$7)*($E$2:$E$501&gt;=$H140)*($E$2:$E$501&lt;$H139)," ")))</f>
        <v xml:space="preserve"> </v>
      </c>
      <c r="AH139" t="str" cm="1">
        <f t="array" ref="AH139">_xlfn.TEXTJOIN(",",TRUE,(_xlfn._xlws.FILTER($A$2:$A$501,($D$2:$D$501&gt;=AI$7)*($D$2:$D$501&lt;AH$7)*($E$2:$E$501&gt;=$H140)*($E$2:$E$501&lt;$H139)," ")))</f>
        <v xml:space="preserve"> </v>
      </c>
      <c r="AI139" t="str" cm="1">
        <f t="array" ref="AI139">_xlfn.TEXTJOIN(",",TRUE,(_xlfn._xlws.FILTER($A$2:$A$501,($D$2:$D$501&gt;=AJ$7)*($D$2:$D$501&lt;AI$7)*($E$2:$E$501&gt;=$H140)*($E$2:$E$501&lt;$H139)," ")))</f>
        <v xml:space="preserve"> </v>
      </c>
      <c r="AJ139" t="str" cm="1">
        <f t="array" ref="AJ139">_xlfn.TEXTJOIN(",",TRUE,(_xlfn._xlws.FILTER($A$2:$A$501,($D$2:$D$501&gt;=AK$7)*($D$2:$D$501&lt;AJ$7)*($E$2:$E$501&gt;=$H140)*($E$2:$E$501&lt;$H139)," ")))</f>
        <v xml:space="preserve"> </v>
      </c>
      <c r="AK139" t="str" cm="1">
        <f t="array" ref="AK139">_xlfn.TEXTJOIN(",",TRUE,(_xlfn._xlws.FILTER($A$2:$A$501,($D$2:$D$501&gt;=AL$7)*($D$2:$D$501&lt;AK$7)*($E$2:$E$501&gt;=$H140)*($E$2:$E$501&lt;$H139)," ")))</f>
        <v xml:space="preserve"> </v>
      </c>
      <c r="AL139" t="str" cm="1">
        <f t="array" ref="AL139">_xlfn.TEXTJOIN(",",TRUE,(_xlfn._xlws.FILTER($A$2:$A$501,($D$2:$D$501&gt;=AM$7)*($D$2:$D$501&lt;AL$7)*($E$2:$E$501&gt;=$H140)*($E$2:$E$501&lt;$H139)," ")))</f>
        <v xml:space="preserve"> </v>
      </c>
      <c r="AM139" t="str" cm="1">
        <f t="array" ref="AM139">_xlfn.TEXTJOIN(",",TRUE,(_xlfn._xlws.FILTER($A$2:$A$501,($D$2:$D$501&gt;=AN$7)*($D$2:$D$501&lt;AM$7)*($E$2:$E$501&gt;=$H140)*($E$2:$E$501&lt;$H139)," ")))</f>
        <v xml:space="preserve"> </v>
      </c>
      <c r="AN139" t="str" cm="1">
        <f t="array" ref="AN139">_xlfn.TEXTJOIN(",",TRUE,(_xlfn._xlws.FILTER($A$2:$A$501,($D$2:$D$501&gt;=AO$7)*($D$2:$D$501&lt;AN$7)*($E$2:$E$501&gt;=$H140)*($E$2:$E$501&lt;$H139)," ")))</f>
        <v xml:space="preserve"> </v>
      </c>
      <c r="AO139" t="str" cm="1">
        <f t="array" ref="AO139">_xlfn.TEXTJOIN(",",TRUE,(_xlfn._xlws.FILTER($A$2:$A$501,($D$2:$D$501&gt;=AP$7)*($D$2:$D$501&lt;AO$7)*($E$2:$E$501&gt;=$H140)*($E$2:$E$501&lt;$H139)," ")))</f>
        <v xml:space="preserve"> </v>
      </c>
      <c r="AP139" t="str" cm="1">
        <f t="array" ref="AP139">_xlfn.TEXTJOIN(",",TRUE,(_xlfn._xlws.FILTER($A$2:$A$501,($D$2:$D$501&gt;=AQ$7)*($D$2:$D$501&lt;AP$7)*($E$2:$E$501&gt;=$H140)*($E$2:$E$501&lt;$H139)," ")))</f>
        <v xml:space="preserve"> </v>
      </c>
      <c r="AQ139" t="str" cm="1">
        <f t="array" ref="AQ139">_xlfn.TEXTJOIN(",",TRUE,(_xlfn._xlws.FILTER($A$2:$A$501,($D$2:$D$501&gt;=AR$7)*($D$2:$D$501&lt;AQ$7)*($E$2:$E$501&gt;=$H140)*($E$2:$E$501&lt;$H139)," ")))</f>
        <v xml:space="preserve"> </v>
      </c>
      <c r="AR139" t="str" cm="1">
        <f t="array" ref="AR139">_xlfn.TEXTJOIN(",",TRUE,(_xlfn._xlws.FILTER($A$2:$A$501,($D$2:$D$501&gt;=AS$7)*($D$2:$D$501&lt;AR$7)*($E$2:$E$501&gt;=$H140)*($E$2:$E$501&lt;$H139)," ")))</f>
        <v xml:space="preserve"> </v>
      </c>
      <c r="AS139" t="str" cm="1">
        <f t="array" ref="AS139">_xlfn.TEXTJOIN(",",TRUE,(_xlfn._xlws.FILTER($A$2:$A$501,($D$2:$D$501&gt;=AT$7)*($D$2:$D$501&lt;AS$7)*($E$2:$E$501&gt;=$H140)*($E$2:$E$501&lt;$H139)," ")))</f>
        <v xml:space="preserve"> </v>
      </c>
      <c r="AT139" t="str" cm="1">
        <f t="array" ref="AT139">_xlfn.TEXTJOIN(",",TRUE,(_xlfn._xlws.FILTER($A$2:$A$501,($D$2:$D$501&gt;=AU$7)*($D$2:$D$501&lt;AT$7)*($E$2:$E$501&gt;=$H140)*($E$2:$E$501&lt;$H139)," ")))</f>
        <v xml:space="preserve"> </v>
      </c>
      <c r="AU139" t="str" cm="1">
        <f t="array" ref="AU139">_xlfn.TEXTJOIN(",",TRUE,(_xlfn._xlws.FILTER($A$2:$A$501,($D$2:$D$501&gt;=AV$7)*($D$2:$D$501&lt;AU$7)*($E$2:$E$501&gt;=$H140)*($E$2:$E$501&lt;$H139)," ")))</f>
        <v xml:space="preserve"> </v>
      </c>
      <c r="AV139" t="str" cm="1">
        <f t="array" ref="AV139">_xlfn.TEXTJOIN(",",TRUE,(_xlfn._xlws.FILTER($A$2:$A$501,($D$2:$D$501&gt;=AW$7)*($D$2:$D$501&lt;AV$7)*($E$2:$E$501&gt;=$H140)*($E$2:$E$501&lt;$H139)," ")))</f>
        <v xml:space="preserve"> </v>
      </c>
      <c r="AW139" t="str" cm="1">
        <f t="array" ref="AW139">_xlfn.TEXTJOIN(",",TRUE,(_xlfn._xlws.FILTER($A$2:$A$501,($D$2:$D$501&gt;=AX$7)*($D$2:$D$501&lt;AW$7)*($E$2:$E$501&gt;=$H140)*($E$2:$E$501&lt;$H139)," ")))</f>
        <v xml:space="preserve"> </v>
      </c>
      <c r="AX139" t="str" cm="1">
        <f t="array" ref="AX139">_xlfn.TEXTJOIN(",",TRUE,(_xlfn._xlws.FILTER($A$2:$A$501,($D$2:$D$501&gt;=AY$7)*($D$2:$D$501&lt;AX$7)*($E$2:$E$501&gt;=$H140)*($E$2:$E$501&lt;$H139)," ")))</f>
        <v xml:space="preserve"> </v>
      </c>
      <c r="AY139" t="str" cm="1">
        <f t="array" ref="AY139">_xlfn.TEXTJOIN(",",TRUE,(_xlfn._xlws.FILTER($A$2:$A$501,($D$2:$D$501&gt;=AZ$7)*($D$2:$D$501&lt;AY$7)*($E$2:$E$501&gt;=$H140)*($E$2:$E$501&lt;$H139)," ")))</f>
        <v xml:space="preserve"> </v>
      </c>
      <c r="AZ139" t="str" cm="1">
        <f t="array" ref="AZ139">_xlfn.TEXTJOIN(",",TRUE,(_xlfn._xlws.FILTER($A$2:$A$501,($D$2:$D$501&gt;=BA$7)*($D$2:$D$501&lt;AZ$7)*($E$2:$E$501&gt;=$H140)*($E$2:$E$501&lt;$H139)," ")))</f>
        <v xml:space="preserve"> </v>
      </c>
      <c r="BA139" t="str" cm="1">
        <f t="array" ref="BA139">_xlfn.TEXTJOIN(",",TRUE,(_xlfn._xlws.FILTER($A$2:$A$501,($D$2:$D$501&gt;=BB$7)*($D$2:$D$501&lt;BA$7)*($E$2:$E$501&gt;=$H140)*($E$2:$E$501&lt;$H139)," ")))</f>
        <v xml:space="preserve"> </v>
      </c>
      <c r="BB139" t="str" cm="1">
        <f t="array" ref="BB139">_xlfn.TEXTJOIN(",",TRUE,(_xlfn._xlws.FILTER($A$2:$A$501,($D$2:$D$501&gt;=BC$7)*($D$2:$D$501&lt;BB$7)*($E$2:$E$501&gt;=$H140)*($E$2:$E$501&lt;$H139)," ")))</f>
        <v xml:space="preserve"> </v>
      </c>
    </row>
    <row r="140" spans="1:54" x14ac:dyDescent="0.2">
      <c r="A140" s="3" t="s">
        <v>360</v>
      </c>
      <c r="B140" s="3" t="s">
        <v>359</v>
      </c>
      <c r="C140" s="13">
        <v>1838260.62</v>
      </c>
      <c r="D140" s="15">
        <v>48370545.439999998</v>
      </c>
      <c r="E140" s="22">
        <f>TuitionRates3[[#This Row],[Tuition]]/D140</f>
        <v>3.8003719066600633E-2</v>
      </c>
      <c r="F140"/>
      <c r="H140" s="18">
        <v>1.7999999999999999E-2</v>
      </c>
      <c r="I140" t="str" cm="1">
        <f t="array" ref="I140">_xlfn.TEXTJOIN(",",TRUE,(_xlfn._xlws.FILTER($A$2:$A$501,($D$2:$D$501&gt;=J$7)*($D$2:$D$501&lt;I$7)*($E$2:$E$501&gt;=$H141)*($E$2:$E$501&lt;$H140)," ")))</f>
        <v xml:space="preserve"> </v>
      </c>
      <c r="J140" t="str" cm="1">
        <f t="array" ref="J140">_xlfn.TEXTJOIN(",",TRUE,(_xlfn._xlws.FILTER($A$2:$A$501,($D$2:$D$501&gt;=K$7)*($D$2:$D$501&lt;J$7)*($E$2:$E$501&gt;=$H141)*($E$2:$E$501&lt;$H140)," ")))</f>
        <v xml:space="preserve"> </v>
      </c>
      <c r="K140" t="str" cm="1">
        <f t="array" ref="K140">_xlfn.TEXTJOIN(",",TRUE,(_xlfn._xlws.FILTER($A$2:$A$501,($D$2:$D$501&gt;=L$7)*($D$2:$D$501&lt;K$7)*($E$2:$E$501&gt;=$H141)*($E$2:$E$501&lt;$H140)," ")))</f>
        <v xml:space="preserve"> </v>
      </c>
      <c r="L140" t="str" cm="1">
        <f t="array" ref="L140">_xlfn.TEXTJOIN(",",TRUE,(_xlfn._xlws.FILTER($A$2:$A$501,($D$2:$D$501&gt;=M$7)*($D$2:$D$501&lt;L$7)*($E$2:$E$501&gt;=$H141)*($E$2:$E$501&lt;$H140)," ")))</f>
        <v xml:space="preserve"> </v>
      </c>
      <c r="M140" t="str" cm="1">
        <f t="array" ref="M140">_xlfn.TEXTJOIN(",",TRUE,(_xlfn._xlws.FILTER($A$2:$A$501,($D$2:$D$501&gt;=N$7)*($D$2:$D$501&lt;M$7)*($E$2:$E$501&gt;=$H141)*($E$2:$E$501&lt;$H140)," ")))</f>
        <v xml:space="preserve"> </v>
      </c>
      <c r="N140" t="str" cm="1">
        <f t="array" ref="N140">_xlfn.TEXTJOIN(",",TRUE,(_xlfn._xlws.FILTER($A$2:$A$501,($D$2:$D$501&gt;=O$7)*($D$2:$D$501&lt;N$7)*($E$2:$E$501&gt;=$H141)*($E$2:$E$501&lt;$H140)," ")))</f>
        <v xml:space="preserve"> </v>
      </c>
      <c r="O140" t="str" cm="1">
        <f t="array" ref="O140">_xlfn.TEXTJOIN(",",TRUE,(_xlfn._xlws.FILTER($A$2:$A$501,($D$2:$D$501&gt;=P$7)*($D$2:$D$501&lt;O$7)*($E$2:$E$501&gt;=$H141)*($E$2:$E$501&lt;$H140)," ")))</f>
        <v xml:space="preserve"> </v>
      </c>
      <c r="P140" t="str" cm="1">
        <f t="array" ref="P140">_xlfn.TEXTJOIN(",",TRUE,(_xlfn._xlws.FILTER($A$2:$A$501,($D$2:$D$501&gt;=Q$7)*($D$2:$D$501&lt;P$7)*($E$2:$E$501&gt;=$H141)*($E$2:$E$501&lt;$H140)," ")))</f>
        <v xml:space="preserve"> </v>
      </c>
      <c r="Q140" t="str" cm="1">
        <f t="array" ref="Q140">_xlfn.TEXTJOIN(",",TRUE,(_xlfn._xlws.FILTER($A$2:$A$501,($D$2:$D$501&gt;=R$7)*($D$2:$D$501&lt;Q$7)*($E$2:$E$501&gt;=$H141)*($E$2:$E$501&lt;$H140)," ")))</f>
        <v xml:space="preserve"> </v>
      </c>
      <c r="R140" t="str" cm="1">
        <f t="array" ref="R140">_xlfn.TEXTJOIN(",",TRUE,(_xlfn._xlws.FILTER($A$2:$A$501,($D$2:$D$501&gt;=S$7)*($D$2:$D$501&lt;R$7)*($E$2:$E$501&gt;=$H141)*($E$2:$E$501&lt;$H140)," ")))</f>
        <v xml:space="preserve"> </v>
      </c>
      <c r="S140" t="str" cm="1">
        <f t="array" ref="S140">_xlfn.TEXTJOIN(",",TRUE,(_xlfn._xlws.FILTER($A$2:$A$501,($D$2:$D$501&gt;=T$7)*($D$2:$D$501&lt;S$7)*($E$2:$E$501&gt;=$H141)*($E$2:$E$501&lt;$H140)," ")))</f>
        <v xml:space="preserve"> </v>
      </c>
      <c r="T140" t="str" cm="1">
        <f t="array" ref="T140">_xlfn.TEXTJOIN(",",TRUE,(_xlfn._xlws.FILTER($A$2:$A$501,($D$2:$D$501&gt;=U$7)*($D$2:$D$501&lt;T$7)*($E$2:$E$501&gt;=$H141)*($E$2:$E$501&lt;$H140)," ")))</f>
        <v xml:space="preserve"> </v>
      </c>
      <c r="U140" t="str" cm="1">
        <f t="array" ref="U140">_xlfn.TEXTJOIN(",",TRUE,(_xlfn._xlws.FILTER($A$2:$A$501,($D$2:$D$501&gt;=V$7)*($D$2:$D$501&lt;U$7)*($E$2:$E$501&gt;=$H141)*($E$2:$E$501&lt;$H140)," ")))</f>
        <v>Nazareth Area SD,Hempfield SD</v>
      </c>
      <c r="V140" t="str" cm="1">
        <f t="array" ref="V140">_xlfn.TEXTJOIN(",",TRUE,(_xlfn._xlws.FILTER($A$2:$A$501,($D$2:$D$501&gt;=W$7)*($D$2:$D$501&lt;V$7)*($E$2:$E$501&gt;=$H141)*($E$2:$E$501&lt;$H140)," ")))</f>
        <v xml:space="preserve"> </v>
      </c>
      <c r="W140" t="str" cm="1">
        <f t="array" ref="W140">_xlfn.TEXTJOIN(",",TRUE,(_xlfn._xlws.FILTER($A$2:$A$501,($D$2:$D$501&gt;=X$7)*($D$2:$D$501&lt;W$7)*($E$2:$E$501&gt;=$H141)*($E$2:$E$501&lt;$H140)," ")))</f>
        <v>Warwick SD</v>
      </c>
      <c r="X140" t="str" cm="1">
        <f t="array" ref="X140">_xlfn.TEXTJOIN(",",TRUE,(_xlfn._xlws.FILTER($A$2:$A$501,($D$2:$D$501&gt;=Y$7)*($D$2:$D$501&lt;X$7)*($E$2:$E$501&gt;=$H141)*($E$2:$E$501&lt;$H140)," ")))</f>
        <v>Trinity Area SD,Penn-Delco SD</v>
      </c>
      <c r="Y140" t="str" cm="1">
        <f t="array" ref="Y140">_xlfn.TEXTJOIN(",",TRUE,(_xlfn._xlws.FILTER($A$2:$A$501,($D$2:$D$501&gt;=Z$7)*($D$2:$D$501&lt;Y$7)*($E$2:$E$501&gt;=$H141)*($E$2:$E$501&lt;$H140)," ")))</f>
        <v>West York Area SD,Muhlenberg SD</v>
      </c>
      <c r="Z140" t="str" cm="1">
        <f t="array" ref="Z140">_xlfn.TEXTJOIN(",",TRUE,(_xlfn._xlws.FILTER($A$2:$A$501,($D$2:$D$501&gt;=AA$7)*($D$2:$D$501&lt;Z$7)*($E$2:$E$501&gt;=$H141)*($E$2:$E$501&lt;$H140)," ")))</f>
        <v xml:space="preserve"> </v>
      </c>
      <c r="AA140" t="str" cm="1">
        <f t="array" ref="AA140">_xlfn.TEXTJOIN(",",TRUE,(_xlfn._xlws.FILTER($A$2:$A$501,($D$2:$D$501&gt;=AB$7)*($D$2:$D$501&lt;AA$7)*($E$2:$E$501&gt;=$H141)*($E$2:$E$501&lt;$H140)," ")))</f>
        <v xml:space="preserve"> </v>
      </c>
      <c r="AB140" t="str" cm="1">
        <f t="array" ref="AB140">_xlfn.TEXTJOIN(",",TRUE,(_xlfn._xlws.FILTER($A$2:$A$501,($D$2:$D$501&gt;=AC$7)*($D$2:$D$501&lt;AB$7)*($E$2:$E$501&gt;=$H141)*($E$2:$E$501&lt;$H140)," ")))</f>
        <v>Pine Grove Area SD</v>
      </c>
      <c r="AC140" t="str" cm="1">
        <f t="array" ref="AC140">_xlfn.TEXTJOIN(",",TRUE,(_xlfn._xlws.FILTER($A$2:$A$501,($D$2:$D$501&gt;=AD$7)*($D$2:$D$501&lt;AC$7)*($E$2:$E$501&gt;=$H141)*($E$2:$E$501&lt;$H140)," ")))</f>
        <v>Shenango Area SD,Union City Area SD</v>
      </c>
      <c r="AD140" t="str" cm="1">
        <f t="array" ref="AD140">_xlfn.TEXTJOIN(",",TRUE,(_xlfn._xlws.FILTER($A$2:$A$501,($D$2:$D$501&gt;=AE$7)*($D$2:$D$501&lt;AD$7)*($E$2:$E$501&gt;=$H141)*($E$2:$E$501&lt;$H140)," ")))</f>
        <v xml:space="preserve"> </v>
      </c>
      <c r="AE140" t="str" cm="1">
        <f t="array" ref="AE140">_xlfn.TEXTJOIN(",",TRUE,(_xlfn._xlws.FILTER($A$2:$A$501,($D$2:$D$501&gt;=AF$7)*($D$2:$D$501&lt;AE$7)*($E$2:$E$501&gt;=$H141)*($E$2:$E$501&lt;$H140)," ")))</f>
        <v xml:space="preserve"> </v>
      </c>
      <c r="AF140" t="str" cm="1">
        <f t="array" ref="AF140">_xlfn.TEXTJOIN(",",TRUE,(_xlfn._xlws.FILTER($A$2:$A$501,($D$2:$D$501&gt;=AG$7)*($D$2:$D$501&lt;AF$7)*($E$2:$E$501&gt;=$H141)*($E$2:$E$501&lt;$H140)," ")))</f>
        <v xml:space="preserve"> </v>
      </c>
      <c r="AG140" t="str" cm="1">
        <f t="array" ref="AG140">_xlfn.TEXTJOIN(",",TRUE,(_xlfn._xlws.FILTER($A$2:$A$501,($D$2:$D$501&gt;=AH$7)*($D$2:$D$501&lt;AG$7)*($E$2:$E$501&gt;=$H141)*($E$2:$E$501&lt;$H140)," ")))</f>
        <v xml:space="preserve"> </v>
      </c>
      <c r="AH140" t="str" cm="1">
        <f t="array" ref="AH140">_xlfn.TEXTJOIN(",",TRUE,(_xlfn._xlws.FILTER($A$2:$A$501,($D$2:$D$501&gt;=AI$7)*($D$2:$D$501&lt;AH$7)*($E$2:$E$501&gt;=$H141)*($E$2:$E$501&lt;$H140)," ")))</f>
        <v xml:space="preserve"> </v>
      </c>
      <c r="AI140" t="str" cm="1">
        <f t="array" ref="AI140">_xlfn.TEXTJOIN(",",TRUE,(_xlfn._xlws.FILTER($A$2:$A$501,($D$2:$D$501&gt;=AJ$7)*($D$2:$D$501&lt;AI$7)*($E$2:$E$501&gt;=$H141)*($E$2:$E$501&lt;$H140)," ")))</f>
        <v xml:space="preserve"> </v>
      </c>
      <c r="AJ140" t="str" cm="1">
        <f t="array" ref="AJ140">_xlfn.TEXTJOIN(",",TRUE,(_xlfn._xlws.FILTER($A$2:$A$501,($D$2:$D$501&gt;=AK$7)*($D$2:$D$501&lt;AJ$7)*($E$2:$E$501&gt;=$H141)*($E$2:$E$501&lt;$H140)," ")))</f>
        <v xml:space="preserve"> </v>
      </c>
      <c r="AK140" t="str" cm="1">
        <f t="array" ref="AK140">_xlfn.TEXTJOIN(",",TRUE,(_xlfn._xlws.FILTER($A$2:$A$501,($D$2:$D$501&gt;=AL$7)*($D$2:$D$501&lt;AK$7)*($E$2:$E$501&gt;=$H141)*($E$2:$E$501&lt;$H140)," ")))</f>
        <v xml:space="preserve"> </v>
      </c>
      <c r="AL140" t="str" cm="1">
        <f t="array" ref="AL140">_xlfn.TEXTJOIN(",",TRUE,(_xlfn._xlws.FILTER($A$2:$A$501,($D$2:$D$501&gt;=AM$7)*($D$2:$D$501&lt;AL$7)*($E$2:$E$501&gt;=$H141)*($E$2:$E$501&lt;$H140)," ")))</f>
        <v xml:space="preserve"> </v>
      </c>
      <c r="AM140" t="str" cm="1">
        <f t="array" ref="AM140">_xlfn.TEXTJOIN(",",TRUE,(_xlfn._xlws.FILTER($A$2:$A$501,($D$2:$D$501&gt;=AN$7)*($D$2:$D$501&lt;AM$7)*($E$2:$E$501&gt;=$H141)*($E$2:$E$501&lt;$H140)," ")))</f>
        <v xml:space="preserve"> </v>
      </c>
      <c r="AN140" t="str" cm="1">
        <f t="array" ref="AN140">_xlfn.TEXTJOIN(",",TRUE,(_xlfn._xlws.FILTER($A$2:$A$501,($D$2:$D$501&gt;=AO$7)*($D$2:$D$501&lt;AN$7)*($E$2:$E$501&gt;=$H141)*($E$2:$E$501&lt;$H140)," ")))</f>
        <v xml:space="preserve"> </v>
      </c>
      <c r="AO140" t="str" cm="1">
        <f t="array" ref="AO140">_xlfn.TEXTJOIN(",",TRUE,(_xlfn._xlws.FILTER($A$2:$A$501,($D$2:$D$501&gt;=AP$7)*($D$2:$D$501&lt;AO$7)*($E$2:$E$501&gt;=$H141)*($E$2:$E$501&lt;$H140)," ")))</f>
        <v xml:space="preserve"> </v>
      </c>
      <c r="AP140" t="str" cm="1">
        <f t="array" ref="AP140">_xlfn.TEXTJOIN(",",TRUE,(_xlfn._xlws.FILTER($A$2:$A$501,($D$2:$D$501&gt;=AQ$7)*($D$2:$D$501&lt;AP$7)*($E$2:$E$501&gt;=$H141)*($E$2:$E$501&lt;$H140)," ")))</f>
        <v xml:space="preserve"> </v>
      </c>
      <c r="AQ140" t="str" cm="1">
        <f t="array" ref="AQ140">_xlfn.TEXTJOIN(",",TRUE,(_xlfn._xlws.FILTER($A$2:$A$501,($D$2:$D$501&gt;=AR$7)*($D$2:$D$501&lt;AQ$7)*($E$2:$E$501&gt;=$H141)*($E$2:$E$501&lt;$H140)," ")))</f>
        <v xml:space="preserve"> </v>
      </c>
      <c r="AR140" t="str" cm="1">
        <f t="array" ref="AR140">_xlfn.TEXTJOIN(",",TRUE,(_xlfn._xlws.FILTER($A$2:$A$501,($D$2:$D$501&gt;=AS$7)*($D$2:$D$501&lt;AR$7)*($E$2:$E$501&gt;=$H141)*($E$2:$E$501&lt;$H140)," ")))</f>
        <v xml:space="preserve"> </v>
      </c>
      <c r="AS140" t="str" cm="1">
        <f t="array" ref="AS140">_xlfn.TEXTJOIN(",",TRUE,(_xlfn._xlws.FILTER($A$2:$A$501,($D$2:$D$501&gt;=AT$7)*($D$2:$D$501&lt;AS$7)*($E$2:$E$501&gt;=$H141)*($E$2:$E$501&lt;$H140)," ")))</f>
        <v xml:space="preserve"> </v>
      </c>
      <c r="AT140" t="str" cm="1">
        <f t="array" ref="AT140">_xlfn.TEXTJOIN(",",TRUE,(_xlfn._xlws.FILTER($A$2:$A$501,($D$2:$D$501&gt;=AU$7)*($D$2:$D$501&lt;AT$7)*($E$2:$E$501&gt;=$H141)*($E$2:$E$501&lt;$H140)," ")))</f>
        <v xml:space="preserve"> </v>
      </c>
      <c r="AU140" t="str" cm="1">
        <f t="array" ref="AU140">_xlfn.TEXTJOIN(",",TRUE,(_xlfn._xlws.FILTER($A$2:$A$501,($D$2:$D$501&gt;=AV$7)*($D$2:$D$501&lt;AU$7)*($E$2:$E$501&gt;=$H141)*($E$2:$E$501&lt;$H140)," ")))</f>
        <v xml:space="preserve"> </v>
      </c>
      <c r="AV140" t="str" cm="1">
        <f t="array" ref="AV140">_xlfn.TEXTJOIN(",",TRUE,(_xlfn._xlws.FILTER($A$2:$A$501,($D$2:$D$501&gt;=AW$7)*($D$2:$D$501&lt;AV$7)*($E$2:$E$501&gt;=$H141)*($E$2:$E$501&lt;$H140)," ")))</f>
        <v xml:space="preserve"> </v>
      </c>
      <c r="AW140" t="str" cm="1">
        <f t="array" ref="AW140">_xlfn.TEXTJOIN(",",TRUE,(_xlfn._xlws.FILTER($A$2:$A$501,($D$2:$D$501&gt;=AX$7)*($D$2:$D$501&lt;AW$7)*($E$2:$E$501&gt;=$H141)*($E$2:$E$501&lt;$H140)," ")))</f>
        <v xml:space="preserve"> </v>
      </c>
      <c r="AX140" t="str" cm="1">
        <f t="array" ref="AX140">_xlfn.TEXTJOIN(",",TRUE,(_xlfn._xlws.FILTER($A$2:$A$501,($D$2:$D$501&gt;=AY$7)*($D$2:$D$501&lt;AX$7)*($E$2:$E$501&gt;=$H141)*($E$2:$E$501&lt;$H140)," ")))</f>
        <v xml:space="preserve"> </v>
      </c>
      <c r="AY140" t="str" cm="1">
        <f t="array" ref="AY140">_xlfn.TEXTJOIN(",",TRUE,(_xlfn._xlws.FILTER($A$2:$A$501,($D$2:$D$501&gt;=AZ$7)*($D$2:$D$501&lt;AY$7)*($E$2:$E$501&gt;=$H141)*($E$2:$E$501&lt;$H140)," ")))</f>
        <v xml:space="preserve"> </v>
      </c>
      <c r="AZ140" t="str" cm="1">
        <f t="array" ref="AZ140">_xlfn.TEXTJOIN(",",TRUE,(_xlfn._xlws.FILTER($A$2:$A$501,($D$2:$D$501&gt;=BA$7)*($D$2:$D$501&lt;AZ$7)*($E$2:$E$501&gt;=$H141)*($E$2:$E$501&lt;$H140)," ")))</f>
        <v xml:space="preserve"> </v>
      </c>
      <c r="BA140" t="str" cm="1">
        <f t="array" ref="BA140">_xlfn.TEXTJOIN(",",TRUE,(_xlfn._xlws.FILTER($A$2:$A$501,($D$2:$D$501&gt;=BB$7)*($D$2:$D$501&lt;BA$7)*($E$2:$E$501&gt;=$H141)*($E$2:$E$501&lt;$H140)," ")))</f>
        <v xml:space="preserve"> </v>
      </c>
      <c r="BB140" t="str" cm="1">
        <f t="array" ref="BB140">_xlfn.TEXTJOIN(",",TRUE,(_xlfn._xlws.FILTER($A$2:$A$501,($D$2:$D$501&gt;=BC$7)*($D$2:$D$501&lt;BB$7)*($E$2:$E$501&gt;=$H141)*($E$2:$E$501&lt;$H140)," ")))</f>
        <v xml:space="preserve"> </v>
      </c>
    </row>
    <row r="141" spans="1:54" x14ac:dyDescent="0.2">
      <c r="A141" s="3" t="s">
        <v>129</v>
      </c>
      <c r="B141" s="3" t="s">
        <v>130</v>
      </c>
      <c r="C141" s="13">
        <v>4148031.59</v>
      </c>
      <c r="D141" s="15">
        <v>109260558.19</v>
      </c>
      <c r="E141" s="22">
        <f>TuitionRates3[[#This Row],[Tuition]]/D141</f>
        <v>3.7964583548866088E-2</v>
      </c>
      <c r="F141"/>
      <c r="H141" s="18">
        <v>1.7000000000000001E-2</v>
      </c>
      <c r="I141" t="str" cm="1">
        <f t="array" ref="I141">_xlfn.TEXTJOIN(",",TRUE,(_xlfn._xlws.FILTER($A$2:$A$501,($D$2:$D$501&gt;=J$7)*($D$2:$D$501&lt;I$7)*($E$2:$E$501&gt;=$H142)*($E$2:$E$501&lt;$H141)," ")))</f>
        <v xml:space="preserve"> </v>
      </c>
      <c r="J141" t="str" cm="1">
        <f t="array" ref="J141">_xlfn.TEXTJOIN(",",TRUE,(_xlfn._xlws.FILTER($A$2:$A$501,($D$2:$D$501&gt;=K$7)*($D$2:$D$501&lt;J$7)*($E$2:$E$501&gt;=$H142)*($E$2:$E$501&lt;$H141)," ")))</f>
        <v xml:space="preserve"> </v>
      </c>
      <c r="K141" t="str" cm="1">
        <f t="array" ref="K141">_xlfn.TEXTJOIN(",",TRUE,(_xlfn._xlws.FILTER($A$2:$A$501,($D$2:$D$501&gt;=L$7)*($D$2:$D$501&lt;K$7)*($E$2:$E$501&gt;=$H142)*($E$2:$E$501&lt;$H141)," ")))</f>
        <v xml:space="preserve"> </v>
      </c>
      <c r="L141" t="str" cm="1">
        <f t="array" ref="L141">_xlfn.TEXTJOIN(",",TRUE,(_xlfn._xlws.FILTER($A$2:$A$501,($D$2:$D$501&gt;=M$7)*($D$2:$D$501&lt;L$7)*($E$2:$E$501&gt;=$H142)*($E$2:$E$501&lt;$H141)," ")))</f>
        <v xml:space="preserve"> </v>
      </c>
      <c r="M141" t="str" cm="1">
        <f t="array" ref="M141">_xlfn.TEXTJOIN(",",TRUE,(_xlfn._xlws.FILTER($A$2:$A$501,($D$2:$D$501&gt;=N$7)*($D$2:$D$501&lt;M$7)*($E$2:$E$501&gt;=$H142)*($E$2:$E$501&lt;$H141)," ")))</f>
        <v xml:space="preserve"> </v>
      </c>
      <c r="N141" t="str" cm="1">
        <f t="array" ref="N141">_xlfn.TEXTJOIN(",",TRUE,(_xlfn._xlws.FILTER($A$2:$A$501,($D$2:$D$501&gt;=O$7)*($D$2:$D$501&lt;N$7)*($E$2:$E$501&gt;=$H142)*($E$2:$E$501&lt;$H141)," ")))</f>
        <v xml:space="preserve"> </v>
      </c>
      <c r="O141" t="str" cm="1">
        <f t="array" ref="O141">_xlfn.TEXTJOIN(",",TRUE,(_xlfn._xlws.FILTER($A$2:$A$501,($D$2:$D$501&gt;=P$7)*($D$2:$D$501&lt;O$7)*($E$2:$E$501&gt;=$H142)*($E$2:$E$501&lt;$H141)," ")))</f>
        <v xml:space="preserve"> </v>
      </c>
      <c r="P141" t="str" cm="1">
        <f t="array" ref="P141">_xlfn.TEXTJOIN(",",TRUE,(_xlfn._xlws.FILTER($A$2:$A$501,($D$2:$D$501&gt;=Q$7)*($D$2:$D$501&lt;P$7)*($E$2:$E$501&gt;=$H142)*($E$2:$E$501&lt;$H141)," ")))</f>
        <v xml:space="preserve"> </v>
      </c>
      <c r="Q141" t="str" cm="1">
        <f t="array" ref="Q141">_xlfn.TEXTJOIN(",",TRUE,(_xlfn._xlws.FILTER($A$2:$A$501,($D$2:$D$501&gt;=R$7)*($D$2:$D$501&lt;Q$7)*($E$2:$E$501&gt;=$H142)*($E$2:$E$501&lt;$H141)," ")))</f>
        <v xml:space="preserve"> </v>
      </c>
      <c r="R141" t="str" cm="1">
        <f t="array" ref="R141">_xlfn.TEXTJOIN(",",TRUE,(_xlfn._xlws.FILTER($A$2:$A$501,($D$2:$D$501&gt;=S$7)*($D$2:$D$501&lt;R$7)*($E$2:$E$501&gt;=$H142)*($E$2:$E$501&lt;$H141)," ")))</f>
        <v xml:space="preserve"> </v>
      </c>
      <c r="S141" t="str" cm="1">
        <f t="array" ref="S141">_xlfn.TEXTJOIN(",",TRUE,(_xlfn._xlws.FILTER($A$2:$A$501,($D$2:$D$501&gt;=T$7)*($D$2:$D$501&lt;S$7)*($E$2:$E$501&gt;=$H142)*($E$2:$E$501&lt;$H141)," ")))</f>
        <v xml:space="preserve"> </v>
      </c>
      <c r="T141" t="str" cm="1">
        <f t="array" ref="T141">_xlfn.TEXTJOIN(",",TRUE,(_xlfn._xlws.FILTER($A$2:$A$501,($D$2:$D$501&gt;=U$7)*($D$2:$D$501&lt;T$7)*($E$2:$E$501&gt;=$H142)*($E$2:$E$501&lt;$H141)," ")))</f>
        <v>Parkland SD</v>
      </c>
      <c r="U141" t="str" cm="1">
        <f t="array" ref="U141">_xlfn.TEXTJOIN(",",TRUE,(_xlfn._xlws.FILTER($A$2:$A$501,($D$2:$D$501&gt;=V$7)*($D$2:$D$501&lt;U$7)*($E$2:$E$501&gt;=$H142)*($E$2:$E$501&lt;$H141)," ")))</f>
        <v>Bensalem Township SD</v>
      </c>
      <c r="V141" t="str" cm="1">
        <f t="array" ref="V141">_xlfn.TEXTJOIN(",",TRUE,(_xlfn._xlws.FILTER($A$2:$A$501,($D$2:$D$501&gt;=W$7)*($D$2:$D$501&lt;V$7)*($E$2:$E$501&gt;=$H142)*($E$2:$E$501&lt;$H141)," ")))</f>
        <v xml:space="preserve"> </v>
      </c>
      <c r="W141" t="str" cm="1">
        <f t="array" ref="W141">_xlfn.TEXTJOIN(",",TRUE,(_xlfn._xlws.FILTER($A$2:$A$501,($D$2:$D$501&gt;=X$7)*($D$2:$D$501&lt;W$7)*($E$2:$E$501&gt;=$H142)*($E$2:$E$501&lt;$H141)," ")))</f>
        <v>Norwin SD</v>
      </c>
      <c r="X141" t="str" cm="1">
        <f t="array" ref="X141">_xlfn.TEXTJOIN(",",TRUE,(_xlfn._xlws.FILTER($A$2:$A$501,($D$2:$D$501&gt;=Y$7)*($D$2:$D$501&lt;X$7)*($E$2:$E$501&gt;=$H142)*($E$2:$E$501&lt;$H141)," ")))</f>
        <v xml:space="preserve"> </v>
      </c>
      <c r="Y141" t="str" cm="1">
        <f t="array" ref="Y141">_xlfn.TEXTJOIN(",",TRUE,(_xlfn._xlws.FILTER($A$2:$A$501,($D$2:$D$501&gt;=Z$7)*($D$2:$D$501&lt;Y$7)*($E$2:$E$501&gt;=$H142)*($E$2:$E$501&lt;$H141)," ")))</f>
        <v xml:space="preserve"> </v>
      </c>
      <c r="Z141" t="str" cm="1">
        <f t="array" ref="Z141">_xlfn.TEXTJOIN(",",TRUE,(_xlfn._xlws.FILTER($A$2:$A$501,($D$2:$D$501&gt;=AA$7)*($D$2:$D$501&lt;Z$7)*($E$2:$E$501&gt;=$H142)*($E$2:$E$501&lt;$H141)," ")))</f>
        <v xml:space="preserve"> </v>
      </c>
      <c r="AA141" t="str" cm="1">
        <f t="array" ref="AA141">_xlfn.TEXTJOIN(",",TRUE,(_xlfn._xlws.FILTER($A$2:$A$501,($D$2:$D$501&gt;=AB$7)*($D$2:$D$501&lt;AA$7)*($E$2:$E$501&gt;=$H142)*($E$2:$E$501&lt;$H141)," ")))</f>
        <v>Harbor Creek SD,Wyomissing Area SD</v>
      </c>
      <c r="AB141" t="str" cm="1">
        <f t="array" ref="AB141">_xlfn.TEXTJOIN(",",TRUE,(_xlfn._xlws.FILTER($A$2:$A$501,($D$2:$D$501&gt;=AC$7)*($D$2:$D$501&lt;AB$7)*($E$2:$E$501&gt;=$H142)*($E$2:$E$501&lt;$H141)," ")))</f>
        <v>Bald Eagle Area SD</v>
      </c>
      <c r="AC141" t="str" cm="1">
        <f t="array" ref="AC141">_xlfn.TEXTJOIN(",",TRUE,(_xlfn._xlws.FILTER($A$2:$A$501,($D$2:$D$501&gt;=AD$7)*($D$2:$D$501&lt;AC$7)*($E$2:$E$501&gt;=$H142)*($E$2:$E$501&lt;$H141)," ")))</f>
        <v>Clairton City SD</v>
      </c>
      <c r="AD141" t="str" cm="1">
        <f t="array" ref="AD141">_xlfn.TEXTJOIN(",",TRUE,(_xlfn._xlws.FILTER($A$2:$A$501,($D$2:$D$501&gt;=AE$7)*($D$2:$D$501&lt;AD$7)*($E$2:$E$501&gt;=$H142)*($E$2:$E$501&lt;$H141)," ")))</f>
        <v xml:space="preserve"> </v>
      </c>
      <c r="AE141" t="str" cm="1">
        <f t="array" ref="AE141">_xlfn.TEXTJOIN(",",TRUE,(_xlfn._xlws.FILTER($A$2:$A$501,($D$2:$D$501&gt;=AF$7)*($D$2:$D$501&lt;AE$7)*($E$2:$E$501&gt;=$H142)*($E$2:$E$501&lt;$H141)," ")))</f>
        <v xml:space="preserve"> </v>
      </c>
      <c r="AF141" t="str" cm="1">
        <f t="array" ref="AF141">_xlfn.TEXTJOIN(",",TRUE,(_xlfn._xlws.FILTER($A$2:$A$501,($D$2:$D$501&gt;=AG$7)*($D$2:$D$501&lt;AF$7)*($E$2:$E$501&gt;=$H142)*($E$2:$E$501&lt;$H141)," ")))</f>
        <v xml:space="preserve"> </v>
      </c>
      <c r="AG141" t="str" cm="1">
        <f t="array" ref="AG141">_xlfn.TEXTJOIN(",",TRUE,(_xlfn._xlws.FILTER($A$2:$A$501,($D$2:$D$501&gt;=AH$7)*($D$2:$D$501&lt;AG$7)*($E$2:$E$501&gt;=$H142)*($E$2:$E$501&lt;$H141)," ")))</f>
        <v xml:space="preserve"> </v>
      </c>
      <c r="AH141" t="str" cm="1">
        <f t="array" ref="AH141">_xlfn.TEXTJOIN(",",TRUE,(_xlfn._xlws.FILTER($A$2:$A$501,($D$2:$D$501&gt;=AI$7)*($D$2:$D$501&lt;AH$7)*($E$2:$E$501&gt;=$H142)*($E$2:$E$501&lt;$H141)," ")))</f>
        <v xml:space="preserve"> </v>
      </c>
      <c r="AI141" t="str" cm="1">
        <f t="array" ref="AI141">_xlfn.TEXTJOIN(",",TRUE,(_xlfn._xlws.FILTER($A$2:$A$501,($D$2:$D$501&gt;=AJ$7)*($D$2:$D$501&lt;AI$7)*($E$2:$E$501&gt;=$H142)*($E$2:$E$501&lt;$H141)," ")))</f>
        <v xml:space="preserve"> </v>
      </c>
      <c r="AJ141" t="str" cm="1">
        <f t="array" ref="AJ141">_xlfn.TEXTJOIN(",",TRUE,(_xlfn._xlws.FILTER($A$2:$A$501,($D$2:$D$501&gt;=AK$7)*($D$2:$D$501&lt;AJ$7)*($E$2:$E$501&gt;=$H142)*($E$2:$E$501&lt;$H141)," ")))</f>
        <v xml:space="preserve"> </v>
      </c>
      <c r="AK141" t="str" cm="1">
        <f t="array" ref="AK141">_xlfn.TEXTJOIN(",",TRUE,(_xlfn._xlws.FILTER($A$2:$A$501,($D$2:$D$501&gt;=AL$7)*($D$2:$D$501&lt;AK$7)*($E$2:$E$501&gt;=$H142)*($E$2:$E$501&lt;$H141)," ")))</f>
        <v xml:space="preserve"> </v>
      </c>
      <c r="AL141" t="str" cm="1">
        <f t="array" ref="AL141">_xlfn.TEXTJOIN(",",TRUE,(_xlfn._xlws.FILTER($A$2:$A$501,($D$2:$D$501&gt;=AM$7)*($D$2:$D$501&lt;AL$7)*($E$2:$E$501&gt;=$H142)*($E$2:$E$501&lt;$H141)," ")))</f>
        <v xml:space="preserve"> </v>
      </c>
      <c r="AM141" t="str" cm="1">
        <f t="array" ref="AM141">_xlfn.TEXTJOIN(",",TRUE,(_xlfn._xlws.FILTER($A$2:$A$501,($D$2:$D$501&gt;=AN$7)*($D$2:$D$501&lt;AM$7)*($E$2:$E$501&gt;=$H142)*($E$2:$E$501&lt;$H141)," ")))</f>
        <v xml:space="preserve"> </v>
      </c>
      <c r="AN141" t="str" cm="1">
        <f t="array" ref="AN141">_xlfn.TEXTJOIN(",",TRUE,(_xlfn._xlws.FILTER($A$2:$A$501,($D$2:$D$501&gt;=AO$7)*($D$2:$D$501&lt;AN$7)*($E$2:$E$501&gt;=$H142)*($E$2:$E$501&lt;$H141)," ")))</f>
        <v xml:space="preserve"> </v>
      </c>
      <c r="AO141" t="str" cm="1">
        <f t="array" ref="AO141">_xlfn.TEXTJOIN(",",TRUE,(_xlfn._xlws.FILTER($A$2:$A$501,($D$2:$D$501&gt;=AP$7)*($D$2:$D$501&lt;AO$7)*($E$2:$E$501&gt;=$H142)*($E$2:$E$501&lt;$H141)," ")))</f>
        <v xml:space="preserve"> </v>
      </c>
      <c r="AP141" t="str" cm="1">
        <f t="array" ref="AP141">_xlfn.TEXTJOIN(",",TRUE,(_xlfn._xlws.FILTER($A$2:$A$501,($D$2:$D$501&gt;=AQ$7)*($D$2:$D$501&lt;AP$7)*($E$2:$E$501&gt;=$H142)*($E$2:$E$501&lt;$H141)," ")))</f>
        <v xml:space="preserve"> </v>
      </c>
      <c r="AQ141" t="str" cm="1">
        <f t="array" ref="AQ141">_xlfn.TEXTJOIN(",",TRUE,(_xlfn._xlws.FILTER($A$2:$A$501,($D$2:$D$501&gt;=AR$7)*($D$2:$D$501&lt;AQ$7)*($E$2:$E$501&gt;=$H142)*($E$2:$E$501&lt;$H141)," ")))</f>
        <v xml:space="preserve"> </v>
      </c>
      <c r="AR141" t="str" cm="1">
        <f t="array" ref="AR141">_xlfn.TEXTJOIN(",",TRUE,(_xlfn._xlws.FILTER($A$2:$A$501,($D$2:$D$501&gt;=AS$7)*($D$2:$D$501&lt;AR$7)*($E$2:$E$501&gt;=$H142)*($E$2:$E$501&lt;$H141)," ")))</f>
        <v xml:space="preserve"> </v>
      </c>
      <c r="AS141" t="str" cm="1">
        <f t="array" ref="AS141">_xlfn.TEXTJOIN(",",TRUE,(_xlfn._xlws.FILTER($A$2:$A$501,($D$2:$D$501&gt;=AT$7)*($D$2:$D$501&lt;AS$7)*($E$2:$E$501&gt;=$H142)*($E$2:$E$501&lt;$H141)," ")))</f>
        <v xml:space="preserve"> </v>
      </c>
      <c r="AT141" t="str" cm="1">
        <f t="array" ref="AT141">_xlfn.TEXTJOIN(",",TRUE,(_xlfn._xlws.FILTER($A$2:$A$501,($D$2:$D$501&gt;=AU$7)*($D$2:$D$501&lt;AT$7)*($E$2:$E$501&gt;=$H142)*($E$2:$E$501&lt;$H141)," ")))</f>
        <v xml:space="preserve"> </v>
      </c>
      <c r="AU141" t="str" cm="1">
        <f t="array" ref="AU141">_xlfn.TEXTJOIN(",",TRUE,(_xlfn._xlws.FILTER($A$2:$A$501,($D$2:$D$501&gt;=AV$7)*($D$2:$D$501&lt;AU$7)*($E$2:$E$501&gt;=$H142)*($E$2:$E$501&lt;$H141)," ")))</f>
        <v xml:space="preserve"> </v>
      </c>
      <c r="AV141" t="str" cm="1">
        <f t="array" ref="AV141">_xlfn.TEXTJOIN(",",TRUE,(_xlfn._xlws.FILTER($A$2:$A$501,($D$2:$D$501&gt;=AW$7)*($D$2:$D$501&lt;AV$7)*($E$2:$E$501&gt;=$H142)*($E$2:$E$501&lt;$H141)," ")))</f>
        <v xml:space="preserve"> </v>
      </c>
      <c r="AW141" t="str" cm="1">
        <f t="array" ref="AW141">_xlfn.TEXTJOIN(",",TRUE,(_xlfn._xlws.FILTER($A$2:$A$501,($D$2:$D$501&gt;=AX$7)*($D$2:$D$501&lt;AW$7)*($E$2:$E$501&gt;=$H142)*($E$2:$E$501&lt;$H141)," ")))</f>
        <v xml:space="preserve"> </v>
      </c>
      <c r="AX141" t="str" cm="1">
        <f t="array" ref="AX141">_xlfn.TEXTJOIN(",",TRUE,(_xlfn._xlws.FILTER($A$2:$A$501,($D$2:$D$501&gt;=AY$7)*($D$2:$D$501&lt;AX$7)*($E$2:$E$501&gt;=$H142)*($E$2:$E$501&lt;$H141)," ")))</f>
        <v xml:space="preserve"> </v>
      </c>
      <c r="AY141" t="str" cm="1">
        <f t="array" ref="AY141">_xlfn.TEXTJOIN(",",TRUE,(_xlfn._xlws.FILTER($A$2:$A$501,($D$2:$D$501&gt;=AZ$7)*($D$2:$D$501&lt;AY$7)*($E$2:$E$501&gt;=$H142)*($E$2:$E$501&lt;$H141)," ")))</f>
        <v xml:space="preserve"> </v>
      </c>
      <c r="AZ141" t="str" cm="1">
        <f t="array" ref="AZ141">_xlfn.TEXTJOIN(",",TRUE,(_xlfn._xlws.FILTER($A$2:$A$501,($D$2:$D$501&gt;=BA$7)*($D$2:$D$501&lt;AZ$7)*($E$2:$E$501&gt;=$H142)*($E$2:$E$501&lt;$H141)," ")))</f>
        <v xml:space="preserve"> </v>
      </c>
      <c r="BA141" t="str" cm="1">
        <f t="array" ref="BA141">_xlfn.TEXTJOIN(",",TRUE,(_xlfn._xlws.FILTER($A$2:$A$501,($D$2:$D$501&gt;=BB$7)*($D$2:$D$501&lt;BA$7)*($E$2:$E$501&gt;=$H142)*($E$2:$E$501&lt;$H141)," ")))</f>
        <v xml:space="preserve"> </v>
      </c>
      <c r="BB141" t="str" cm="1">
        <f t="array" ref="BB141">_xlfn.TEXTJOIN(",",TRUE,(_xlfn._xlws.FILTER($A$2:$A$501,($D$2:$D$501&gt;=BC$7)*($D$2:$D$501&lt;BB$7)*($E$2:$E$501&gt;=$H142)*($E$2:$E$501&lt;$H141)," ")))</f>
        <v xml:space="preserve"> </v>
      </c>
    </row>
    <row r="142" spans="1:54" x14ac:dyDescent="0.2">
      <c r="A142" s="3" t="s">
        <v>214</v>
      </c>
      <c r="B142" s="3" t="s">
        <v>207</v>
      </c>
      <c r="C142" s="13">
        <v>1599742.47</v>
      </c>
      <c r="D142" s="15">
        <v>42815054.630000003</v>
      </c>
      <c r="E142" s="22">
        <f>TuitionRates3[[#This Row],[Tuition]]/D142</f>
        <v>3.736401795641011E-2</v>
      </c>
      <c r="F142"/>
      <c r="H142" s="18">
        <v>1.6E-2</v>
      </c>
      <c r="I142" t="str" cm="1">
        <f t="array" ref="I142">_xlfn.TEXTJOIN(",",TRUE,(_xlfn._xlws.FILTER($A$2:$A$501,($D$2:$D$501&gt;=J$7)*($D$2:$D$501&lt;I$7)*($E$2:$E$501&gt;=$H143)*($E$2:$E$501&lt;$H142)," ")))</f>
        <v xml:space="preserve"> </v>
      </c>
      <c r="J142" t="str" cm="1">
        <f t="array" ref="J142">_xlfn.TEXTJOIN(",",TRUE,(_xlfn._xlws.FILTER($A$2:$A$501,($D$2:$D$501&gt;=K$7)*($D$2:$D$501&lt;J$7)*($E$2:$E$501&gt;=$H143)*($E$2:$E$501&lt;$H142)," ")))</f>
        <v xml:space="preserve"> </v>
      </c>
      <c r="K142" t="str" cm="1">
        <f t="array" ref="K142">_xlfn.TEXTJOIN(",",TRUE,(_xlfn._xlws.FILTER($A$2:$A$501,($D$2:$D$501&gt;=L$7)*($D$2:$D$501&lt;K$7)*($E$2:$E$501&gt;=$H143)*($E$2:$E$501&lt;$H142)," ")))</f>
        <v xml:space="preserve"> </v>
      </c>
      <c r="L142" t="str" cm="1">
        <f t="array" ref="L142">_xlfn.TEXTJOIN(",",TRUE,(_xlfn._xlws.FILTER($A$2:$A$501,($D$2:$D$501&gt;=M$7)*($D$2:$D$501&lt;L$7)*($E$2:$E$501&gt;=$H143)*($E$2:$E$501&lt;$H142)," ")))</f>
        <v xml:space="preserve"> </v>
      </c>
      <c r="M142" t="str" cm="1">
        <f t="array" ref="M142">_xlfn.TEXTJOIN(",",TRUE,(_xlfn._xlws.FILTER($A$2:$A$501,($D$2:$D$501&gt;=N$7)*($D$2:$D$501&lt;M$7)*($E$2:$E$501&gt;=$H143)*($E$2:$E$501&lt;$H142)," ")))</f>
        <v xml:space="preserve"> </v>
      </c>
      <c r="N142" t="str" cm="1">
        <f t="array" ref="N142">_xlfn.TEXTJOIN(",",TRUE,(_xlfn._xlws.FILTER($A$2:$A$501,($D$2:$D$501&gt;=O$7)*($D$2:$D$501&lt;N$7)*($E$2:$E$501&gt;=$H143)*($E$2:$E$501&lt;$H142)," ")))</f>
        <v xml:space="preserve"> </v>
      </c>
      <c r="O142" t="str" cm="1">
        <f t="array" ref="O142">_xlfn.TEXTJOIN(",",TRUE,(_xlfn._xlws.FILTER($A$2:$A$501,($D$2:$D$501&gt;=P$7)*($D$2:$D$501&lt;O$7)*($E$2:$E$501&gt;=$H143)*($E$2:$E$501&lt;$H142)," ")))</f>
        <v xml:space="preserve"> </v>
      </c>
      <c r="P142" t="str" cm="1">
        <f t="array" ref="P142">_xlfn.TEXTJOIN(",",TRUE,(_xlfn._xlws.FILTER($A$2:$A$501,($D$2:$D$501&gt;=Q$7)*($D$2:$D$501&lt;P$7)*($E$2:$E$501&gt;=$H143)*($E$2:$E$501&lt;$H142)," ")))</f>
        <v xml:space="preserve"> </v>
      </c>
      <c r="Q142" t="str" cm="1">
        <f t="array" ref="Q142">_xlfn.TEXTJOIN(",",TRUE,(_xlfn._xlws.FILTER($A$2:$A$501,($D$2:$D$501&gt;=R$7)*($D$2:$D$501&lt;Q$7)*($E$2:$E$501&gt;=$H143)*($E$2:$E$501&lt;$H142)," ")))</f>
        <v xml:space="preserve"> </v>
      </c>
      <c r="R142" t="str" cm="1">
        <f t="array" ref="R142">_xlfn.TEXTJOIN(",",TRUE,(_xlfn._xlws.FILTER($A$2:$A$501,($D$2:$D$501&gt;=S$7)*($D$2:$D$501&lt;R$7)*($E$2:$E$501&gt;=$H143)*($E$2:$E$501&lt;$H142)," ")))</f>
        <v xml:space="preserve"> </v>
      </c>
      <c r="S142" t="str" cm="1">
        <f t="array" ref="S142">_xlfn.TEXTJOIN(",",TRUE,(_xlfn._xlws.FILTER($A$2:$A$501,($D$2:$D$501&gt;=T$7)*($D$2:$D$501&lt;S$7)*($E$2:$E$501&gt;=$H143)*($E$2:$E$501&lt;$H142)," ")))</f>
        <v xml:space="preserve"> </v>
      </c>
      <c r="T142" t="str" cm="1">
        <f t="array" ref="T142">_xlfn.TEXTJOIN(",",TRUE,(_xlfn._xlws.FILTER($A$2:$A$501,($D$2:$D$501&gt;=U$7)*($D$2:$D$501&lt;T$7)*($E$2:$E$501&gt;=$H143)*($E$2:$E$501&lt;$H142)," ")))</f>
        <v xml:space="preserve"> </v>
      </c>
      <c r="U142" t="str" cm="1">
        <f t="array" ref="U142">_xlfn.TEXTJOIN(",",TRUE,(_xlfn._xlws.FILTER($A$2:$A$501,($D$2:$D$501&gt;=V$7)*($D$2:$D$501&lt;U$7)*($E$2:$E$501&gt;=$H143)*($E$2:$E$501&lt;$H142)," ")))</f>
        <v>Owen J Roberts SD,Upper Merion Area SD</v>
      </c>
      <c r="V142" t="str" cm="1">
        <f t="array" ref="V142">_xlfn.TEXTJOIN(",",TRUE,(_xlfn._xlws.FILTER($A$2:$A$501,($D$2:$D$501&gt;=W$7)*($D$2:$D$501&lt;V$7)*($E$2:$E$501&gt;=$H143)*($E$2:$E$501&lt;$H142)," ")))</f>
        <v>Shaler Area SD</v>
      </c>
      <c r="W142" t="str" cm="1">
        <f t="array" ref="W142">_xlfn.TEXTJOIN(",",TRUE,(_xlfn._xlws.FILTER($A$2:$A$501,($D$2:$D$501&gt;=X$7)*($D$2:$D$501&lt;W$7)*($E$2:$E$501&gt;=$H143)*($E$2:$E$501&lt;$H142)," ")))</f>
        <v xml:space="preserve"> </v>
      </c>
      <c r="X142" t="str" cm="1">
        <f t="array" ref="X142">_xlfn.TEXTJOIN(",",TRUE,(_xlfn._xlws.FILTER($A$2:$A$501,($D$2:$D$501&gt;=Y$7)*($D$2:$D$501&lt;X$7)*($E$2:$E$501&gt;=$H143)*($E$2:$E$501&lt;$H142)," ")))</f>
        <v xml:space="preserve"> </v>
      </c>
      <c r="Y142" t="str" cm="1">
        <f t="array" ref="Y142">_xlfn.TEXTJOIN(",",TRUE,(_xlfn._xlws.FILTER($A$2:$A$501,($D$2:$D$501&gt;=Z$7)*($D$2:$D$501&lt;Y$7)*($E$2:$E$501&gt;=$H143)*($E$2:$E$501&lt;$H142)," ")))</f>
        <v>Franklin Regional SD</v>
      </c>
      <c r="Z142" t="str" cm="1">
        <f t="array" ref="Z142">_xlfn.TEXTJOIN(",",TRUE,(_xlfn._xlws.FILTER($A$2:$A$501,($D$2:$D$501&gt;=AA$7)*($D$2:$D$501&lt;Z$7)*($E$2:$E$501&gt;=$H143)*($E$2:$E$501&lt;$H142)," ")))</f>
        <v>Lampeter-Strasburg SD</v>
      </c>
      <c r="AA142" t="str" cm="1">
        <f t="array" ref="AA142">_xlfn.TEXTJOIN(",",TRUE,(_xlfn._xlws.FILTER($A$2:$A$501,($D$2:$D$501&gt;=AB$7)*($D$2:$D$501&lt;AA$7)*($E$2:$E$501&gt;=$H143)*($E$2:$E$501&lt;$H142)," ")))</f>
        <v>Grove City Area SD</v>
      </c>
      <c r="AB142" t="str" cm="1">
        <f t="array" ref="AB142">_xlfn.TEXTJOIN(",",TRUE,(_xlfn._xlws.FILTER($A$2:$A$501,($D$2:$D$501&gt;=AC$7)*($D$2:$D$501&lt;AB$7)*($E$2:$E$501&gt;=$H143)*($E$2:$E$501&lt;$H142)," ")))</f>
        <v xml:space="preserve"> </v>
      </c>
      <c r="AC142" t="str" cm="1">
        <f t="array" ref="AC142">_xlfn.TEXTJOIN(",",TRUE,(_xlfn._xlws.FILTER($A$2:$A$501,($D$2:$D$501&gt;=AD$7)*($D$2:$D$501&lt;AC$7)*($E$2:$E$501&gt;=$H143)*($E$2:$E$501&lt;$H142)," ")))</f>
        <v>Richland SD,Riverside Beaver County SD,Cambria Heights SD</v>
      </c>
      <c r="AD142" t="str" cm="1">
        <f t="array" ref="AD142">_xlfn.TEXTJOIN(",",TRUE,(_xlfn._xlws.FILTER($A$2:$A$501,($D$2:$D$501&gt;=AE$7)*($D$2:$D$501&lt;AD$7)*($E$2:$E$501&gt;=$H143)*($E$2:$E$501&lt;$H142)," ")))</f>
        <v>Northern Bedford County SD,West Greene SD</v>
      </c>
      <c r="AE142" t="str" cm="1">
        <f t="array" ref="AE142">_xlfn.TEXTJOIN(",",TRUE,(_xlfn._xlws.FILTER($A$2:$A$501,($D$2:$D$501&gt;=AF$7)*($D$2:$D$501&lt;AE$7)*($E$2:$E$501&gt;=$H143)*($E$2:$E$501&lt;$H142)," ")))</f>
        <v xml:space="preserve"> </v>
      </c>
      <c r="AF142" t="str" cm="1">
        <f t="array" ref="AF142">_xlfn.TEXTJOIN(",",TRUE,(_xlfn._xlws.FILTER($A$2:$A$501,($D$2:$D$501&gt;=AG$7)*($D$2:$D$501&lt;AF$7)*($E$2:$E$501&gt;=$H143)*($E$2:$E$501&lt;$H142)," ")))</f>
        <v xml:space="preserve"> </v>
      </c>
      <c r="AG142" t="str" cm="1">
        <f t="array" ref="AG142">_xlfn.TEXTJOIN(",",TRUE,(_xlfn._xlws.FILTER($A$2:$A$501,($D$2:$D$501&gt;=AH$7)*($D$2:$D$501&lt;AG$7)*($E$2:$E$501&gt;=$H143)*($E$2:$E$501&lt;$H142)," ")))</f>
        <v xml:space="preserve"> </v>
      </c>
      <c r="AH142" t="str" cm="1">
        <f t="array" ref="AH142">_xlfn.TEXTJOIN(",",TRUE,(_xlfn._xlws.FILTER($A$2:$A$501,($D$2:$D$501&gt;=AI$7)*($D$2:$D$501&lt;AH$7)*($E$2:$E$501&gt;=$H143)*($E$2:$E$501&lt;$H142)," ")))</f>
        <v xml:space="preserve"> </v>
      </c>
      <c r="AI142" t="str" cm="1">
        <f t="array" ref="AI142">_xlfn.TEXTJOIN(",",TRUE,(_xlfn._xlws.FILTER($A$2:$A$501,($D$2:$D$501&gt;=AJ$7)*($D$2:$D$501&lt;AI$7)*($E$2:$E$501&gt;=$H143)*($E$2:$E$501&lt;$H142)," ")))</f>
        <v xml:space="preserve"> </v>
      </c>
      <c r="AJ142" t="str" cm="1">
        <f t="array" ref="AJ142">_xlfn.TEXTJOIN(",",TRUE,(_xlfn._xlws.FILTER($A$2:$A$501,($D$2:$D$501&gt;=AK$7)*($D$2:$D$501&lt;AJ$7)*($E$2:$E$501&gt;=$H143)*($E$2:$E$501&lt;$H142)," ")))</f>
        <v xml:space="preserve"> </v>
      </c>
      <c r="AK142" t="str" cm="1">
        <f t="array" ref="AK142">_xlfn.TEXTJOIN(",",TRUE,(_xlfn._xlws.FILTER($A$2:$A$501,($D$2:$D$501&gt;=AL$7)*($D$2:$D$501&lt;AK$7)*($E$2:$E$501&gt;=$H143)*($E$2:$E$501&lt;$H142)," ")))</f>
        <v xml:space="preserve"> </v>
      </c>
      <c r="AL142" t="str" cm="1">
        <f t="array" ref="AL142">_xlfn.TEXTJOIN(",",TRUE,(_xlfn._xlws.FILTER($A$2:$A$501,($D$2:$D$501&gt;=AM$7)*($D$2:$D$501&lt;AL$7)*($E$2:$E$501&gt;=$H143)*($E$2:$E$501&lt;$H142)," ")))</f>
        <v xml:space="preserve"> </v>
      </c>
      <c r="AM142" t="str" cm="1">
        <f t="array" ref="AM142">_xlfn.TEXTJOIN(",",TRUE,(_xlfn._xlws.FILTER($A$2:$A$501,($D$2:$D$501&gt;=AN$7)*($D$2:$D$501&lt;AM$7)*($E$2:$E$501&gt;=$H143)*($E$2:$E$501&lt;$H142)," ")))</f>
        <v xml:space="preserve"> </v>
      </c>
      <c r="AN142" t="str" cm="1">
        <f t="array" ref="AN142">_xlfn.TEXTJOIN(",",TRUE,(_xlfn._xlws.FILTER($A$2:$A$501,($D$2:$D$501&gt;=AO$7)*($D$2:$D$501&lt;AN$7)*($E$2:$E$501&gt;=$H143)*($E$2:$E$501&lt;$H142)," ")))</f>
        <v xml:space="preserve"> </v>
      </c>
      <c r="AO142" t="str" cm="1">
        <f t="array" ref="AO142">_xlfn.TEXTJOIN(",",TRUE,(_xlfn._xlws.FILTER($A$2:$A$501,($D$2:$D$501&gt;=AP$7)*($D$2:$D$501&lt;AO$7)*($E$2:$E$501&gt;=$H143)*($E$2:$E$501&lt;$H142)," ")))</f>
        <v xml:space="preserve"> </v>
      </c>
      <c r="AP142" t="str" cm="1">
        <f t="array" ref="AP142">_xlfn.TEXTJOIN(",",TRUE,(_xlfn._xlws.FILTER($A$2:$A$501,($D$2:$D$501&gt;=AQ$7)*($D$2:$D$501&lt;AP$7)*($E$2:$E$501&gt;=$H143)*($E$2:$E$501&lt;$H142)," ")))</f>
        <v xml:space="preserve"> </v>
      </c>
      <c r="AQ142" t="str" cm="1">
        <f t="array" ref="AQ142">_xlfn.TEXTJOIN(",",TRUE,(_xlfn._xlws.FILTER($A$2:$A$501,($D$2:$D$501&gt;=AR$7)*($D$2:$D$501&lt;AQ$7)*($E$2:$E$501&gt;=$H143)*($E$2:$E$501&lt;$H142)," ")))</f>
        <v xml:space="preserve"> </v>
      </c>
      <c r="AR142" t="str" cm="1">
        <f t="array" ref="AR142">_xlfn.TEXTJOIN(",",TRUE,(_xlfn._xlws.FILTER($A$2:$A$501,($D$2:$D$501&gt;=AS$7)*($D$2:$D$501&lt;AR$7)*($E$2:$E$501&gt;=$H143)*($E$2:$E$501&lt;$H142)," ")))</f>
        <v xml:space="preserve"> </v>
      </c>
      <c r="AS142" t="str" cm="1">
        <f t="array" ref="AS142">_xlfn.TEXTJOIN(",",TRUE,(_xlfn._xlws.FILTER($A$2:$A$501,($D$2:$D$501&gt;=AT$7)*($D$2:$D$501&lt;AS$7)*($E$2:$E$501&gt;=$H143)*($E$2:$E$501&lt;$H142)," ")))</f>
        <v xml:space="preserve"> </v>
      </c>
      <c r="AT142" t="str" cm="1">
        <f t="array" ref="AT142">_xlfn.TEXTJOIN(",",TRUE,(_xlfn._xlws.FILTER($A$2:$A$501,($D$2:$D$501&gt;=AU$7)*($D$2:$D$501&lt;AT$7)*($E$2:$E$501&gt;=$H143)*($E$2:$E$501&lt;$H142)," ")))</f>
        <v xml:space="preserve"> </v>
      </c>
      <c r="AU142" t="str" cm="1">
        <f t="array" ref="AU142">_xlfn.TEXTJOIN(",",TRUE,(_xlfn._xlws.FILTER($A$2:$A$501,($D$2:$D$501&gt;=AV$7)*($D$2:$D$501&lt;AU$7)*($E$2:$E$501&gt;=$H143)*($E$2:$E$501&lt;$H142)," ")))</f>
        <v xml:space="preserve"> </v>
      </c>
      <c r="AV142" t="str" cm="1">
        <f t="array" ref="AV142">_xlfn.TEXTJOIN(",",TRUE,(_xlfn._xlws.FILTER($A$2:$A$501,($D$2:$D$501&gt;=AW$7)*($D$2:$D$501&lt;AV$7)*($E$2:$E$501&gt;=$H143)*($E$2:$E$501&lt;$H142)," ")))</f>
        <v xml:space="preserve"> </v>
      </c>
      <c r="AW142" t="str" cm="1">
        <f t="array" ref="AW142">_xlfn.TEXTJOIN(",",TRUE,(_xlfn._xlws.FILTER($A$2:$A$501,($D$2:$D$501&gt;=AX$7)*($D$2:$D$501&lt;AW$7)*($E$2:$E$501&gt;=$H143)*($E$2:$E$501&lt;$H142)," ")))</f>
        <v xml:space="preserve"> </v>
      </c>
      <c r="AX142" t="str" cm="1">
        <f t="array" ref="AX142">_xlfn.TEXTJOIN(",",TRUE,(_xlfn._xlws.FILTER($A$2:$A$501,($D$2:$D$501&gt;=AY$7)*($D$2:$D$501&lt;AX$7)*($E$2:$E$501&gt;=$H143)*($E$2:$E$501&lt;$H142)," ")))</f>
        <v xml:space="preserve"> </v>
      </c>
      <c r="AY142" t="str" cm="1">
        <f t="array" ref="AY142">_xlfn.TEXTJOIN(",",TRUE,(_xlfn._xlws.FILTER($A$2:$A$501,($D$2:$D$501&gt;=AZ$7)*($D$2:$D$501&lt;AY$7)*($E$2:$E$501&gt;=$H143)*($E$2:$E$501&lt;$H142)," ")))</f>
        <v xml:space="preserve"> </v>
      </c>
      <c r="AZ142" t="str" cm="1">
        <f t="array" ref="AZ142">_xlfn.TEXTJOIN(",",TRUE,(_xlfn._xlws.FILTER($A$2:$A$501,($D$2:$D$501&gt;=BA$7)*($D$2:$D$501&lt;AZ$7)*($E$2:$E$501&gt;=$H143)*($E$2:$E$501&lt;$H142)," ")))</f>
        <v xml:space="preserve"> </v>
      </c>
      <c r="BA142" t="str" cm="1">
        <f t="array" ref="BA142">_xlfn.TEXTJOIN(",",TRUE,(_xlfn._xlws.FILTER($A$2:$A$501,($D$2:$D$501&gt;=BB$7)*($D$2:$D$501&lt;BA$7)*($E$2:$E$501&gt;=$H143)*($E$2:$E$501&lt;$H142)," ")))</f>
        <v xml:space="preserve"> </v>
      </c>
      <c r="BB142" t="str" cm="1">
        <f t="array" ref="BB142">_xlfn.TEXTJOIN(",",TRUE,(_xlfn._xlws.FILTER($A$2:$A$501,($D$2:$D$501&gt;=BC$7)*($D$2:$D$501&lt;BB$7)*($E$2:$E$501&gt;=$H143)*($E$2:$E$501&lt;$H142)," ")))</f>
        <v xml:space="preserve"> </v>
      </c>
    </row>
    <row r="143" spans="1:54" x14ac:dyDescent="0.2">
      <c r="A143" s="3" t="s">
        <v>209</v>
      </c>
      <c r="B143" s="3" t="s">
        <v>207</v>
      </c>
      <c r="C143" s="13">
        <v>3776510.28</v>
      </c>
      <c r="D143" s="15">
        <v>101206671.83</v>
      </c>
      <c r="E143" s="22">
        <f>TuitionRates3[[#This Row],[Tuition]]/D143</f>
        <v>3.7314835195287541E-2</v>
      </c>
      <c r="F143"/>
      <c r="H143" s="18">
        <v>1.4999999999999999E-2</v>
      </c>
      <c r="I143" t="str" cm="1">
        <f t="array" ref="I143">_xlfn.TEXTJOIN(",",TRUE,(_xlfn._xlws.FILTER($A$2:$A$501,($D$2:$D$501&gt;=J$7)*($D$2:$D$501&lt;I$7)*($E$2:$E$501&gt;=$H144)*($E$2:$E$501&lt;$H143)," ")))</f>
        <v xml:space="preserve"> </v>
      </c>
      <c r="J143" t="str" cm="1">
        <f t="array" ref="J143">_xlfn.TEXTJOIN(",",TRUE,(_xlfn._xlws.FILTER($A$2:$A$501,($D$2:$D$501&gt;=K$7)*($D$2:$D$501&lt;J$7)*($E$2:$E$501&gt;=$H144)*($E$2:$E$501&lt;$H143)," ")))</f>
        <v xml:space="preserve"> </v>
      </c>
      <c r="K143" t="str" cm="1">
        <f t="array" ref="K143">_xlfn.TEXTJOIN(",",TRUE,(_xlfn._xlws.FILTER($A$2:$A$501,($D$2:$D$501&gt;=L$7)*($D$2:$D$501&lt;K$7)*($E$2:$E$501&gt;=$H144)*($E$2:$E$501&lt;$H143)," ")))</f>
        <v xml:space="preserve"> </v>
      </c>
      <c r="L143" t="str" cm="1">
        <f t="array" ref="L143">_xlfn.TEXTJOIN(",",TRUE,(_xlfn._xlws.FILTER($A$2:$A$501,($D$2:$D$501&gt;=M$7)*($D$2:$D$501&lt;L$7)*($E$2:$E$501&gt;=$H144)*($E$2:$E$501&lt;$H143)," ")))</f>
        <v xml:space="preserve"> </v>
      </c>
      <c r="M143" t="str" cm="1">
        <f t="array" ref="M143">_xlfn.TEXTJOIN(",",TRUE,(_xlfn._xlws.FILTER($A$2:$A$501,($D$2:$D$501&gt;=N$7)*($D$2:$D$501&lt;M$7)*($E$2:$E$501&gt;=$H144)*($E$2:$E$501&lt;$H143)," ")))</f>
        <v xml:space="preserve"> </v>
      </c>
      <c r="N143" t="str" cm="1">
        <f t="array" ref="N143">_xlfn.TEXTJOIN(",",TRUE,(_xlfn._xlws.FILTER($A$2:$A$501,($D$2:$D$501&gt;=O$7)*($D$2:$D$501&lt;N$7)*($E$2:$E$501&gt;=$H144)*($E$2:$E$501&lt;$H143)," ")))</f>
        <v xml:space="preserve"> </v>
      </c>
      <c r="O143" t="str" cm="1">
        <f t="array" ref="O143">_xlfn.TEXTJOIN(",",TRUE,(_xlfn._xlws.FILTER($A$2:$A$501,($D$2:$D$501&gt;=P$7)*($D$2:$D$501&lt;O$7)*($E$2:$E$501&gt;=$H144)*($E$2:$E$501&lt;$H143)," ")))</f>
        <v xml:space="preserve"> </v>
      </c>
      <c r="P143" t="str" cm="1">
        <f t="array" ref="P143">_xlfn.TEXTJOIN(",",TRUE,(_xlfn._xlws.FILTER($A$2:$A$501,($D$2:$D$501&gt;=Q$7)*($D$2:$D$501&lt;P$7)*($E$2:$E$501&gt;=$H144)*($E$2:$E$501&lt;$H143)," ")))</f>
        <v xml:space="preserve"> </v>
      </c>
      <c r="Q143" t="str" cm="1">
        <f t="array" ref="Q143">_xlfn.TEXTJOIN(",",TRUE,(_xlfn._xlws.FILTER($A$2:$A$501,($D$2:$D$501&gt;=R$7)*($D$2:$D$501&lt;Q$7)*($E$2:$E$501&gt;=$H144)*($E$2:$E$501&lt;$H143)," ")))</f>
        <v xml:space="preserve"> </v>
      </c>
      <c r="R143" t="str" cm="1">
        <f t="array" ref="R143">_xlfn.TEXTJOIN(",",TRUE,(_xlfn._xlws.FILTER($A$2:$A$501,($D$2:$D$501&gt;=S$7)*($D$2:$D$501&lt;R$7)*($E$2:$E$501&gt;=$H144)*($E$2:$E$501&lt;$H143)," ")))</f>
        <v xml:space="preserve"> </v>
      </c>
      <c r="S143" t="str" cm="1">
        <f t="array" ref="S143">_xlfn.TEXTJOIN(",",TRUE,(_xlfn._xlws.FILTER($A$2:$A$501,($D$2:$D$501&gt;=T$7)*($D$2:$D$501&lt;S$7)*($E$2:$E$501&gt;=$H144)*($E$2:$E$501&lt;$H143)," ")))</f>
        <v xml:space="preserve"> </v>
      </c>
      <c r="T143" t="str" cm="1">
        <f t="array" ref="T143">_xlfn.TEXTJOIN(",",TRUE,(_xlfn._xlws.FILTER($A$2:$A$501,($D$2:$D$501&gt;=U$7)*($D$2:$D$501&lt;T$7)*($E$2:$E$501&gt;=$H144)*($E$2:$E$501&lt;$H143)," ")))</f>
        <v>Lancaster SD,North Penn SD</v>
      </c>
      <c r="U143" t="str" cm="1">
        <f t="array" ref="U143">_xlfn.TEXTJOIN(",",TRUE,(_xlfn._xlws.FILTER($A$2:$A$501,($D$2:$D$501&gt;=V$7)*($D$2:$D$501&lt;U$7)*($E$2:$E$501&gt;=$H144)*($E$2:$E$501&lt;$H143)," ")))</f>
        <v>Manheim Township SD,Pennridge SD,Ridley SD</v>
      </c>
      <c r="V143" t="str" cm="1">
        <f t="array" ref="V143">_xlfn.TEXTJOIN(",",TRUE,(_xlfn._xlws.FILTER($A$2:$A$501,($D$2:$D$501&gt;=W$7)*($D$2:$D$501&lt;V$7)*($E$2:$E$501&gt;=$H144)*($E$2:$E$501&lt;$H143)," ")))</f>
        <v xml:space="preserve"> </v>
      </c>
      <c r="W143" t="str" cm="1">
        <f t="array" ref="W143">_xlfn.TEXTJOIN(",",TRUE,(_xlfn._xlws.FILTER($A$2:$A$501,($D$2:$D$501&gt;=X$7)*($D$2:$D$501&lt;W$7)*($E$2:$E$501&gt;=$H144)*($E$2:$E$501&lt;$H143)," ")))</f>
        <v>Governor Mifflin SD</v>
      </c>
      <c r="X143" t="str" cm="1">
        <f t="array" ref="X143">_xlfn.TEXTJOIN(",",TRUE,(_xlfn._xlws.FILTER($A$2:$A$501,($D$2:$D$501&gt;=Y$7)*($D$2:$D$501&lt;X$7)*($E$2:$E$501&gt;=$H144)*($E$2:$E$501&lt;$H143)," ")))</f>
        <v xml:space="preserve"> </v>
      </c>
      <c r="Y143" t="str" cm="1">
        <f t="array" ref="Y143">_xlfn.TEXTJOIN(",",TRUE,(_xlfn._xlws.FILTER($A$2:$A$501,($D$2:$D$501&gt;=Z$7)*($D$2:$D$501&lt;Y$7)*($E$2:$E$501&gt;=$H144)*($E$2:$E$501&lt;$H143)," ")))</f>
        <v xml:space="preserve"> </v>
      </c>
      <c r="Z143" t="str" cm="1">
        <f t="array" ref="Z143">_xlfn.TEXTJOIN(",",TRUE,(_xlfn._xlws.FILTER($A$2:$A$501,($D$2:$D$501&gt;=AA$7)*($D$2:$D$501&lt;Z$7)*($E$2:$E$501&gt;=$H144)*($E$2:$E$501&lt;$H143)," ")))</f>
        <v xml:space="preserve"> </v>
      </c>
      <c r="AA143" t="str" cm="1">
        <f t="array" ref="AA143">_xlfn.TEXTJOIN(",",TRUE,(_xlfn._xlws.FILTER($A$2:$A$501,($D$2:$D$501&gt;=AB$7)*($D$2:$D$501&lt;AA$7)*($E$2:$E$501&gt;=$H144)*($E$2:$E$501&lt;$H143)," ")))</f>
        <v>Greencastle-Antrim SD</v>
      </c>
      <c r="AB143" t="str" cm="1">
        <f t="array" ref="AB143">_xlfn.TEXTJOIN(",",TRUE,(_xlfn._xlws.FILTER($A$2:$A$501,($D$2:$D$501&gt;=AC$7)*($D$2:$D$501&lt;AB$7)*($E$2:$E$501&gt;=$H144)*($E$2:$E$501&lt;$H143)," ")))</f>
        <v>Brandywine Heights Area SD,Bedford Area SD</v>
      </c>
      <c r="AC143" t="str" cm="1">
        <f t="array" ref="AC143">_xlfn.TEXTJOIN(",",TRUE,(_xlfn._xlws.FILTER($A$2:$A$501,($D$2:$D$501&gt;=AD$7)*($D$2:$D$501&lt;AC$7)*($E$2:$E$501&gt;=$H144)*($E$2:$E$501&lt;$H143)," ")))</f>
        <v xml:space="preserve"> </v>
      </c>
      <c r="AD143" t="str" cm="1">
        <f t="array" ref="AD143">_xlfn.TEXTJOIN(",",TRUE,(_xlfn._xlws.FILTER($A$2:$A$501,($D$2:$D$501&gt;=AE$7)*($D$2:$D$501&lt;AD$7)*($E$2:$E$501&gt;=$H144)*($E$2:$E$501&lt;$H143)," ")))</f>
        <v>North Clarion County SD,Laurel SD</v>
      </c>
      <c r="AE143" t="str" cm="1">
        <f t="array" ref="AE143">_xlfn.TEXTJOIN(",",TRUE,(_xlfn._xlws.FILTER($A$2:$A$501,($D$2:$D$501&gt;=AF$7)*($D$2:$D$501&lt;AE$7)*($E$2:$E$501&gt;=$H144)*($E$2:$E$501&lt;$H143)," ")))</f>
        <v xml:space="preserve"> </v>
      </c>
      <c r="AF143" t="str" cm="1">
        <f t="array" ref="AF143">_xlfn.TEXTJOIN(",",TRUE,(_xlfn._xlws.FILTER($A$2:$A$501,($D$2:$D$501&gt;=AG$7)*($D$2:$D$501&lt;AF$7)*($E$2:$E$501&gt;=$H144)*($E$2:$E$501&lt;$H143)," ")))</f>
        <v xml:space="preserve"> </v>
      </c>
      <c r="AG143" t="str" cm="1">
        <f t="array" ref="AG143">_xlfn.TEXTJOIN(",",TRUE,(_xlfn._xlws.FILTER($A$2:$A$501,($D$2:$D$501&gt;=AH$7)*($D$2:$D$501&lt;AG$7)*($E$2:$E$501&gt;=$H144)*($E$2:$E$501&lt;$H143)," ")))</f>
        <v xml:space="preserve"> </v>
      </c>
      <c r="AH143" t="str" cm="1">
        <f t="array" ref="AH143">_xlfn.TEXTJOIN(",",TRUE,(_xlfn._xlws.FILTER($A$2:$A$501,($D$2:$D$501&gt;=AI$7)*($D$2:$D$501&lt;AH$7)*($E$2:$E$501&gt;=$H144)*($E$2:$E$501&lt;$H143)," ")))</f>
        <v xml:space="preserve"> </v>
      </c>
      <c r="AI143" t="str" cm="1">
        <f t="array" ref="AI143">_xlfn.TEXTJOIN(",",TRUE,(_xlfn._xlws.FILTER($A$2:$A$501,($D$2:$D$501&gt;=AJ$7)*($D$2:$D$501&lt;AI$7)*($E$2:$E$501&gt;=$H144)*($E$2:$E$501&lt;$H143)," ")))</f>
        <v xml:space="preserve"> </v>
      </c>
      <c r="AJ143" t="str" cm="1">
        <f t="array" ref="AJ143">_xlfn.TEXTJOIN(",",TRUE,(_xlfn._xlws.FILTER($A$2:$A$501,($D$2:$D$501&gt;=AK$7)*($D$2:$D$501&lt;AJ$7)*($E$2:$E$501&gt;=$H144)*($E$2:$E$501&lt;$H143)," ")))</f>
        <v xml:space="preserve"> </v>
      </c>
      <c r="AK143" t="str" cm="1">
        <f t="array" ref="AK143">_xlfn.TEXTJOIN(",",TRUE,(_xlfn._xlws.FILTER($A$2:$A$501,($D$2:$D$501&gt;=AL$7)*($D$2:$D$501&lt;AK$7)*($E$2:$E$501&gt;=$H144)*($E$2:$E$501&lt;$H143)," ")))</f>
        <v xml:space="preserve"> </v>
      </c>
      <c r="AL143" t="str" cm="1">
        <f t="array" ref="AL143">_xlfn.TEXTJOIN(",",TRUE,(_xlfn._xlws.FILTER($A$2:$A$501,($D$2:$D$501&gt;=AM$7)*($D$2:$D$501&lt;AL$7)*($E$2:$E$501&gt;=$H144)*($E$2:$E$501&lt;$H143)," ")))</f>
        <v xml:space="preserve"> </v>
      </c>
      <c r="AM143" t="str" cm="1">
        <f t="array" ref="AM143">_xlfn.TEXTJOIN(",",TRUE,(_xlfn._xlws.FILTER($A$2:$A$501,($D$2:$D$501&gt;=AN$7)*($D$2:$D$501&lt;AM$7)*($E$2:$E$501&gt;=$H144)*($E$2:$E$501&lt;$H143)," ")))</f>
        <v xml:space="preserve"> </v>
      </c>
      <c r="AN143" t="str" cm="1">
        <f t="array" ref="AN143">_xlfn.TEXTJOIN(",",TRUE,(_xlfn._xlws.FILTER($A$2:$A$501,($D$2:$D$501&gt;=AO$7)*($D$2:$D$501&lt;AN$7)*($E$2:$E$501&gt;=$H144)*($E$2:$E$501&lt;$H143)," ")))</f>
        <v xml:space="preserve"> </v>
      </c>
      <c r="AO143" t="str" cm="1">
        <f t="array" ref="AO143">_xlfn.TEXTJOIN(",",TRUE,(_xlfn._xlws.FILTER($A$2:$A$501,($D$2:$D$501&gt;=AP$7)*($D$2:$D$501&lt;AO$7)*($E$2:$E$501&gt;=$H144)*($E$2:$E$501&lt;$H143)," ")))</f>
        <v xml:space="preserve"> </v>
      </c>
      <c r="AP143" t="str" cm="1">
        <f t="array" ref="AP143">_xlfn.TEXTJOIN(",",TRUE,(_xlfn._xlws.FILTER($A$2:$A$501,($D$2:$D$501&gt;=AQ$7)*($D$2:$D$501&lt;AP$7)*($E$2:$E$501&gt;=$H144)*($E$2:$E$501&lt;$H143)," ")))</f>
        <v xml:space="preserve"> </v>
      </c>
      <c r="AQ143" t="str" cm="1">
        <f t="array" ref="AQ143">_xlfn.TEXTJOIN(",",TRUE,(_xlfn._xlws.FILTER($A$2:$A$501,($D$2:$D$501&gt;=AR$7)*($D$2:$D$501&lt;AQ$7)*($E$2:$E$501&gt;=$H144)*($E$2:$E$501&lt;$H143)," ")))</f>
        <v xml:space="preserve"> </v>
      </c>
      <c r="AR143" t="str" cm="1">
        <f t="array" ref="AR143">_xlfn.TEXTJOIN(",",TRUE,(_xlfn._xlws.FILTER($A$2:$A$501,($D$2:$D$501&gt;=AS$7)*($D$2:$D$501&lt;AR$7)*($E$2:$E$501&gt;=$H144)*($E$2:$E$501&lt;$H143)," ")))</f>
        <v xml:space="preserve"> </v>
      </c>
      <c r="AS143" t="str" cm="1">
        <f t="array" ref="AS143">_xlfn.TEXTJOIN(",",TRUE,(_xlfn._xlws.FILTER($A$2:$A$501,($D$2:$D$501&gt;=AT$7)*($D$2:$D$501&lt;AS$7)*($E$2:$E$501&gt;=$H144)*($E$2:$E$501&lt;$H143)," ")))</f>
        <v xml:space="preserve"> </v>
      </c>
      <c r="AT143" t="str" cm="1">
        <f t="array" ref="AT143">_xlfn.TEXTJOIN(",",TRUE,(_xlfn._xlws.FILTER($A$2:$A$501,($D$2:$D$501&gt;=AU$7)*($D$2:$D$501&lt;AT$7)*($E$2:$E$501&gt;=$H144)*($E$2:$E$501&lt;$H143)," ")))</f>
        <v xml:space="preserve"> </v>
      </c>
      <c r="AU143" t="str" cm="1">
        <f t="array" ref="AU143">_xlfn.TEXTJOIN(",",TRUE,(_xlfn._xlws.FILTER($A$2:$A$501,($D$2:$D$501&gt;=AV$7)*($D$2:$D$501&lt;AU$7)*($E$2:$E$501&gt;=$H144)*($E$2:$E$501&lt;$H143)," ")))</f>
        <v xml:space="preserve"> </v>
      </c>
      <c r="AV143" t="str" cm="1">
        <f t="array" ref="AV143">_xlfn.TEXTJOIN(",",TRUE,(_xlfn._xlws.FILTER($A$2:$A$501,($D$2:$D$501&gt;=AW$7)*($D$2:$D$501&lt;AV$7)*($E$2:$E$501&gt;=$H144)*($E$2:$E$501&lt;$H143)," ")))</f>
        <v xml:space="preserve"> </v>
      </c>
      <c r="AW143" t="str" cm="1">
        <f t="array" ref="AW143">_xlfn.TEXTJOIN(",",TRUE,(_xlfn._xlws.FILTER($A$2:$A$501,($D$2:$D$501&gt;=AX$7)*($D$2:$D$501&lt;AW$7)*($E$2:$E$501&gt;=$H144)*($E$2:$E$501&lt;$H143)," ")))</f>
        <v xml:space="preserve"> </v>
      </c>
      <c r="AX143" t="str" cm="1">
        <f t="array" ref="AX143">_xlfn.TEXTJOIN(",",TRUE,(_xlfn._xlws.FILTER($A$2:$A$501,($D$2:$D$501&gt;=AY$7)*($D$2:$D$501&lt;AX$7)*($E$2:$E$501&gt;=$H144)*($E$2:$E$501&lt;$H143)," ")))</f>
        <v xml:space="preserve"> </v>
      </c>
      <c r="AY143" t="str" cm="1">
        <f t="array" ref="AY143">_xlfn.TEXTJOIN(",",TRUE,(_xlfn._xlws.FILTER($A$2:$A$501,($D$2:$D$501&gt;=AZ$7)*($D$2:$D$501&lt;AY$7)*($E$2:$E$501&gt;=$H144)*($E$2:$E$501&lt;$H143)," ")))</f>
        <v xml:space="preserve"> </v>
      </c>
      <c r="AZ143" t="str" cm="1">
        <f t="array" ref="AZ143">_xlfn.TEXTJOIN(",",TRUE,(_xlfn._xlws.FILTER($A$2:$A$501,($D$2:$D$501&gt;=BA$7)*($D$2:$D$501&lt;AZ$7)*($E$2:$E$501&gt;=$H144)*($E$2:$E$501&lt;$H143)," ")))</f>
        <v xml:space="preserve"> </v>
      </c>
      <c r="BA143" t="str" cm="1">
        <f t="array" ref="BA143">_xlfn.TEXTJOIN(",",TRUE,(_xlfn._xlws.FILTER($A$2:$A$501,($D$2:$D$501&gt;=BB$7)*($D$2:$D$501&lt;BA$7)*($E$2:$E$501&gt;=$H144)*($E$2:$E$501&lt;$H143)," ")))</f>
        <v xml:space="preserve"> </v>
      </c>
      <c r="BB143" t="str" cm="1">
        <f t="array" ref="BB143">_xlfn.TEXTJOIN(",",TRUE,(_xlfn._xlws.FILTER($A$2:$A$501,($D$2:$D$501&gt;=BC$7)*($D$2:$D$501&lt;BB$7)*($E$2:$E$501&gt;=$H144)*($E$2:$E$501&lt;$H143)," ")))</f>
        <v xml:space="preserve"> </v>
      </c>
    </row>
    <row r="144" spans="1:54" x14ac:dyDescent="0.2">
      <c r="A144" s="3" t="s">
        <v>36</v>
      </c>
      <c r="B144" s="3" t="s">
        <v>11</v>
      </c>
      <c r="C144" s="13">
        <v>3644106.37</v>
      </c>
      <c r="D144" s="15">
        <v>97685359.689999998</v>
      </c>
      <c r="E144" s="22">
        <f>TuitionRates3[[#This Row],[Tuition]]/D144</f>
        <v>3.7304529374354606E-2</v>
      </c>
      <c r="F144"/>
      <c r="H144" s="18">
        <v>1.4E-2</v>
      </c>
      <c r="I144" t="str" cm="1">
        <f t="array" ref="I144">_xlfn.TEXTJOIN(",",TRUE,(_xlfn._xlws.FILTER($A$2:$A$501,($D$2:$D$501&gt;=J$7)*($D$2:$D$501&lt;I$7)*($E$2:$E$501&gt;=$H145)*($E$2:$E$501&lt;$H144)," ")))</f>
        <v xml:space="preserve"> </v>
      </c>
      <c r="J144" t="str" cm="1">
        <f t="array" ref="J144">_xlfn.TEXTJOIN(",",TRUE,(_xlfn._xlws.FILTER($A$2:$A$501,($D$2:$D$501&gt;=K$7)*($D$2:$D$501&lt;J$7)*($E$2:$E$501&gt;=$H145)*($E$2:$E$501&lt;$H144)," ")))</f>
        <v xml:space="preserve"> </v>
      </c>
      <c r="K144" t="str" cm="1">
        <f t="array" ref="K144">_xlfn.TEXTJOIN(",",TRUE,(_xlfn._xlws.FILTER($A$2:$A$501,($D$2:$D$501&gt;=L$7)*($D$2:$D$501&lt;K$7)*($E$2:$E$501&gt;=$H145)*($E$2:$E$501&lt;$H144)," ")))</f>
        <v xml:space="preserve"> </v>
      </c>
      <c r="L144" t="str" cm="1">
        <f t="array" ref="L144">_xlfn.TEXTJOIN(",",TRUE,(_xlfn._xlws.FILTER($A$2:$A$501,($D$2:$D$501&gt;=M$7)*($D$2:$D$501&lt;L$7)*($E$2:$E$501&gt;=$H145)*($E$2:$E$501&lt;$H144)," ")))</f>
        <v xml:space="preserve"> </v>
      </c>
      <c r="M144" t="str" cm="1">
        <f t="array" ref="M144">_xlfn.TEXTJOIN(",",TRUE,(_xlfn._xlws.FILTER($A$2:$A$501,($D$2:$D$501&gt;=N$7)*($D$2:$D$501&lt;M$7)*($E$2:$E$501&gt;=$H145)*($E$2:$E$501&lt;$H144)," ")))</f>
        <v xml:space="preserve"> </v>
      </c>
      <c r="N144" t="str" cm="1">
        <f t="array" ref="N144">_xlfn.TEXTJOIN(",",TRUE,(_xlfn._xlws.FILTER($A$2:$A$501,($D$2:$D$501&gt;=O$7)*($D$2:$D$501&lt;N$7)*($E$2:$E$501&gt;=$H145)*($E$2:$E$501&lt;$H144)," ")))</f>
        <v xml:space="preserve"> </v>
      </c>
      <c r="O144" t="str" cm="1">
        <f t="array" ref="O144">_xlfn.TEXTJOIN(",",TRUE,(_xlfn._xlws.FILTER($A$2:$A$501,($D$2:$D$501&gt;=P$7)*($D$2:$D$501&lt;O$7)*($E$2:$E$501&gt;=$H145)*($E$2:$E$501&lt;$H144)," ")))</f>
        <v xml:space="preserve"> </v>
      </c>
      <c r="P144" t="str" cm="1">
        <f t="array" ref="P144">_xlfn.TEXTJOIN(",",TRUE,(_xlfn._xlws.FILTER($A$2:$A$501,($D$2:$D$501&gt;=Q$7)*($D$2:$D$501&lt;P$7)*($E$2:$E$501&gt;=$H145)*($E$2:$E$501&lt;$H144)," ")))</f>
        <v xml:space="preserve"> </v>
      </c>
      <c r="Q144" t="str" cm="1">
        <f t="array" ref="Q144">_xlfn.TEXTJOIN(",",TRUE,(_xlfn._xlws.FILTER($A$2:$A$501,($D$2:$D$501&gt;=R$7)*($D$2:$D$501&lt;Q$7)*($E$2:$E$501&gt;=$H145)*($E$2:$E$501&lt;$H144)," ")))</f>
        <v xml:space="preserve"> </v>
      </c>
      <c r="R144" t="str" cm="1">
        <f t="array" ref="R144">_xlfn.TEXTJOIN(",",TRUE,(_xlfn._xlws.FILTER($A$2:$A$501,($D$2:$D$501&gt;=S$7)*($D$2:$D$501&lt;R$7)*($E$2:$E$501&gt;=$H145)*($E$2:$E$501&lt;$H144)," ")))</f>
        <v xml:space="preserve"> </v>
      </c>
      <c r="S144" t="str" cm="1">
        <f t="array" ref="S144">_xlfn.TEXTJOIN(",",TRUE,(_xlfn._xlws.FILTER($A$2:$A$501,($D$2:$D$501&gt;=T$7)*($D$2:$D$501&lt;S$7)*($E$2:$E$501&gt;=$H145)*($E$2:$E$501&lt;$H144)," ")))</f>
        <v xml:space="preserve"> </v>
      </c>
      <c r="T144" t="str" cm="1">
        <f t="array" ref="T144">_xlfn.TEXTJOIN(",",TRUE,(_xlfn._xlws.FILTER($A$2:$A$501,($D$2:$D$501&gt;=U$7)*($D$2:$D$501&lt;T$7)*($E$2:$E$501&gt;=$H145)*($E$2:$E$501&lt;$H144)," ")))</f>
        <v xml:space="preserve"> </v>
      </c>
      <c r="U144" t="str" cm="1">
        <f t="array" ref="U144">_xlfn.TEXTJOIN(",",TRUE,(_xlfn._xlws.FILTER($A$2:$A$501,($D$2:$D$501&gt;=V$7)*($D$2:$D$501&lt;U$7)*($E$2:$E$501&gt;=$H145)*($E$2:$E$501&lt;$H144)," ")))</f>
        <v xml:space="preserve"> </v>
      </c>
      <c r="V144" t="str" cm="1">
        <f t="array" ref="V144">_xlfn.TEXTJOIN(",",TRUE,(_xlfn._xlws.FILTER($A$2:$A$501,($D$2:$D$501&gt;=W$7)*($D$2:$D$501&lt;V$7)*($E$2:$E$501&gt;=$H145)*($E$2:$E$501&lt;$H144)," ")))</f>
        <v xml:space="preserve"> </v>
      </c>
      <c r="W144" t="str" cm="1">
        <f t="array" ref="W144">_xlfn.TEXTJOIN(",",TRUE,(_xlfn._xlws.FILTER($A$2:$A$501,($D$2:$D$501&gt;=X$7)*($D$2:$D$501&lt;W$7)*($E$2:$E$501&gt;=$H145)*($E$2:$E$501&lt;$H144)," ")))</f>
        <v xml:space="preserve"> </v>
      </c>
      <c r="X144" t="str" cm="1">
        <f t="array" ref="X144">_xlfn.TEXTJOIN(",",TRUE,(_xlfn._xlws.FILTER($A$2:$A$501,($D$2:$D$501&gt;=Y$7)*($D$2:$D$501&lt;X$7)*($E$2:$E$501&gt;=$H145)*($E$2:$E$501&lt;$H144)," ")))</f>
        <v xml:space="preserve"> </v>
      </c>
      <c r="Y144" t="str" cm="1">
        <f t="array" ref="Y144">_xlfn.TEXTJOIN(",",TRUE,(_xlfn._xlws.FILTER($A$2:$A$501,($D$2:$D$501&gt;=Z$7)*($D$2:$D$501&lt;Y$7)*($E$2:$E$501&gt;=$H145)*($E$2:$E$501&lt;$H144)," ")))</f>
        <v xml:space="preserve"> </v>
      </c>
      <c r="Z144" t="str" cm="1">
        <f t="array" ref="Z144">_xlfn.TEXTJOIN(",",TRUE,(_xlfn._xlws.FILTER($A$2:$A$501,($D$2:$D$501&gt;=AA$7)*($D$2:$D$501&lt;Z$7)*($E$2:$E$501&gt;=$H145)*($E$2:$E$501&lt;$H144)," ")))</f>
        <v xml:space="preserve"> </v>
      </c>
      <c r="AA144" t="str" cm="1">
        <f t="array" ref="AA144">_xlfn.TEXTJOIN(",",TRUE,(_xlfn._xlws.FILTER($A$2:$A$501,($D$2:$D$501&gt;=AB$7)*($D$2:$D$501&lt;AA$7)*($E$2:$E$501&gt;=$H145)*($E$2:$E$501&lt;$H144)," ")))</f>
        <v>Pequea Valley SD</v>
      </c>
      <c r="AB144" t="str" cm="1">
        <f t="array" ref="AB144">_xlfn.TEXTJOIN(",",TRUE,(_xlfn._xlws.FILTER($A$2:$A$501,($D$2:$D$501&gt;=AC$7)*($D$2:$D$501&lt;AB$7)*($E$2:$E$501&gt;=$H145)*($E$2:$E$501&lt;$H144)," ")))</f>
        <v>Freeport Area SD,Beaver Area SD</v>
      </c>
      <c r="AC144" t="str" cm="1">
        <f t="array" ref="AC144">_xlfn.TEXTJOIN(",",TRUE,(_xlfn._xlws.FILTER($A$2:$A$501,($D$2:$D$501&gt;=AD$7)*($D$2:$D$501&lt;AC$7)*($E$2:$E$501&gt;=$H145)*($E$2:$E$501&lt;$H144)," ")))</f>
        <v xml:space="preserve"> </v>
      </c>
      <c r="AD144" t="str" cm="1">
        <f t="array" ref="AD144">_xlfn.TEXTJOIN(",",TRUE,(_xlfn._xlws.FILTER($A$2:$A$501,($D$2:$D$501&gt;=AE$7)*($D$2:$D$501&lt;AD$7)*($E$2:$E$501&gt;=$H145)*($E$2:$E$501&lt;$H144)," ")))</f>
        <v xml:space="preserve"> </v>
      </c>
      <c r="AE144" t="str" cm="1">
        <f t="array" ref="AE144">_xlfn.TEXTJOIN(",",TRUE,(_xlfn._xlws.FILTER($A$2:$A$501,($D$2:$D$501&gt;=AF$7)*($D$2:$D$501&lt;AE$7)*($E$2:$E$501&gt;=$H145)*($E$2:$E$501&lt;$H144)," ")))</f>
        <v xml:space="preserve"> </v>
      </c>
      <c r="AF144" t="str" cm="1">
        <f t="array" ref="AF144">_xlfn.TEXTJOIN(",",TRUE,(_xlfn._xlws.FILTER($A$2:$A$501,($D$2:$D$501&gt;=AG$7)*($D$2:$D$501&lt;AF$7)*($E$2:$E$501&gt;=$H145)*($E$2:$E$501&lt;$H144)," ")))</f>
        <v xml:space="preserve"> </v>
      </c>
      <c r="AG144" t="str" cm="1">
        <f t="array" ref="AG144">_xlfn.TEXTJOIN(",",TRUE,(_xlfn._xlws.FILTER($A$2:$A$501,($D$2:$D$501&gt;=AH$7)*($D$2:$D$501&lt;AG$7)*($E$2:$E$501&gt;=$H145)*($E$2:$E$501&lt;$H144)," ")))</f>
        <v xml:space="preserve"> </v>
      </c>
      <c r="AH144" t="str" cm="1">
        <f t="array" ref="AH144">_xlfn.TEXTJOIN(",",TRUE,(_xlfn._xlws.FILTER($A$2:$A$501,($D$2:$D$501&gt;=AI$7)*($D$2:$D$501&lt;AH$7)*($E$2:$E$501&gt;=$H145)*($E$2:$E$501&lt;$H144)," ")))</f>
        <v xml:space="preserve"> </v>
      </c>
      <c r="AI144" t="str" cm="1">
        <f t="array" ref="AI144">_xlfn.TEXTJOIN(",",TRUE,(_xlfn._xlws.FILTER($A$2:$A$501,($D$2:$D$501&gt;=AJ$7)*($D$2:$D$501&lt;AI$7)*($E$2:$E$501&gt;=$H145)*($E$2:$E$501&lt;$H144)," ")))</f>
        <v xml:space="preserve"> </v>
      </c>
      <c r="AJ144" t="str" cm="1">
        <f t="array" ref="AJ144">_xlfn.TEXTJOIN(",",TRUE,(_xlfn._xlws.FILTER($A$2:$A$501,($D$2:$D$501&gt;=AK$7)*($D$2:$D$501&lt;AJ$7)*($E$2:$E$501&gt;=$H145)*($E$2:$E$501&lt;$H144)," ")))</f>
        <v xml:space="preserve"> </v>
      </c>
      <c r="AK144" t="str" cm="1">
        <f t="array" ref="AK144">_xlfn.TEXTJOIN(",",TRUE,(_xlfn._xlws.FILTER($A$2:$A$501,($D$2:$D$501&gt;=AL$7)*($D$2:$D$501&lt;AK$7)*($E$2:$E$501&gt;=$H145)*($E$2:$E$501&lt;$H144)," ")))</f>
        <v xml:space="preserve"> </v>
      </c>
      <c r="AL144" t="str" cm="1">
        <f t="array" ref="AL144">_xlfn.TEXTJOIN(",",TRUE,(_xlfn._xlws.FILTER($A$2:$A$501,($D$2:$D$501&gt;=AM$7)*($D$2:$D$501&lt;AL$7)*($E$2:$E$501&gt;=$H145)*($E$2:$E$501&lt;$H144)," ")))</f>
        <v xml:space="preserve"> </v>
      </c>
      <c r="AM144" t="str" cm="1">
        <f t="array" ref="AM144">_xlfn.TEXTJOIN(",",TRUE,(_xlfn._xlws.FILTER($A$2:$A$501,($D$2:$D$501&gt;=AN$7)*($D$2:$D$501&lt;AM$7)*($E$2:$E$501&gt;=$H145)*($E$2:$E$501&lt;$H144)," ")))</f>
        <v xml:space="preserve"> </v>
      </c>
      <c r="AN144" t="str" cm="1">
        <f t="array" ref="AN144">_xlfn.TEXTJOIN(",",TRUE,(_xlfn._xlws.FILTER($A$2:$A$501,($D$2:$D$501&gt;=AO$7)*($D$2:$D$501&lt;AN$7)*($E$2:$E$501&gt;=$H145)*($E$2:$E$501&lt;$H144)," ")))</f>
        <v xml:space="preserve"> </v>
      </c>
      <c r="AO144" t="str" cm="1">
        <f t="array" ref="AO144">_xlfn.TEXTJOIN(",",TRUE,(_xlfn._xlws.FILTER($A$2:$A$501,($D$2:$D$501&gt;=AP$7)*($D$2:$D$501&lt;AO$7)*($E$2:$E$501&gt;=$H145)*($E$2:$E$501&lt;$H144)," ")))</f>
        <v xml:space="preserve"> </v>
      </c>
      <c r="AP144" t="str" cm="1">
        <f t="array" ref="AP144">_xlfn.TEXTJOIN(",",TRUE,(_xlfn._xlws.FILTER($A$2:$A$501,($D$2:$D$501&gt;=AQ$7)*($D$2:$D$501&lt;AP$7)*($E$2:$E$501&gt;=$H145)*($E$2:$E$501&lt;$H144)," ")))</f>
        <v xml:space="preserve"> </v>
      </c>
      <c r="AQ144" t="str" cm="1">
        <f t="array" ref="AQ144">_xlfn.TEXTJOIN(",",TRUE,(_xlfn._xlws.FILTER($A$2:$A$501,($D$2:$D$501&gt;=AR$7)*($D$2:$D$501&lt;AQ$7)*($E$2:$E$501&gt;=$H145)*($E$2:$E$501&lt;$H144)," ")))</f>
        <v xml:space="preserve"> </v>
      </c>
      <c r="AR144" t="str" cm="1">
        <f t="array" ref="AR144">_xlfn.TEXTJOIN(",",TRUE,(_xlfn._xlws.FILTER($A$2:$A$501,($D$2:$D$501&gt;=AS$7)*($D$2:$D$501&lt;AR$7)*($E$2:$E$501&gt;=$H145)*($E$2:$E$501&lt;$H144)," ")))</f>
        <v xml:space="preserve"> </v>
      </c>
      <c r="AS144" t="str" cm="1">
        <f t="array" ref="AS144">_xlfn.TEXTJOIN(",",TRUE,(_xlfn._xlws.FILTER($A$2:$A$501,($D$2:$D$501&gt;=AT$7)*($D$2:$D$501&lt;AS$7)*($E$2:$E$501&gt;=$H145)*($E$2:$E$501&lt;$H144)," ")))</f>
        <v xml:space="preserve"> </v>
      </c>
      <c r="AT144" t="str" cm="1">
        <f t="array" ref="AT144">_xlfn.TEXTJOIN(",",TRUE,(_xlfn._xlws.FILTER($A$2:$A$501,($D$2:$D$501&gt;=AU$7)*($D$2:$D$501&lt;AT$7)*($E$2:$E$501&gt;=$H145)*($E$2:$E$501&lt;$H144)," ")))</f>
        <v xml:space="preserve"> </v>
      </c>
      <c r="AU144" t="str" cm="1">
        <f t="array" ref="AU144">_xlfn.TEXTJOIN(",",TRUE,(_xlfn._xlws.FILTER($A$2:$A$501,($D$2:$D$501&gt;=AV$7)*($D$2:$D$501&lt;AU$7)*($E$2:$E$501&gt;=$H145)*($E$2:$E$501&lt;$H144)," ")))</f>
        <v xml:space="preserve"> </v>
      </c>
      <c r="AV144" t="str" cm="1">
        <f t="array" ref="AV144">_xlfn.TEXTJOIN(",",TRUE,(_xlfn._xlws.FILTER($A$2:$A$501,($D$2:$D$501&gt;=AW$7)*($D$2:$D$501&lt;AV$7)*($E$2:$E$501&gt;=$H145)*($E$2:$E$501&lt;$H144)," ")))</f>
        <v xml:space="preserve"> </v>
      </c>
      <c r="AW144" t="str" cm="1">
        <f t="array" ref="AW144">_xlfn.TEXTJOIN(",",TRUE,(_xlfn._xlws.FILTER($A$2:$A$501,($D$2:$D$501&gt;=AX$7)*($D$2:$D$501&lt;AW$7)*($E$2:$E$501&gt;=$H145)*($E$2:$E$501&lt;$H144)," ")))</f>
        <v xml:space="preserve"> </v>
      </c>
      <c r="AX144" t="str" cm="1">
        <f t="array" ref="AX144">_xlfn.TEXTJOIN(",",TRUE,(_xlfn._xlws.FILTER($A$2:$A$501,($D$2:$D$501&gt;=AY$7)*($D$2:$D$501&lt;AX$7)*($E$2:$E$501&gt;=$H145)*($E$2:$E$501&lt;$H144)," ")))</f>
        <v xml:space="preserve"> </v>
      </c>
      <c r="AY144" t="str" cm="1">
        <f t="array" ref="AY144">_xlfn.TEXTJOIN(",",TRUE,(_xlfn._xlws.FILTER($A$2:$A$501,($D$2:$D$501&gt;=AZ$7)*($D$2:$D$501&lt;AY$7)*($E$2:$E$501&gt;=$H145)*($E$2:$E$501&lt;$H144)," ")))</f>
        <v xml:space="preserve"> </v>
      </c>
      <c r="AZ144" t="str" cm="1">
        <f t="array" ref="AZ144">_xlfn.TEXTJOIN(",",TRUE,(_xlfn._xlws.FILTER($A$2:$A$501,($D$2:$D$501&gt;=BA$7)*($D$2:$D$501&lt;AZ$7)*($E$2:$E$501&gt;=$H145)*($E$2:$E$501&lt;$H144)," ")))</f>
        <v xml:space="preserve"> </v>
      </c>
      <c r="BA144" t="str" cm="1">
        <f t="array" ref="BA144">_xlfn.TEXTJOIN(",",TRUE,(_xlfn._xlws.FILTER($A$2:$A$501,($D$2:$D$501&gt;=BB$7)*($D$2:$D$501&lt;BA$7)*($E$2:$E$501&gt;=$H145)*($E$2:$E$501&lt;$H144)," ")))</f>
        <v xml:space="preserve"> </v>
      </c>
      <c r="BB144" t="str" cm="1">
        <f t="array" ref="BB144">_xlfn.TEXTJOIN(",",TRUE,(_xlfn._xlws.FILTER($A$2:$A$501,($D$2:$D$501&gt;=BC$7)*($D$2:$D$501&lt;BB$7)*($E$2:$E$501&gt;=$H145)*($E$2:$E$501&lt;$H144)," ")))</f>
        <v xml:space="preserve"> </v>
      </c>
    </row>
    <row r="145" spans="1:54" x14ac:dyDescent="0.2">
      <c r="A145" s="3" t="s">
        <v>314</v>
      </c>
      <c r="B145" s="3" t="s">
        <v>305</v>
      </c>
      <c r="C145" s="13">
        <v>1645311</v>
      </c>
      <c r="D145" s="15">
        <v>44122425</v>
      </c>
      <c r="E145" s="22">
        <f>TuitionRates3[[#This Row],[Tuition]]/D145</f>
        <v>3.7289677527923726E-2</v>
      </c>
      <c r="F145"/>
      <c r="H145" s="18">
        <v>1.2999999999999999E-2</v>
      </c>
      <c r="I145" t="str" cm="1">
        <f t="array" ref="I145">_xlfn.TEXTJOIN(",",TRUE,(_xlfn._xlws.FILTER($A$2:$A$501,($D$2:$D$501&gt;=J$7)*($D$2:$D$501&lt;I$7)*($E$2:$E$501&gt;=$H146)*($E$2:$E$501&lt;$H145)," ")))</f>
        <v xml:space="preserve"> </v>
      </c>
      <c r="J145" t="str" cm="1">
        <f t="array" ref="J145">_xlfn.TEXTJOIN(",",TRUE,(_xlfn._xlws.FILTER($A$2:$A$501,($D$2:$D$501&gt;=K$7)*($D$2:$D$501&lt;J$7)*($E$2:$E$501&gt;=$H146)*($E$2:$E$501&lt;$H145)," ")))</f>
        <v xml:space="preserve"> </v>
      </c>
      <c r="K145" t="str" cm="1">
        <f t="array" ref="K145">_xlfn.TEXTJOIN(",",TRUE,(_xlfn._xlws.FILTER($A$2:$A$501,($D$2:$D$501&gt;=L$7)*($D$2:$D$501&lt;K$7)*($E$2:$E$501&gt;=$H146)*($E$2:$E$501&lt;$H145)," ")))</f>
        <v xml:space="preserve"> </v>
      </c>
      <c r="L145" t="str" cm="1">
        <f t="array" ref="L145">_xlfn.TEXTJOIN(",",TRUE,(_xlfn._xlws.FILTER($A$2:$A$501,($D$2:$D$501&gt;=M$7)*($D$2:$D$501&lt;L$7)*($E$2:$E$501&gt;=$H146)*($E$2:$E$501&lt;$H145)," ")))</f>
        <v xml:space="preserve"> </v>
      </c>
      <c r="M145" t="str" cm="1">
        <f t="array" ref="M145">_xlfn.TEXTJOIN(",",TRUE,(_xlfn._xlws.FILTER($A$2:$A$501,($D$2:$D$501&gt;=N$7)*($D$2:$D$501&lt;M$7)*($E$2:$E$501&gt;=$H146)*($E$2:$E$501&lt;$H145)," ")))</f>
        <v xml:space="preserve"> </v>
      </c>
      <c r="N145" t="str" cm="1">
        <f t="array" ref="N145">_xlfn.TEXTJOIN(",",TRUE,(_xlfn._xlws.FILTER($A$2:$A$501,($D$2:$D$501&gt;=O$7)*($D$2:$D$501&lt;N$7)*($E$2:$E$501&gt;=$H146)*($E$2:$E$501&lt;$H145)," ")))</f>
        <v xml:space="preserve"> </v>
      </c>
      <c r="O145" t="str" cm="1">
        <f t="array" ref="O145">_xlfn.TEXTJOIN(",",TRUE,(_xlfn._xlws.FILTER($A$2:$A$501,($D$2:$D$501&gt;=P$7)*($D$2:$D$501&lt;O$7)*($E$2:$E$501&gt;=$H146)*($E$2:$E$501&lt;$H145)," ")))</f>
        <v xml:space="preserve"> </v>
      </c>
      <c r="P145" t="str" cm="1">
        <f t="array" ref="P145">_xlfn.TEXTJOIN(",",TRUE,(_xlfn._xlws.FILTER($A$2:$A$501,($D$2:$D$501&gt;=Q$7)*($D$2:$D$501&lt;P$7)*($E$2:$E$501&gt;=$H146)*($E$2:$E$501&lt;$H145)," ")))</f>
        <v xml:space="preserve"> </v>
      </c>
      <c r="Q145" t="str" cm="1">
        <f t="array" ref="Q145">_xlfn.TEXTJOIN(",",TRUE,(_xlfn._xlws.FILTER($A$2:$A$501,($D$2:$D$501&gt;=R$7)*($D$2:$D$501&lt;Q$7)*($E$2:$E$501&gt;=$H146)*($E$2:$E$501&lt;$H145)," ")))</f>
        <v xml:space="preserve"> </v>
      </c>
      <c r="R145" t="str" cm="1">
        <f t="array" ref="R145">_xlfn.TEXTJOIN(",",TRUE,(_xlfn._xlws.FILTER($A$2:$A$501,($D$2:$D$501&gt;=S$7)*($D$2:$D$501&lt;R$7)*($E$2:$E$501&gt;=$H146)*($E$2:$E$501&lt;$H145)," ")))</f>
        <v xml:space="preserve"> </v>
      </c>
      <c r="S145" t="str" cm="1">
        <f t="array" ref="S145">_xlfn.TEXTJOIN(",",TRUE,(_xlfn._xlws.FILTER($A$2:$A$501,($D$2:$D$501&gt;=T$7)*($D$2:$D$501&lt;S$7)*($E$2:$E$501&gt;=$H146)*($E$2:$E$501&lt;$H145)," ")))</f>
        <v xml:space="preserve"> </v>
      </c>
      <c r="T145" t="str" cm="1">
        <f t="array" ref="T145">_xlfn.TEXTJOIN(",",TRUE,(_xlfn._xlws.FILTER($A$2:$A$501,($D$2:$D$501&gt;=U$7)*($D$2:$D$501&lt;T$7)*($E$2:$E$501&gt;=$H146)*($E$2:$E$501&lt;$H145)," ")))</f>
        <v xml:space="preserve"> </v>
      </c>
      <c r="U145" t="str" cm="1">
        <f t="array" ref="U145">_xlfn.TEXTJOIN(",",TRUE,(_xlfn._xlws.FILTER($A$2:$A$501,($D$2:$D$501&gt;=V$7)*($D$2:$D$501&lt;U$7)*($E$2:$E$501&gt;=$H146)*($E$2:$E$501&lt;$H145)," ")))</f>
        <v>Wilson SD,Great Valley SD,Spring-Ford Area SD,Avon Grove SD</v>
      </c>
      <c r="V145" t="str" cm="1">
        <f t="array" ref="V145">_xlfn.TEXTJOIN(",",TRUE,(_xlfn._xlws.FILTER($A$2:$A$501,($D$2:$D$501&gt;=W$7)*($D$2:$D$501&lt;V$7)*($E$2:$E$501&gt;=$H146)*($E$2:$E$501&lt;$H145)," ")))</f>
        <v xml:space="preserve"> </v>
      </c>
      <c r="W145" t="str" cm="1">
        <f t="array" ref="W145">_xlfn.TEXTJOIN(",",TRUE,(_xlfn._xlws.FILTER($A$2:$A$501,($D$2:$D$501&gt;=X$7)*($D$2:$D$501&lt;W$7)*($E$2:$E$501&gt;=$H146)*($E$2:$E$501&lt;$H145)," ")))</f>
        <v>Conestoga Valley SD</v>
      </c>
      <c r="X145" t="str" cm="1">
        <f t="array" ref="X145">_xlfn.TEXTJOIN(",",TRUE,(_xlfn._xlws.FILTER($A$2:$A$501,($D$2:$D$501&gt;=Y$7)*($D$2:$D$501&lt;X$7)*($E$2:$E$501&gt;=$H146)*($E$2:$E$501&lt;$H145)," ")))</f>
        <v>Peters Township SD,Chartiers Valley SD</v>
      </c>
      <c r="Y145" t="str" cm="1">
        <f t="array" ref="Y145">_xlfn.TEXTJOIN(",",TRUE,(_xlfn._xlws.FILTER($A$2:$A$501,($D$2:$D$501&gt;=Z$7)*($D$2:$D$501&lt;Y$7)*($E$2:$E$501&gt;=$H146)*($E$2:$E$501&lt;$H145)," ")))</f>
        <v xml:space="preserve"> </v>
      </c>
      <c r="Z145" t="str" cm="1">
        <f t="array" ref="Z145">_xlfn.TEXTJOIN(",",TRUE,(_xlfn._xlws.FILTER($A$2:$A$501,($D$2:$D$501&gt;=AA$7)*($D$2:$D$501&lt;Z$7)*($E$2:$E$501&gt;=$H146)*($E$2:$E$501&lt;$H145)," ")))</f>
        <v xml:space="preserve"> </v>
      </c>
      <c r="AA145" t="str" cm="1">
        <f t="array" ref="AA145">_xlfn.TEXTJOIN(",",TRUE,(_xlfn._xlws.FILTER($A$2:$A$501,($D$2:$D$501&gt;=AB$7)*($D$2:$D$501&lt;AA$7)*($E$2:$E$501&gt;=$H146)*($E$2:$E$501&lt;$H145)," ")))</f>
        <v>Lewisburg Area SD,Northwestern Lehigh SD</v>
      </c>
      <c r="AB145" t="str" cm="1">
        <f t="array" ref="AB145">_xlfn.TEXTJOIN(",",TRUE,(_xlfn._xlws.FILTER($A$2:$A$501,($D$2:$D$501&gt;=AC$7)*($D$2:$D$501&lt;AB$7)*($E$2:$E$501&gt;=$H146)*($E$2:$E$501&lt;$H145)," ")))</f>
        <v>Burrell SD,Titusville Area SD</v>
      </c>
      <c r="AC145" t="str" cm="1">
        <f t="array" ref="AC145">_xlfn.TEXTJOIN(",",TRUE,(_xlfn._xlws.FILTER($A$2:$A$501,($D$2:$D$501&gt;=AD$7)*($D$2:$D$501&lt;AC$7)*($E$2:$E$501&gt;=$H146)*($E$2:$E$501&lt;$H145)," ")))</f>
        <v>Greenville Area SD</v>
      </c>
      <c r="AD145" t="str" cm="1">
        <f t="array" ref="AD145">_xlfn.TEXTJOIN(",",TRUE,(_xlfn._xlws.FILTER($A$2:$A$501,($D$2:$D$501&gt;=AE$7)*($D$2:$D$501&lt;AD$7)*($E$2:$E$501&gt;=$H146)*($E$2:$E$501&lt;$H145)," ")))</f>
        <v>Claysburg-Kimmel SD</v>
      </c>
      <c r="AE145" t="str" cm="1">
        <f t="array" ref="AE145">_xlfn.TEXTJOIN(",",TRUE,(_xlfn._xlws.FILTER($A$2:$A$501,($D$2:$D$501&gt;=AF$7)*($D$2:$D$501&lt;AE$7)*($E$2:$E$501&gt;=$H146)*($E$2:$E$501&lt;$H145)," ")))</f>
        <v xml:space="preserve"> </v>
      </c>
      <c r="AF145" t="str" cm="1">
        <f t="array" ref="AF145">_xlfn.TEXTJOIN(",",TRUE,(_xlfn._xlws.FILTER($A$2:$A$501,($D$2:$D$501&gt;=AG$7)*($D$2:$D$501&lt;AF$7)*($E$2:$E$501&gt;=$H146)*($E$2:$E$501&lt;$H145)," ")))</f>
        <v xml:space="preserve"> </v>
      </c>
      <c r="AG145" t="str" cm="1">
        <f t="array" ref="AG145">_xlfn.TEXTJOIN(",",TRUE,(_xlfn._xlws.FILTER($A$2:$A$501,($D$2:$D$501&gt;=AH$7)*($D$2:$D$501&lt;AG$7)*($E$2:$E$501&gt;=$H146)*($E$2:$E$501&lt;$H145)," ")))</f>
        <v xml:space="preserve"> </v>
      </c>
      <c r="AH145" t="str" cm="1">
        <f t="array" ref="AH145">_xlfn.TEXTJOIN(",",TRUE,(_xlfn._xlws.FILTER($A$2:$A$501,($D$2:$D$501&gt;=AI$7)*($D$2:$D$501&lt;AH$7)*($E$2:$E$501&gt;=$H146)*($E$2:$E$501&lt;$H145)," ")))</f>
        <v xml:space="preserve"> </v>
      </c>
      <c r="AI145" t="str" cm="1">
        <f t="array" ref="AI145">_xlfn.TEXTJOIN(",",TRUE,(_xlfn._xlws.FILTER($A$2:$A$501,($D$2:$D$501&gt;=AJ$7)*($D$2:$D$501&lt;AI$7)*($E$2:$E$501&gt;=$H146)*($E$2:$E$501&lt;$H145)," ")))</f>
        <v xml:space="preserve"> </v>
      </c>
      <c r="AJ145" t="str" cm="1">
        <f t="array" ref="AJ145">_xlfn.TEXTJOIN(",",TRUE,(_xlfn._xlws.FILTER($A$2:$A$501,($D$2:$D$501&gt;=AK$7)*($D$2:$D$501&lt;AJ$7)*($E$2:$E$501&gt;=$H146)*($E$2:$E$501&lt;$H145)," ")))</f>
        <v xml:space="preserve"> </v>
      </c>
      <c r="AK145" t="str" cm="1">
        <f t="array" ref="AK145">_xlfn.TEXTJOIN(",",TRUE,(_xlfn._xlws.FILTER($A$2:$A$501,($D$2:$D$501&gt;=AL$7)*($D$2:$D$501&lt;AK$7)*($E$2:$E$501&gt;=$H146)*($E$2:$E$501&lt;$H145)," ")))</f>
        <v xml:space="preserve"> </v>
      </c>
      <c r="AL145" t="str" cm="1">
        <f t="array" ref="AL145">_xlfn.TEXTJOIN(",",TRUE,(_xlfn._xlws.FILTER($A$2:$A$501,($D$2:$D$501&gt;=AM$7)*($D$2:$D$501&lt;AL$7)*($E$2:$E$501&gt;=$H146)*($E$2:$E$501&lt;$H145)," ")))</f>
        <v xml:space="preserve"> </v>
      </c>
      <c r="AM145" t="str" cm="1">
        <f t="array" ref="AM145">_xlfn.TEXTJOIN(",",TRUE,(_xlfn._xlws.FILTER($A$2:$A$501,($D$2:$D$501&gt;=AN$7)*($D$2:$D$501&lt;AM$7)*($E$2:$E$501&gt;=$H146)*($E$2:$E$501&lt;$H145)," ")))</f>
        <v xml:space="preserve"> </v>
      </c>
      <c r="AN145" t="str" cm="1">
        <f t="array" ref="AN145">_xlfn.TEXTJOIN(",",TRUE,(_xlfn._xlws.FILTER($A$2:$A$501,($D$2:$D$501&gt;=AO$7)*($D$2:$D$501&lt;AN$7)*($E$2:$E$501&gt;=$H146)*($E$2:$E$501&lt;$H145)," ")))</f>
        <v xml:space="preserve"> </v>
      </c>
      <c r="AO145" t="str" cm="1">
        <f t="array" ref="AO145">_xlfn.TEXTJOIN(",",TRUE,(_xlfn._xlws.FILTER($A$2:$A$501,($D$2:$D$501&gt;=AP$7)*($D$2:$D$501&lt;AO$7)*($E$2:$E$501&gt;=$H146)*($E$2:$E$501&lt;$H145)," ")))</f>
        <v xml:space="preserve"> </v>
      </c>
      <c r="AP145" t="str" cm="1">
        <f t="array" ref="AP145">_xlfn.TEXTJOIN(",",TRUE,(_xlfn._xlws.FILTER($A$2:$A$501,($D$2:$D$501&gt;=AQ$7)*($D$2:$D$501&lt;AP$7)*($E$2:$E$501&gt;=$H146)*($E$2:$E$501&lt;$H145)," ")))</f>
        <v xml:space="preserve"> </v>
      </c>
      <c r="AQ145" t="str" cm="1">
        <f t="array" ref="AQ145">_xlfn.TEXTJOIN(",",TRUE,(_xlfn._xlws.FILTER($A$2:$A$501,($D$2:$D$501&gt;=AR$7)*($D$2:$D$501&lt;AQ$7)*($E$2:$E$501&gt;=$H146)*($E$2:$E$501&lt;$H145)," ")))</f>
        <v xml:space="preserve"> </v>
      </c>
      <c r="AR145" t="str" cm="1">
        <f t="array" ref="AR145">_xlfn.TEXTJOIN(",",TRUE,(_xlfn._xlws.FILTER($A$2:$A$501,($D$2:$D$501&gt;=AS$7)*($D$2:$D$501&lt;AR$7)*($E$2:$E$501&gt;=$H146)*($E$2:$E$501&lt;$H145)," ")))</f>
        <v xml:space="preserve"> </v>
      </c>
      <c r="AS145" t="str" cm="1">
        <f t="array" ref="AS145">_xlfn.TEXTJOIN(",",TRUE,(_xlfn._xlws.FILTER($A$2:$A$501,($D$2:$D$501&gt;=AT$7)*($D$2:$D$501&lt;AS$7)*($E$2:$E$501&gt;=$H146)*($E$2:$E$501&lt;$H145)," ")))</f>
        <v xml:space="preserve"> </v>
      </c>
      <c r="AT145" t="str" cm="1">
        <f t="array" ref="AT145">_xlfn.TEXTJOIN(",",TRUE,(_xlfn._xlws.FILTER($A$2:$A$501,($D$2:$D$501&gt;=AU$7)*($D$2:$D$501&lt;AT$7)*($E$2:$E$501&gt;=$H146)*($E$2:$E$501&lt;$H145)," ")))</f>
        <v xml:space="preserve"> </v>
      </c>
      <c r="AU145" t="str" cm="1">
        <f t="array" ref="AU145">_xlfn.TEXTJOIN(",",TRUE,(_xlfn._xlws.FILTER($A$2:$A$501,($D$2:$D$501&gt;=AV$7)*($D$2:$D$501&lt;AU$7)*($E$2:$E$501&gt;=$H146)*($E$2:$E$501&lt;$H145)," ")))</f>
        <v xml:space="preserve"> </v>
      </c>
      <c r="AV145" t="str" cm="1">
        <f t="array" ref="AV145">_xlfn.TEXTJOIN(",",TRUE,(_xlfn._xlws.FILTER($A$2:$A$501,($D$2:$D$501&gt;=AW$7)*($D$2:$D$501&lt;AV$7)*($E$2:$E$501&gt;=$H146)*($E$2:$E$501&lt;$H145)," ")))</f>
        <v xml:space="preserve"> </v>
      </c>
      <c r="AW145" t="str" cm="1">
        <f t="array" ref="AW145">_xlfn.TEXTJOIN(",",TRUE,(_xlfn._xlws.FILTER($A$2:$A$501,($D$2:$D$501&gt;=AX$7)*($D$2:$D$501&lt;AW$7)*($E$2:$E$501&gt;=$H146)*($E$2:$E$501&lt;$H145)," ")))</f>
        <v xml:space="preserve"> </v>
      </c>
      <c r="AX145" t="str" cm="1">
        <f t="array" ref="AX145">_xlfn.TEXTJOIN(",",TRUE,(_xlfn._xlws.FILTER($A$2:$A$501,($D$2:$D$501&gt;=AY$7)*($D$2:$D$501&lt;AX$7)*($E$2:$E$501&gt;=$H146)*($E$2:$E$501&lt;$H145)," ")))</f>
        <v xml:space="preserve"> </v>
      </c>
      <c r="AY145" t="str" cm="1">
        <f t="array" ref="AY145">_xlfn.TEXTJOIN(",",TRUE,(_xlfn._xlws.FILTER($A$2:$A$501,($D$2:$D$501&gt;=AZ$7)*($D$2:$D$501&lt;AY$7)*($E$2:$E$501&gt;=$H146)*($E$2:$E$501&lt;$H145)," ")))</f>
        <v xml:space="preserve"> </v>
      </c>
      <c r="AZ145" t="str" cm="1">
        <f t="array" ref="AZ145">_xlfn.TEXTJOIN(",",TRUE,(_xlfn._xlws.FILTER($A$2:$A$501,($D$2:$D$501&gt;=BA$7)*($D$2:$D$501&lt;AZ$7)*($E$2:$E$501&gt;=$H146)*($E$2:$E$501&lt;$H145)," ")))</f>
        <v xml:space="preserve"> </v>
      </c>
      <c r="BA145" t="str" cm="1">
        <f t="array" ref="BA145">_xlfn.TEXTJOIN(",",TRUE,(_xlfn._xlws.FILTER($A$2:$A$501,($D$2:$D$501&gt;=BB$7)*($D$2:$D$501&lt;BA$7)*($E$2:$E$501&gt;=$H146)*($E$2:$E$501&lt;$H145)," ")))</f>
        <v xml:space="preserve"> </v>
      </c>
      <c r="BB145" t="str" cm="1">
        <f t="array" ref="BB145">_xlfn.TEXTJOIN(",",TRUE,(_xlfn._xlws.FILTER($A$2:$A$501,($D$2:$D$501&gt;=BC$7)*($D$2:$D$501&lt;BB$7)*($E$2:$E$501&gt;=$H146)*($E$2:$E$501&lt;$H145)," ")))</f>
        <v xml:space="preserve"> </v>
      </c>
    </row>
    <row r="146" spans="1:54" x14ac:dyDescent="0.2">
      <c r="A146" s="3" t="s">
        <v>197</v>
      </c>
      <c r="B146" s="3" t="s">
        <v>196</v>
      </c>
      <c r="C146" s="13">
        <v>1873060.8</v>
      </c>
      <c r="D146" s="15">
        <v>50330572.450000003</v>
      </c>
      <c r="E146" s="22">
        <f>TuitionRates3[[#This Row],[Tuition]]/D146</f>
        <v>3.7215169802822301E-2</v>
      </c>
      <c r="F146"/>
      <c r="H146" s="18">
        <v>1.2E-2</v>
      </c>
      <c r="I146" t="str" cm="1">
        <f t="array" ref="I146">_xlfn.TEXTJOIN(",",TRUE,(_xlfn._xlws.FILTER($A$2:$A$501,($D$2:$D$501&gt;=J$7)*($D$2:$D$501&lt;I$7)*($E$2:$E$501&gt;=$H147)*($E$2:$E$501&lt;$H146)," ")))</f>
        <v xml:space="preserve"> </v>
      </c>
      <c r="J146" t="str" cm="1">
        <f t="array" ref="J146">_xlfn.TEXTJOIN(",",TRUE,(_xlfn._xlws.FILTER($A$2:$A$501,($D$2:$D$501&gt;=K$7)*($D$2:$D$501&lt;J$7)*($E$2:$E$501&gt;=$H147)*($E$2:$E$501&lt;$H146)," ")))</f>
        <v xml:space="preserve"> </v>
      </c>
      <c r="K146" t="str" cm="1">
        <f t="array" ref="K146">_xlfn.TEXTJOIN(",",TRUE,(_xlfn._xlws.FILTER($A$2:$A$501,($D$2:$D$501&gt;=L$7)*($D$2:$D$501&lt;K$7)*($E$2:$E$501&gt;=$H147)*($E$2:$E$501&lt;$H146)," ")))</f>
        <v xml:space="preserve"> </v>
      </c>
      <c r="L146" t="str" cm="1">
        <f t="array" ref="L146">_xlfn.TEXTJOIN(",",TRUE,(_xlfn._xlws.FILTER($A$2:$A$501,($D$2:$D$501&gt;=M$7)*($D$2:$D$501&lt;L$7)*($E$2:$E$501&gt;=$H147)*($E$2:$E$501&lt;$H146)," ")))</f>
        <v xml:space="preserve"> </v>
      </c>
      <c r="M146" t="str" cm="1">
        <f t="array" ref="M146">_xlfn.TEXTJOIN(",",TRUE,(_xlfn._xlws.FILTER($A$2:$A$501,($D$2:$D$501&gt;=N$7)*($D$2:$D$501&lt;M$7)*($E$2:$E$501&gt;=$H147)*($E$2:$E$501&lt;$H146)," ")))</f>
        <v xml:space="preserve"> </v>
      </c>
      <c r="N146" t="str" cm="1">
        <f t="array" ref="N146">_xlfn.TEXTJOIN(",",TRUE,(_xlfn._xlws.FILTER($A$2:$A$501,($D$2:$D$501&gt;=O$7)*($D$2:$D$501&lt;N$7)*($E$2:$E$501&gt;=$H147)*($E$2:$E$501&lt;$H146)," ")))</f>
        <v xml:space="preserve"> </v>
      </c>
      <c r="O146" t="str" cm="1">
        <f t="array" ref="O146">_xlfn.TEXTJOIN(",",TRUE,(_xlfn._xlws.FILTER($A$2:$A$501,($D$2:$D$501&gt;=P$7)*($D$2:$D$501&lt;O$7)*($E$2:$E$501&gt;=$H147)*($E$2:$E$501&lt;$H146)," ")))</f>
        <v xml:space="preserve"> </v>
      </c>
      <c r="P146" t="str" cm="1">
        <f t="array" ref="P146">_xlfn.TEXTJOIN(",",TRUE,(_xlfn._xlws.FILTER($A$2:$A$501,($D$2:$D$501&gt;=Q$7)*($D$2:$D$501&lt;P$7)*($E$2:$E$501&gt;=$H147)*($E$2:$E$501&lt;$H146)," ")))</f>
        <v xml:space="preserve"> </v>
      </c>
      <c r="Q146" t="str" cm="1">
        <f t="array" ref="Q146">_xlfn.TEXTJOIN(",",TRUE,(_xlfn._xlws.FILTER($A$2:$A$501,($D$2:$D$501&gt;=R$7)*($D$2:$D$501&lt;Q$7)*($E$2:$E$501&gt;=$H147)*($E$2:$E$501&lt;$H146)," ")))</f>
        <v xml:space="preserve"> </v>
      </c>
      <c r="R146" t="str" cm="1">
        <f t="array" ref="R146">_xlfn.TEXTJOIN(",",TRUE,(_xlfn._xlws.FILTER($A$2:$A$501,($D$2:$D$501&gt;=S$7)*($D$2:$D$501&lt;R$7)*($E$2:$E$501&gt;=$H147)*($E$2:$E$501&lt;$H146)," ")))</f>
        <v xml:space="preserve"> </v>
      </c>
      <c r="S146" t="str" cm="1">
        <f t="array" ref="S146">_xlfn.TEXTJOIN(",",TRUE,(_xlfn._xlws.FILTER($A$2:$A$501,($D$2:$D$501&gt;=T$7)*($D$2:$D$501&lt;S$7)*($E$2:$E$501&gt;=$H147)*($E$2:$E$501&lt;$H146)," ")))</f>
        <v xml:space="preserve"> </v>
      </c>
      <c r="T146" t="str" cm="1">
        <f t="array" ref="T146">_xlfn.TEXTJOIN(",",TRUE,(_xlfn._xlws.FILTER($A$2:$A$501,($D$2:$D$501&gt;=U$7)*($D$2:$D$501&lt;T$7)*($E$2:$E$501&gt;=$H147)*($E$2:$E$501&lt;$H146)," ")))</f>
        <v>West Chester Area SD</v>
      </c>
      <c r="U146" t="str" cm="1">
        <f t="array" ref="U146">_xlfn.TEXTJOIN(",",TRUE,(_xlfn._xlws.FILTER($A$2:$A$501,($D$2:$D$501&gt;=V$7)*($D$2:$D$501&lt;U$7)*($E$2:$E$501&gt;=$H147)*($E$2:$E$501&lt;$H146)," ")))</f>
        <v>Centennial SD,Rose Tree Media SD,Abington SD</v>
      </c>
      <c r="V146" t="str" cm="1">
        <f t="array" ref="V146">_xlfn.TEXTJOIN(",",TRUE,(_xlfn._xlws.FILTER($A$2:$A$501,($D$2:$D$501&gt;=W$7)*($D$2:$D$501&lt;V$7)*($E$2:$E$501&gt;=$H147)*($E$2:$E$501&lt;$H146)," ")))</f>
        <v xml:space="preserve"> </v>
      </c>
      <c r="W146" t="str" cm="1">
        <f t="array" ref="W146">_xlfn.TEXTJOIN(",",TRUE,(_xlfn._xlws.FILTER($A$2:$A$501,($D$2:$D$501&gt;=X$7)*($D$2:$D$501&lt;W$7)*($E$2:$E$501&gt;=$H147)*($E$2:$E$501&lt;$H146)," ")))</f>
        <v xml:space="preserve"> </v>
      </c>
      <c r="X146" t="str" cm="1">
        <f t="array" ref="X146">_xlfn.TEXTJOIN(",",TRUE,(_xlfn._xlws.FILTER($A$2:$A$501,($D$2:$D$501&gt;=Y$7)*($D$2:$D$501&lt;X$7)*($E$2:$E$501&gt;=$H147)*($E$2:$E$501&lt;$H146)," ")))</f>
        <v>Interboro SD</v>
      </c>
      <c r="Y146" t="str" cm="1">
        <f t="array" ref="Y146">_xlfn.TEXTJOIN(",",TRUE,(_xlfn._xlws.FILTER($A$2:$A$501,($D$2:$D$501&gt;=Z$7)*($D$2:$D$501&lt;Y$7)*($E$2:$E$501&gt;=$H147)*($E$2:$E$501&lt;$H146)," ")))</f>
        <v>Plum Borough SD</v>
      </c>
      <c r="Z146" t="str" cm="1">
        <f t="array" ref="Z146">_xlfn.TEXTJOIN(",",TRUE,(_xlfn._xlws.FILTER($A$2:$A$501,($D$2:$D$501&gt;=AA$7)*($D$2:$D$501&lt;Z$7)*($E$2:$E$501&gt;=$H147)*($E$2:$E$501&lt;$H146)," ")))</f>
        <v xml:space="preserve"> </v>
      </c>
      <c r="AA146" t="str" cm="1">
        <f t="array" ref="AA146">_xlfn.TEXTJOIN(",",TRUE,(_xlfn._xlws.FILTER($A$2:$A$501,($D$2:$D$501&gt;=AB$7)*($D$2:$D$501&lt;AA$7)*($E$2:$E$501&gt;=$H147)*($E$2:$E$501&lt;$H146)," ")))</f>
        <v>Keystone Oaks SD,Danville Area SD</v>
      </c>
      <c r="AB146" t="str" cm="1">
        <f t="array" ref="AB146">_xlfn.TEXTJOIN(",",TRUE,(_xlfn._xlws.FILTER($A$2:$A$501,($D$2:$D$501&gt;=AC$7)*($D$2:$D$501&lt;AB$7)*($E$2:$E$501&gt;=$H147)*($E$2:$E$501&lt;$H146)," ")))</f>
        <v xml:space="preserve"> </v>
      </c>
      <c r="AC146" t="str" cm="1">
        <f t="array" ref="AC146">_xlfn.TEXTJOIN(",",TRUE,(_xlfn._xlws.FILTER($A$2:$A$501,($D$2:$D$501&gt;=AD$7)*($D$2:$D$501&lt;AC$7)*($E$2:$E$501&gt;=$H147)*($E$2:$E$501&lt;$H146)," ")))</f>
        <v>Allegheny Valley SD,Riverview SD</v>
      </c>
      <c r="AD146" t="str" cm="1">
        <f t="array" ref="AD146">_xlfn.TEXTJOIN(",",TRUE,(_xlfn._xlws.FILTER($A$2:$A$501,($D$2:$D$501&gt;=AE$7)*($D$2:$D$501&lt;AD$7)*($E$2:$E$501&gt;=$H147)*($E$2:$E$501&lt;$H146)," ")))</f>
        <v>Berlin Brothersvalley SD</v>
      </c>
      <c r="AE146" t="str" cm="1">
        <f t="array" ref="AE146">_xlfn.TEXTJOIN(",",TRUE,(_xlfn._xlws.FILTER($A$2:$A$501,($D$2:$D$501&gt;=AF$7)*($D$2:$D$501&lt;AE$7)*($E$2:$E$501&gt;=$H147)*($E$2:$E$501&lt;$H146)," ")))</f>
        <v xml:space="preserve"> </v>
      </c>
      <c r="AF146" t="str" cm="1">
        <f t="array" ref="AF146">_xlfn.TEXTJOIN(",",TRUE,(_xlfn._xlws.FILTER($A$2:$A$501,($D$2:$D$501&gt;=AG$7)*($D$2:$D$501&lt;AF$7)*($E$2:$E$501&gt;=$H147)*($E$2:$E$501&lt;$H146)," ")))</f>
        <v xml:space="preserve"> </v>
      </c>
      <c r="AG146" t="str" cm="1">
        <f t="array" ref="AG146">_xlfn.TEXTJOIN(",",TRUE,(_xlfn._xlws.FILTER($A$2:$A$501,($D$2:$D$501&gt;=AH$7)*($D$2:$D$501&lt;AG$7)*($E$2:$E$501&gt;=$H147)*($E$2:$E$501&lt;$H146)," ")))</f>
        <v xml:space="preserve"> </v>
      </c>
      <c r="AH146" t="str" cm="1">
        <f t="array" ref="AH146">_xlfn.TEXTJOIN(",",TRUE,(_xlfn._xlws.FILTER($A$2:$A$501,($D$2:$D$501&gt;=AI$7)*($D$2:$D$501&lt;AH$7)*($E$2:$E$501&gt;=$H147)*($E$2:$E$501&lt;$H146)," ")))</f>
        <v xml:space="preserve"> </v>
      </c>
      <c r="AI146" t="str" cm="1">
        <f t="array" ref="AI146">_xlfn.TEXTJOIN(",",TRUE,(_xlfn._xlws.FILTER($A$2:$A$501,($D$2:$D$501&gt;=AJ$7)*($D$2:$D$501&lt;AI$7)*($E$2:$E$501&gt;=$H147)*($E$2:$E$501&lt;$H146)," ")))</f>
        <v xml:space="preserve"> </v>
      </c>
      <c r="AJ146" t="str" cm="1">
        <f t="array" ref="AJ146">_xlfn.TEXTJOIN(",",TRUE,(_xlfn._xlws.FILTER($A$2:$A$501,($D$2:$D$501&gt;=AK$7)*($D$2:$D$501&lt;AJ$7)*($E$2:$E$501&gt;=$H147)*($E$2:$E$501&lt;$H146)," ")))</f>
        <v xml:space="preserve"> </v>
      </c>
      <c r="AK146" t="str" cm="1">
        <f t="array" ref="AK146">_xlfn.TEXTJOIN(",",TRUE,(_xlfn._xlws.FILTER($A$2:$A$501,($D$2:$D$501&gt;=AL$7)*($D$2:$D$501&lt;AK$7)*($E$2:$E$501&gt;=$H147)*($E$2:$E$501&lt;$H146)," ")))</f>
        <v xml:space="preserve"> </v>
      </c>
      <c r="AL146" t="str" cm="1">
        <f t="array" ref="AL146">_xlfn.TEXTJOIN(",",TRUE,(_xlfn._xlws.FILTER($A$2:$A$501,($D$2:$D$501&gt;=AM$7)*($D$2:$D$501&lt;AL$7)*($E$2:$E$501&gt;=$H147)*($E$2:$E$501&lt;$H146)," ")))</f>
        <v xml:space="preserve"> </v>
      </c>
      <c r="AM146" t="str" cm="1">
        <f t="array" ref="AM146">_xlfn.TEXTJOIN(",",TRUE,(_xlfn._xlws.FILTER($A$2:$A$501,($D$2:$D$501&gt;=AN$7)*($D$2:$D$501&lt;AM$7)*($E$2:$E$501&gt;=$H147)*($E$2:$E$501&lt;$H146)," ")))</f>
        <v xml:space="preserve"> </v>
      </c>
      <c r="AN146" t="str" cm="1">
        <f t="array" ref="AN146">_xlfn.TEXTJOIN(",",TRUE,(_xlfn._xlws.FILTER($A$2:$A$501,($D$2:$D$501&gt;=AO$7)*($D$2:$D$501&lt;AN$7)*($E$2:$E$501&gt;=$H147)*($E$2:$E$501&lt;$H146)," ")))</f>
        <v xml:space="preserve"> </v>
      </c>
      <c r="AO146" t="str" cm="1">
        <f t="array" ref="AO146">_xlfn.TEXTJOIN(",",TRUE,(_xlfn._xlws.FILTER($A$2:$A$501,($D$2:$D$501&gt;=AP$7)*($D$2:$D$501&lt;AO$7)*($E$2:$E$501&gt;=$H147)*($E$2:$E$501&lt;$H146)," ")))</f>
        <v xml:space="preserve"> </v>
      </c>
      <c r="AP146" t="str" cm="1">
        <f t="array" ref="AP146">_xlfn.TEXTJOIN(",",TRUE,(_xlfn._xlws.FILTER($A$2:$A$501,($D$2:$D$501&gt;=AQ$7)*($D$2:$D$501&lt;AP$7)*($E$2:$E$501&gt;=$H147)*($E$2:$E$501&lt;$H146)," ")))</f>
        <v xml:space="preserve"> </v>
      </c>
      <c r="AQ146" t="str" cm="1">
        <f t="array" ref="AQ146">_xlfn.TEXTJOIN(",",TRUE,(_xlfn._xlws.FILTER($A$2:$A$501,($D$2:$D$501&gt;=AR$7)*($D$2:$D$501&lt;AQ$7)*($E$2:$E$501&gt;=$H147)*($E$2:$E$501&lt;$H146)," ")))</f>
        <v xml:space="preserve"> </v>
      </c>
      <c r="AR146" t="str" cm="1">
        <f t="array" ref="AR146">_xlfn.TEXTJOIN(",",TRUE,(_xlfn._xlws.FILTER($A$2:$A$501,($D$2:$D$501&gt;=AS$7)*($D$2:$D$501&lt;AR$7)*($E$2:$E$501&gt;=$H147)*($E$2:$E$501&lt;$H146)," ")))</f>
        <v xml:space="preserve"> </v>
      </c>
      <c r="AS146" t="str" cm="1">
        <f t="array" ref="AS146">_xlfn.TEXTJOIN(",",TRUE,(_xlfn._xlws.FILTER($A$2:$A$501,($D$2:$D$501&gt;=AT$7)*($D$2:$D$501&lt;AS$7)*($E$2:$E$501&gt;=$H147)*($E$2:$E$501&lt;$H146)," ")))</f>
        <v xml:space="preserve"> </v>
      </c>
      <c r="AT146" t="str" cm="1">
        <f t="array" ref="AT146">_xlfn.TEXTJOIN(",",TRUE,(_xlfn._xlws.FILTER($A$2:$A$501,($D$2:$D$501&gt;=AU$7)*($D$2:$D$501&lt;AT$7)*($E$2:$E$501&gt;=$H147)*($E$2:$E$501&lt;$H146)," ")))</f>
        <v xml:space="preserve"> </v>
      </c>
      <c r="AU146" t="str" cm="1">
        <f t="array" ref="AU146">_xlfn.TEXTJOIN(",",TRUE,(_xlfn._xlws.FILTER($A$2:$A$501,($D$2:$D$501&gt;=AV$7)*($D$2:$D$501&lt;AU$7)*($E$2:$E$501&gt;=$H147)*($E$2:$E$501&lt;$H146)," ")))</f>
        <v xml:space="preserve"> </v>
      </c>
      <c r="AV146" t="str" cm="1">
        <f t="array" ref="AV146">_xlfn.TEXTJOIN(",",TRUE,(_xlfn._xlws.FILTER($A$2:$A$501,($D$2:$D$501&gt;=AW$7)*($D$2:$D$501&lt;AV$7)*($E$2:$E$501&gt;=$H147)*($E$2:$E$501&lt;$H146)," ")))</f>
        <v xml:space="preserve"> </v>
      </c>
      <c r="AW146" t="str" cm="1">
        <f t="array" ref="AW146">_xlfn.TEXTJOIN(",",TRUE,(_xlfn._xlws.FILTER($A$2:$A$501,($D$2:$D$501&gt;=AX$7)*($D$2:$D$501&lt;AW$7)*($E$2:$E$501&gt;=$H147)*($E$2:$E$501&lt;$H146)," ")))</f>
        <v xml:space="preserve"> </v>
      </c>
      <c r="AX146" t="str" cm="1">
        <f t="array" ref="AX146">_xlfn.TEXTJOIN(",",TRUE,(_xlfn._xlws.FILTER($A$2:$A$501,($D$2:$D$501&gt;=AY$7)*($D$2:$D$501&lt;AX$7)*($E$2:$E$501&gt;=$H147)*($E$2:$E$501&lt;$H146)," ")))</f>
        <v xml:space="preserve"> </v>
      </c>
      <c r="AY146" t="str" cm="1">
        <f t="array" ref="AY146">_xlfn.TEXTJOIN(",",TRUE,(_xlfn._xlws.FILTER($A$2:$A$501,($D$2:$D$501&gt;=AZ$7)*($D$2:$D$501&lt;AY$7)*($E$2:$E$501&gt;=$H147)*($E$2:$E$501&lt;$H146)," ")))</f>
        <v xml:space="preserve"> </v>
      </c>
      <c r="AZ146" t="str" cm="1">
        <f t="array" ref="AZ146">_xlfn.TEXTJOIN(",",TRUE,(_xlfn._xlws.FILTER($A$2:$A$501,($D$2:$D$501&gt;=BA$7)*($D$2:$D$501&lt;AZ$7)*($E$2:$E$501&gt;=$H147)*($E$2:$E$501&lt;$H146)," ")))</f>
        <v xml:space="preserve"> </v>
      </c>
      <c r="BA146" t="str" cm="1">
        <f t="array" ref="BA146">_xlfn.TEXTJOIN(",",TRUE,(_xlfn._xlws.FILTER($A$2:$A$501,($D$2:$D$501&gt;=BB$7)*($D$2:$D$501&lt;BA$7)*($E$2:$E$501&gt;=$H147)*($E$2:$E$501&lt;$H146)," ")))</f>
        <v xml:space="preserve"> </v>
      </c>
      <c r="BB146" t="str" cm="1">
        <f t="array" ref="BB146">_xlfn.TEXTJOIN(",",TRUE,(_xlfn._xlws.FILTER($A$2:$A$501,($D$2:$D$501&gt;=BC$7)*($D$2:$D$501&lt;BB$7)*($E$2:$E$501&gt;=$H147)*($E$2:$E$501&lt;$H146)," ")))</f>
        <v xml:space="preserve"> </v>
      </c>
    </row>
    <row r="147" spans="1:54" x14ac:dyDescent="0.2">
      <c r="A147" s="3" t="s">
        <v>273</v>
      </c>
      <c r="B147" s="3" t="s">
        <v>270</v>
      </c>
      <c r="C147" s="13">
        <v>1587692</v>
      </c>
      <c r="D147" s="15">
        <v>43248745</v>
      </c>
      <c r="E147" s="22">
        <f>TuitionRates3[[#This Row],[Tuition]]/D147</f>
        <v>3.6710706865598068E-2</v>
      </c>
      <c r="F147"/>
      <c r="H147" s="18">
        <v>1.0999999999999999E-2</v>
      </c>
      <c r="I147" t="str" cm="1">
        <f t="array" ref="I147">_xlfn.TEXTJOIN(",",TRUE,(_xlfn._xlws.FILTER($A$2:$A$501,($D$2:$D$501&gt;=J$7)*($D$2:$D$501&lt;I$7)*($E$2:$E$501&gt;=$H148)*($E$2:$E$501&lt;$H147)," ")))</f>
        <v xml:space="preserve"> </v>
      </c>
      <c r="J147" t="str" cm="1">
        <f t="array" ref="J147">_xlfn.TEXTJOIN(",",TRUE,(_xlfn._xlws.FILTER($A$2:$A$501,($D$2:$D$501&gt;=K$7)*($D$2:$D$501&lt;J$7)*($E$2:$E$501&gt;=$H148)*($E$2:$E$501&lt;$H147)," ")))</f>
        <v xml:space="preserve"> </v>
      </c>
      <c r="K147" t="str" cm="1">
        <f t="array" ref="K147">_xlfn.TEXTJOIN(",",TRUE,(_xlfn._xlws.FILTER($A$2:$A$501,($D$2:$D$501&gt;=L$7)*($D$2:$D$501&lt;K$7)*($E$2:$E$501&gt;=$H148)*($E$2:$E$501&lt;$H147)," ")))</f>
        <v xml:space="preserve"> </v>
      </c>
      <c r="L147" t="str" cm="1">
        <f t="array" ref="L147">_xlfn.TEXTJOIN(",",TRUE,(_xlfn._xlws.FILTER($A$2:$A$501,($D$2:$D$501&gt;=M$7)*($D$2:$D$501&lt;L$7)*($E$2:$E$501&gt;=$H148)*($E$2:$E$501&lt;$H147)," ")))</f>
        <v xml:space="preserve"> </v>
      </c>
      <c r="M147" t="str" cm="1">
        <f t="array" ref="M147">_xlfn.TEXTJOIN(",",TRUE,(_xlfn._xlws.FILTER($A$2:$A$501,($D$2:$D$501&gt;=N$7)*($D$2:$D$501&lt;M$7)*($E$2:$E$501&gt;=$H148)*($E$2:$E$501&lt;$H147)," ")))</f>
        <v xml:space="preserve"> </v>
      </c>
      <c r="N147" t="str" cm="1">
        <f t="array" ref="N147">_xlfn.TEXTJOIN(",",TRUE,(_xlfn._xlws.FILTER($A$2:$A$501,($D$2:$D$501&gt;=O$7)*($D$2:$D$501&lt;N$7)*($E$2:$E$501&gt;=$H148)*($E$2:$E$501&lt;$H147)," ")))</f>
        <v xml:space="preserve"> </v>
      </c>
      <c r="O147" t="str" cm="1">
        <f t="array" ref="O147">_xlfn.TEXTJOIN(",",TRUE,(_xlfn._xlws.FILTER($A$2:$A$501,($D$2:$D$501&gt;=P$7)*($D$2:$D$501&lt;O$7)*($E$2:$E$501&gt;=$H148)*($E$2:$E$501&lt;$H147)," ")))</f>
        <v xml:space="preserve"> </v>
      </c>
      <c r="P147" t="str" cm="1">
        <f t="array" ref="P147">_xlfn.TEXTJOIN(",",TRUE,(_xlfn._xlws.FILTER($A$2:$A$501,($D$2:$D$501&gt;=Q$7)*($D$2:$D$501&lt;P$7)*($E$2:$E$501&gt;=$H148)*($E$2:$E$501&lt;$H147)," ")))</f>
        <v xml:space="preserve"> </v>
      </c>
      <c r="Q147" t="str" cm="1">
        <f t="array" ref="Q147">_xlfn.TEXTJOIN(",",TRUE,(_xlfn._xlws.FILTER($A$2:$A$501,($D$2:$D$501&gt;=R$7)*($D$2:$D$501&lt;Q$7)*($E$2:$E$501&gt;=$H148)*($E$2:$E$501&lt;$H147)," ")))</f>
        <v xml:space="preserve"> </v>
      </c>
      <c r="R147" t="str" cm="1">
        <f t="array" ref="R147">_xlfn.TEXTJOIN(",",TRUE,(_xlfn._xlws.FILTER($A$2:$A$501,($D$2:$D$501&gt;=S$7)*($D$2:$D$501&lt;R$7)*($E$2:$E$501&gt;=$H148)*($E$2:$E$501&lt;$H147)," ")))</f>
        <v xml:space="preserve"> </v>
      </c>
      <c r="S147" t="str" cm="1">
        <f t="array" ref="S147">_xlfn.TEXTJOIN(",",TRUE,(_xlfn._xlws.FILTER($A$2:$A$501,($D$2:$D$501&gt;=T$7)*($D$2:$D$501&lt;S$7)*($E$2:$E$501&gt;=$H148)*($E$2:$E$501&lt;$H147)," ")))</f>
        <v>Central Bucks SD</v>
      </c>
      <c r="T147" t="str" cm="1">
        <f t="array" ref="T147">_xlfn.TEXTJOIN(",",TRUE,(_xlfn._xlws.FILTER($A$2:$A$501,($D$2:$D$501&gt;=U$7)*($D$2:$D$501&lt;T$7)*($E$2:$E$501&gt;=$H148)*($E$2:$E$501&lt;$H147)," ")))</f>
        <v>Pennsbury SD</v>
      </c>
      <c r="U147" t="str" cm="1">
        <f t="array" ref="U147">_xlfn.TEXTJOIN(",",TRUE,(_xlfn._xlws.FILTER($A$2:$A$501,($D$2:$D$501&gt;=V$7)*($D$2:$D$501&lt;U$7)*($E$2:$E$501&gt;=$H148)*($E$2:$E$501&lt;$H147)," ")))</f>
        <v>Colonial SD</v>
      </c>
      <c r="V147" t="str" cm="1">
        <f t="array" ref="V147">_xlfn.TEXTJOIN(",",TRUE,(_xlfn._xlws.FILTER($A$2:$A$501,($D$2:$D$501&gt;=W$7)*($D$2:$D$501&lt;V$7)*($E$2:$E$501&gt;=$H148)*($E$2:$E$501&lt;$H147)," ")))</f>
        <v xml:space="preserve"> </v>
      </c>
      <c r="W147" t="str" cm="1">
        <f t="array" ref="W147">_xlfn.TEXTJOIN(",",TRUE,(_xlfn._xlws.FILTER($A$2:$A$501,($D$2:$D$501&gt;=X$7)*($D$2:$D$501&lt;W$7)*($E$2:$E$501&gt;=$H148)*($E$2:$E$501&lt;$H147)," ")))</f>
        <v>Baldwin-Whitehall SD</v>
      </c>
      <c r="X147" t="str" cm="1">
        <f t="array" ref="X147">_xlfn.TEXTJOIN(",",TRUE,(_xlfn._xlws.FILTER($A$2:$A$501,($D$2:$D$501&gt;=Y$7)*($D$2:$D$501&lt;X$7)*($E$2:$E$501&gt;=$H148)*($E$2:$E$501&lt;$H147)," ")))</f>
        <v xml:space="preserve"> </v>
      </c>
      <c r="Y147" t="str" cm="1">
        <f t="array" ref="Y147">_xlfn.TEXTJOIN(",",TRUE,(_xlfn._xlws.FILTER($A$2:$A$501,($D$2:$D$501&gt;=Z$7)*($D$2:$D$501&lt;Y$7)*($E$2:$E$501&gt;=$H148)*($E$2:$E$501&lt;$H147)," ")))</f>
        <v>Springfield Township SD</v>
      </c>
      <c r="Z147" t="str" cm="1">
        <f t="array" ref="Z147">_xlfn.TEXTJOIN(",",TRUE,(_xlfn._xlws.FILTER($A$2:$A$501,($D$2:$D$501&gt;=AA$7)*($D$2:$D$501&lt;Z$7)*($E$2:$E$501&gt;=$H148)*($E$2:$E$501&lt;$H147)," ")))</f>
        <v xml:space="preserve"> </v>
      </c>
      <c r="AA147" t="str" cm="1">
        <f t="array" ref="AA147">_xlfn.TEXTJOIN(",",TRUE,(_xlfn._xlws.FILTER($A$2:$A$501,($D$2:$D$501&gt;=AB$7)*($D$2:$D$501&lt;AA$7)*($E$2:$E$501&gt;=$H148)*($E$2:$E$501&lt;$H147)," ")))</f>
        <v xml:space="preserve"> </v>
      </c>
      <c r="AB147" t="str" cm="1">
        <f t="array" ref="AB147">_xlfn.TEXTJOIN(",",TRUE,(_xlfn._xlws.FILTER($A$2:$A$501,($D$2:$D$501&gt;=AC$7)*($D$2:$D$501&lt;AB$7)*($E$2:$E$501&gt;=$H148)*($E$2:$E$501&lt;$H147)," ")))</f>
        <v xml:space="preserve"> </v>
      </c>
      <c r="AC147" t="str" cm="1">
        <f t="array" ref="AC147">_xlfn.TEXTJOIN(",",TRUE,(_xlfn._xlws.FILTER($A$2:$A$501,($D$2:$D$501&gt;=AD$7)*($D$2:$D$501&lt;AC$7)*($E$2:$E$501&gt;=$H148)*($E$2:$E$501&lt;$H147)," ")))</f>
        <v xml:space="preserve"> </v>
      </c>
      <c r="AD147" t="str" cm="1">
        <f t="array" ref="AD147">_xlfn.TEXTJOIN(",",TRUE,(_xlfn._xlws.FILTER($A$2:$A$501,($D$2:$D$501&gt;=AE$7)*($D$2:$D$501&lt;AD$7)*($E$2:$E$501&gt;=$H148)*($E$2:$E$501&lt;$H147)," ")))</f>
        <v xml:space="preserve"> </v>
      </c>
      <c r="AE147" t="str" cm="1">
        <f t="array" ref="AE147">_xlfn.TEXTJOIN(",",TRUE,(_xlfn._xlws.FILTER($A$2:$A$501,($D$2:$D$501&gt;=AF$7)*($D$2:$D$501&lt;AE$7)*($E$2:$E$501&gt;=$H148)*($E$2:$E$501&lt;$H147)," ")))</f>
        <v xml:space="preserve"> </v>
      </c>
      <c r="AF147" t="str" cm="1">
        <f t="array" ref="AF147">_xlfn.TEXTJOIN(",",TRUE,(_xlfn._xlws.FILTER($A$2:$A$501,($D$2:$D$501&gt;=AG$7)*($D$2:$D$501&lt;AF$7)*($E$2:$E$501&gt;=$H148)*($E$2:$E$501&lt;$H147)," ")))</f>
        <v xml:space="preserve"> </v>
      </c>
      <c r="AG147" t="str" cm="1">
        <f t="array" ref="AG147">_xlfn.TEXTJOIN(",",TRUE,(_xlfn._xlws.FILTER($A$2:$A$501,($D$2:$D$501&gt;=AH$7)*($D$2:$D$501&lt;AG$7)*($E$2:$E$501&gt;=$H148)*($E$2:$E$501&lt;$H147)," ")))</f>
        <v xml:space="preserve"> </v>
      </c>
      <c r="AH147" t="str" cm="1">
        <f t="array" ref="AH147">_xlfn.TEXTJOIN(",",TRUE,(_xlfn._xlws.FILTER($A$2:$A$501,($D$2:$D$501&gt;=AI$7)*($D$2:$D$501&lt;AH$7)*($E$2:$E$501&gt;=$H148)*($E$2:$E$501&lt;$H147)," ")))</f>
        <v xml:space="preserve"> </v>
      </c>
      <c r="AI147" t="str" cm="1">
        <f t="array" ref="AI147">_xlfn.TEXTJOIN(",",TRUE,(_xlfn._xlws.FILTER($A$2:$A$501,($D$2:$D$501&gt;=AJ$7)*($D$2:$D$501&lt;AI$7)*($E$2:$E$501&gt;=$H148)*($E$2:$E$501&lt;$H147)," ")))</f>
        <v xml:space="preserve"> </v>
      </c>
      <c r="AJ147" t="str" cm="1">
        <f t="array" ref="AJ147">_xlfn.TEXTJOIN(",",TRUE,(_xlfn._xlws.FILTER($A$2:$A$501,($D$2:$D$501&gt;=AK$7)*($D$2:$D$501&lt;AJ$7)*($E$2:$E$501&gt;=$H148)*($E$2:$E$501&lt;$H147)," ")))</f>
        <v xml:space="preserve"> </v>
      </c>
      <c r="AK147" t="str" cm="1">
        <f t="array" ref="AK147">_xlfn.TEXTJOIN(",",TRUE,(_xlfn._xlws.FILTER($A$2:$A$501,($D$2:$D$501&gt;=AL$7)*($D$2:$D$501&lt;AK$7)*($E$2:$E$501&gt;=$H148)*($E$2:$E$501&lt;$H147)," ")))</f>
        <v xml:space="preserve"> </v>
      </c>
      <c r="AL147" t="str" cm="1">
        <f t="array" ref="AL147">_xlfn.TEXTJOIN(",",TRUE,(_xlfn._xlws.FILTER($A$2:$A$501,($D$2:$D$501&gt;=AM$7)*($D$2:$D$501&lt;AL$7)*($E$2:$E$501&gt;=$H148)*($E$2:$E$501&lt;$H147)," ")))</f>
        <v xml:space="preserve"> </v>
      </c>
      <c r="AM147" t="str" cm="1">
        <f t="array" ref="AM147">_xlfn.TEXTJOIN(",",TRUE,(_xlfn._xlws.FILTER($A$2:$A$501,($D$2:$D$501&gt;=AN$7)*($D$2:$D$501&lt;AM$7)*($E$2:$E$501&gt;=$H148)*($E$2:$E$501&lt;$H147)," ")))</f>
        <v xml:space="preserve"> </v>
      </c>
      <c r="AN147" t="str" cm="1">
        <f t="array" ref="AN147">_xlfn.TEXTJOIN(",",TRUE,(_xlfn._xlws.FILTER($A$2:$A$501,($D$2:$D$501&gt;=AO$7)*($D$2:$D$501&lt;AN$7)*($E$2:$E$501&gt;=$H148)*($E$2:$E$501&lt;$H147)," ")))</f>
        <v xml:space="preserve"> </v>
      </c>
      <c r="AO147" t="str" cm="1">
        <f t="array" ref="AO147">_xlfn.TEXTJOIN(",",TRUE,(_xlfn._xlws.FILTER($A$2:$A$501,($D$2:$D$501&gt;=AP$7)*($D$2:$D$501&lt;AO$7)*($E$2:$E$501&gt;=$H148)*($E$2:$E$501&lt;$H147)," ")))</f>
        <v xml:space="preserve"> </v>
      </c>
      <c r="AP147" t="str" cm="1">
        <f t="array" ref="AP147">_xlfn.TEXTJOIN(",",TRUE,(_xlfn._xlws.FILTER($A$2:$A$501,($D$2:$D$501&gt;=AQ$7)*($D$2:$D$501&lt;AP$7)*($E$2:$E$501&gt;=$H148)*($E$2:$E$501&lt;$H147)," ")))</f>
        <v xml:space="preserve"> </v>
      </c>
      <c r="AQ147" t="str" cm="1">
        <f t="array" ref="AQ147">_xlfn.TEXTJOIN(",",TRUE,(_xlfn._xlws.FILTER($A$2:$A$501,($D$2:$D$501&gt;=AR$7)*($D$2:$D$501&lt;AQ$7)*($E$2:$E$501&gt;=$H148)*($E$2:$E$501&lt;$H147)," ")))</f>
        <v xml:space="preserve"> </v>
      </c>
      <c r="AR147" t="str" cm="1">
        <f t="array" ref="AR147">_xlfn.TEXTJOIN(",",TRUE,(_xlfn._xlws.FILTER($A$2:$A$501,($D$2:$D$501&gt;=AS$7)*($D$2:$D$501&lt;AR$7)*($E$2:$E$501&gt;=$H148)*($E$2:$E$501&lt;$H147)," ")))</f>
        <v xml:space="preserve"> </v>
      </c>
      <c r="AS147" t="str" cm="1">
        <f t="array" ref="AS147">_xlfn.TEXTJOIN(",",TRUE,(_xlfn._xlws.FILTER($A$2:$A$501,($D$2:$D$501&gt;=AT$7)*($D$2:$D$501&lt;AS$7)*($E$2:$E$501&gt;=$H148)*($E$2:$E$501&lt;$H147)," ")))</f>
        <v xml:space="preserve"> </v>
      </c>
      <c r="AT147" t="str" cm="1">
        <f t="array" ref="AT147">_xlfn.TEXTJOIN(",",TRUE,(_xlfn._xlws.FILTER($A$2:$A$501,($D$2:$D$501&gt;=AU$7)*($D$2:$D$501&lt;AT$7)*($E$2:$E$501&gt;=$H148)*($E$2:$E$501&lt;$H147)," ")))</f>
        <v xml:space="preserve"> </v>
      </c>
      <c r="AU147" t="str" cm="1">
        <f t="array" ref="AU147">_xlfn.TEXTJOIN(",",TRUE,(_xlfn._xlws.FILTER($A$2:$A$501,($D$2:$D$501&gt;=AV$7)*($D$2:$D$501&lt;AU$7)*($E$2:$E$501&gt;=$H148)*($E$2:$E$501&lt;$H147)," ")))</f>
        <v xml:space="preserve"> </v>
      </c>
      <c r="AV147" t="str" cm="1">
        <f t="array" ref="AV147">_xlfn.TEXTJOIN(",",TRUE,(_xlfn._xlws.FILTER($A$2:$A$501,($D$2:$D$501&gt;=AW$7)*($D$2:$D$501&lt;AV$7)*($E$2:$E$501&gt;=$H148)*($E$2:$E$501&lt;$H147)," ")))</f>
        <v xml:space="preserve"> </v>
      </c>
      <c r="AW147" t="str" cm="1">
        <f t="array" ref="AW147">_xlfn.TEXTJOIN(",",TRUE,(_xlfn._xlws.FILTER($A$2:$A$501,($D$2:$D$501&gt;=AX$7)*($D$2:$D$501&lt;AW$7)*($E$2:$E$501&gt;=$H148)*($E$2:$E$501&lt;$H147)," ")))</f>
        <v xml:space="preserve"> </v>
      </c>
      <c r="AX147" t="str" cm="1">
        <f t="array" ref="AX147">_xlfn.TEXTJOIN(",",TRUE,(_xlfn._xlws.FILTER($A$2:$A$501,($D$2:$D$501&gt;=AY$7)*($D$2:$D$501&lt;AX$7)*($E$2:$E$501&gt;=$H148)*($E$2:$E$501&lt;$H147)," ")))</f>
        <v xml:space="preserve"> </v>
      </c>
      <c r="AY147" t="str" cm="1">
        <f t="array" ref="AY147">_xlfn.TEXTJOIN(",",TRUE,(_xlfn._xlws.FILTER($A$2:$A$501,($D$2:$D$501&gt;=AZ$7)*($D$2:$D$501&lt;AY$7)*($E$2:$E$501&gt;=$H148)*($E$2:$E$501&lt;$H147)," ")))</f>
        <v xml:space="preserve"> </v>
      </c>
      <c r="AZ147" t="str" cm="1">
        <f t="array" ref="AZ147">_xlfn.TEXTJOIN(",",TRUE,(_xlfn._xlws.FILTER($A$2:$A$501,($D$2:$D$501&gt;=BA$7)*($D$2:$D$501&lt;AZ$7)*($E$2:$E$501&gt;=$H148)*($E$2:$E$501&lt;$H147)," ")))</f>
        <v xml:space="preserve"> </v>
      </c>
      <c r="BA147" t="str" cm="1">
        <f t="array" ref="BA147">_xlfn.TEXTJOIN(",",TRUE,(_xlfn._xlws.FILTER($A$2:$A$501,($D$2:$D$501&gt;=BB$7)*($D$2:$D$501&lt;BA$7)*($E$2:$E$501&gt;=$H148)*($E$2:$E$501&lt;$H147)," ")))</f>
        <v xml:space="preserve"> </v>
      </c>
      <c r="BB147" t="str" cm="1">
        <f t="array" ref="BB147">_xlfn.TEXTJOIN(",",TRUE,(_xlfn._xlws.FILTER($A$2:$A$501,($D$2:$D$501&gt;=BC$7)*($D$2:$D$501&lt;BB$7)*($E$2:$E$501&gt;=$H148)*($E$2:$E$501&lt;$H147)," ")))</f>
        <v xml:space="preserve"> </v>
      </c>
    </row>
    <row r="148" spans="1:54" x14ac:dyDescent="0.2">
      <c r="A148" s="3" t="s">
        <v>352</v>
      </c>
      <c r="B148" s="3" t="s">
        <v>349</v>
      </c>
      <c r="C148" s="13">
        <v>1392788.28</v>
      </c>
      <c r="D148" s="15">
        <v>37975976.869999997</v>
      </c>
      <c r="E148" s="22">
        <f>TuitionRates3[[#This Row],[Tuition]]/D148</f>
        <v>3.6675508961041776E-2</v>
      </c>
      <c r="F148"/>
      <c r="H148" s="18">
        <v>9.9999999999999794E-3</v>
      </c>
      <c r="I148" t="str" cm="1">
        <f t="array" ref="I148">_xlfn.TEXTJOIN(",",TRUE,(_xlfn._xlws.FILTER($A$2:$A$501,($D$2:$D$501&gt;=J$7)*($D$2:$D$501&lt;I$7)*($E$2:$E$501&gt;=$H149)*($E$2:$E$501&lt;$H148)," ")))</f>
        <v xml:space="preserve"> </v>
      </c>
      <c r="J148" t="str" cm="1">
        <f t="array" ref="J148">_xlfn.TEXTJOIN(",",TRUE,(_xlfn._xlws.FILTER($A$2:$A$501,($D$2:$D$501&gt;=K$7)*($D$2:$D$501&lt;J$7)*($E$2:$E$501&gt;=$H149)*($E$2:$E$501&lt;$H148)," ")))</f>
        <v xml:space="preserve"> </v>
      </c>
      <c r="K148" t="str" cm="1">
        <f t="array" ref="K148">_xlfn.TEXTJOIN(",",TRUE,(_xlfn._xlws.FILTER($A$2:$A$501,($D$2:$D$501&gt;=L$7)*($D$2:$D$501&lt;K$7)*($E$2:$E$501&gt;=$H149)*($E$2:$E$501&lt;$H148)," ")))</f>
        <v xml:space="preserve"> </v>
      </c>
      <c r="L148" t="str" cm="1">
        <f t="array" ref="L148">_xlfn.TEXTJOIN(",",TRUE,(_xlfn._xlws.FILTER($A$2:$A$501,($D$2:$D$501&gt;=M$7)*($D$2:$D$501&lt;L$7)*($E$2:$E$501&gt;=$H149)*($E$2:$E$501&lt;$H148)," ")))</f>
        <v xml:space="preserve"> </v>
      </c>
      <c r="M148" t="str" cm="1">
        <f t="array" ref="M148">_xlfn.TEXTJOIN(",",TRUE,(_xlfn._xlws.FILTER($A$2:$A$501,($D$2:$D$501&gt;=N$7)*($D$2:$D$501&lt;M$7)*($E$2:$E$501&gt;=$H149)*($E$2:$E$501&lt;$H148)," ")))</f>
        <v xml:space="preserve"> </v>
      </c>
      <c r="N148" t="str" cm="1">
        <f t="array" ref="N148">_xlfn.TEXTJOIN(",",TRUE,(_xlfn._xlws.FILTER($A$2:$A$501,($D$2:$D$501&gt;=O$7)*($D$2:$D$501&lt;N$7)*($E$2:$E$501&gt;=$H149)*($E$2:$E$501&lt;$H148)," ")))</f>
        <v xml:space="preserve"> </v>
      </c>
      <c r="O148" t="str" cm="1">
        <f t="array" ref="O148">_xlfn.TEXTJOIN(",",TRUE,(_xlfn._xlws.FILTER($A$2:$A$501,($D$2:$D$501&gt;=P$7)*($D$2:$D$501&lt;O$7)*($E$2:$E$501&gt;=$H149)*($E$2:$E$501&lt;$H148)," ")))</f>
        <v xml:space="preserve"> </v>
      </c>
      <c r="P148" t="str" cm="1">
        <f t="array" ref="P148">_xlfn.TEXTJOIN(",",TRUE,(_xlfn._xlws.FILTER($A$2:$A$501,($D$2:$D$501&gt;=Q$7)*($D$2:$D$501&lt;P$7)*($E$2:$E$501&gt;=$H149)*($E$2:$E$501&lt;$H148)," ")))</f>
        <v xml:space="preserve"> </v>
      </c>
      <c r="Q148" t="str" cm="1">
        <f t="array" ref="Q148">_xlfn.TEXTJOIN(",",TRUE,(_xlfn._xlws.FILTER($A$2:$A$501,($D$2:$D$501&gt;=R$7)*($D$2:$D$501&lt;Q$7)*($E$2:$E$501&gt;=$H149)*($E$2:$E$501&lt;$H148)," ")))</f>
        <v xml:space="preserve"> </v>
      </c>
      <c r="R148" t="str" cm="1">
        <f t="array" ref="R148">_xlfn.TEXTJOIN(",",TRUE,(_xlfn._xlws.FILTER($A$2:$A$501,($D$2:$D$501&gt;=S$7)*($D$2:$D$501&lt;R$7)*($E$2:$E$501&gt;=$H149)*($E$2:$E$501&lt;$H148)," ")))</f>
        <v xml:space="preserve"> </v>
      </c>
      <c r="S148" t="str" cm="1">
        <f t="array" ref="S148">_xlfn.TEXTJOIN(",",TRUE,(_xlfn._xlws.FILTER($A$2:$A$501,($D$2:$D$501&gt;=T$7)*($D$2:$D$501&lt;S$7)*($E$2:$E$501&gt;=$H149)*($E$2:$E$501&lt;$H148)," ")))</f>
        <v xml:space="preserve"> </v>
      </c>
      <c r="T148" t="str" cm="1">
        <f t="array" ref="T148">_xlfn.TEXTJOIN(",",TRUE,(_xlfn._xlws.FILTER($A$2:$A$501,($D$2:$D$501&gt;=U$7)*($D$2:$D$501&lt;T$7)*($E$2:$E$501&gt;=$H149)*($E$2:$E$501&lt;$H148)," ")))</f>
        <v>Council Rock SD</v>
      </c>
      <c r="U148" t="str" cm="1">
        <f t="array" ref="U148">_xlfn.TEXTJOIN(",",TRUE,(_xlfn._xlws.FILTER($A$2:$A$501,($D$2:$D$501&gt;=V$7)*($D$2:$D$501&lt;U$7)*($E$2:$E$501&gt;=$H149)*($E$2:$E$501&lt;$H148)," ")))</f>
        <v>Phoenixville Area SD,Seneca Valley SD,Perkiomen Valley SD,Methacton SD</v>
      </c>
      <c r="V148" t="str" cm="1">
        <f t="array" ref="V148">_xlfn.TEXTJOIN(",",TRUE,(_xlfn._xlws.FILTER($A$2:$A$501,($D$2:$D$501&gt;=W$7)*($D$2:$D$501&lt;V$7)*($E$2:$E$501&gt;=$H149)*($E$2:$E$501&lt;$H148)," ")))</f>
        <v>North Hills SD</v>
      </c>
      <c r="W148" t="str" cm="1">
        <f t="array" ref="W148">_xlfn.TEXTJOIN(",",TRUE,(_xlfn._xlws.FILTER($A$2:$A$501,($D$2:$D$501&gt;=X$7)*($D$2:$D$501&lt;W$7)*($E$2:$E$501&gt;=$H149)*($E$2:$E$501&lt;$H148)," ")))</f>
        <v>Montour SD</v>
      </c>
      <c r="X148" t="str" cm="1">
        <f t="array" ref="X148">_xlfn.TEXTJOIN(",",TRUE,(_xlfn._xlws.FILTER($A$2:$A$501,($D$2:$D$501&gt;=Y$7)*($D$2:$D$501&lt;X$7)*($E$2:$E$501&gt;=$H149)*($E$2:$E$501&lt;$H148)," ")))</f>
        <v>West Allegheny SD</v>
      </c>
      <c r="Y148" t="str" cm="1">
        <f t="array" ref="Y148">_xlfn.TEXTJOIN(",",TRUE,(_xlfn._xlws.FILTER($A$2:$A$501,($D$2:$D$501&gt;=Z$7)*($D$2:$D$501&lt;Y$7)*($E$2:$E$501&gt;=$H149)*($E$2:$E$501&lt;$H148)," ")))</f>
        <v>Hampton Township SD,Southern Lehigh SD</v>
      </c>
      <c r="Z148" t="str" cm="1">
        <f t="array" ref="Z148">_xlfn.TEXTJOIN(",",TRUE,(_xlfn._xlws.FILTER($A$2:$A$501,($D$2:$D$501&gt;=AA$7)*($D$2:$D$501&lt;Z$7)*($E$2:$E$501&gt;=$H149)*($E$2:$E$501&lt;$H148)," ")))</f>
        <v xml:space="preserve"> </v>
      </c>
      <c r="AA148" t="str" cm="1">
        <f t="array" ref="AA148">_xlfn.TEXTJOIN(",",TRUE,(_xlfn._xlws.FILTER($A$2:$A$501,($D$2:$D$501&gt;=AB$7)*($D$2:$D$501&lt;AA$7)*($E$2:$E$501&gt;=$H149)*($E$2:$E$501&lt;$H148)," ")))</f>
        <v>Girard SD</v>
      </c>
      <c r="AB148" t="str" cm="1">
        <f t="array" ref="AB148">_xlfn.TEXTJOIN(",",TRUE,(_xlfn._xlws.FILTER($A$2:$A$501,($D$2:$D$501&gt;=AC$7)*($D$2:$D$501&lt;AB$7)*($E$2:$E$501&gt;=$H149)*($E$2:$E$501&lt;$H148)," ")))</f>
        <v>Avonworth SD</v>
      </c>
      <c r="AC148" t="str" cm="1">
        <f t="array" ref="AC148">_xlfn.TEXTJOIN(",",TRUE,(_xlfn._xlws.FILTER($A$2:$A$501,($D$2:$D$501&gt;=AD$7)*($D$2:$D$501&lt;AC$7)*($E$2:$E$501&gt;=$H149)*($E$2:$E$501&lt;$H148)," ")))</f>
        <v xml:space="preserve"> </v>
      </c>
      <c r="AD148" t="str" cm="1">
        <f t="array" ref="AD148">_xlfn.TEXTJOIN(",",TRUE,(_xlfn._xlws.FILTER($A$2:$A$501,($D$2:$D$501&gt;=AE$7)*($D$2:$D$501&lt;AD$7)*($E$2:$E$501&gt;=$H149)*($E$2:$E$501&lt;$H148)," ")))</f>
        <v xml:space="preserve"> </v>
      </c>
      <c r="AE148" t="str" cm="1">
        <f t="array" ref="AE148">_xlfn.TEXTJOIN(",",TRUE,(_xlfn._xlws.FILTER($A$2:$A$501,($D$2:$D$501&gt;=AF$7)*($D$2:$D$501&lt;AE$7)*($E$2:$E$501&gt;=$H149)*($E$2:$E$501&lt;$H148)," ")))</f>
        <v xml:space="preserve"> </v>
      </c>
      <c r="AF148" t="str" cm="1">
        <f t="array" ref="AF148">_xlfn.TEXTJOIN(",",TRUE,(_xlfn._xlws.FILTER($A$2:$A$501,($D$2:$D$501&gt;=AG$7)*($D$2:$D$501&lt;AF$7)*($E$2:$E$501&gt;=$H149)*($E$2:$E$501&lt;$H148)," ")))</f>
        <v xml:space="preserve"> </v>
      </c>
      <c r="AG148" t="str" cm="1">
        <f t="array" ref="AG148">_xlfn.TEXTJOIN(",",TRUE,(_xlfn._xlws.FILTER($A$2:$A$501,($D$2:$D$501&gt;=AH$7)*($D$2:$D$501&lt;AG$7)*($E$2:$E$501&gt;=$H149)*($E$2:$E$501&lt;$H148)," ")))</f>
        <v xml:space="preserve"> </v>
      </c>
      <c r="AH148" t="str" cm="1">
        <f t="array" ref="AH148">_xlfn.TEXTJOIN(",",TRUE,(_xlfn._xlws.FILTER($A$2:$A$501,($D$2:$D$501&gt;=AI$7)*($D$2:$D$501&lt;AH$7)*($E$2:$E$501&gt;=$H149)*($E$2:$E$501&lt;$H148)," ")))</f>
        <v xml:space="preserve"> </v>
      </c>
      <c r="AI148" t="str" cm="1">
        <f t="array" ref="AI148">_xlfn.TEXTJOIN(",",TRUE,(_xlfn._xlws.FILTER($A$2:$A$501,($D$2:$D$501&gt;=AJ$7)*($D$2:$D$501&lt;AI$7)*($E$2:$E$501&gt;=$H149)*($E$2:$E$501&lt;$H148)," ")))</f>
        <v xml:space="preserve"> </v>
      </c>
      <c r="AJ148" t="str" cm="1">
        <f t="array" ref="AJ148">_xlfn.TEXTJOIN(",",TRUE,(_xlfn._xlws.FILTER($A$2:$A$501,($D$2:$D$501&gt;=AK$7)*($D$2:$D$501&lt;AJ$7)*($E$2:$E$501&gt;=$H149)*($E$2:$E$501&lt;$H148)," ")))</f>
        <v xml:space="preserve"> </v>
      </c>
      <c r="AK148" t="str" cm="1">
        <f t="array" ref="AK148">_xlfn.TEXTJOIN(",",TRUE,(_xlfn._xlws.FILTER($A$2:$A$501,($D$2:$D$501&gt;=AL$7)*($D$2:$D$501&lt;AK$7)*($E$2:$E$501&gt;=$H149)*($E$2:$E$501&lt;$H148)," ")))</f>
        <v xml:space="preserve"> </v>
      </c>
      <c r="AL148" t="str" cm="1">
        <f t="array" ref="AL148">_xlfn.TEXTJOIN(",",TRUE,(_xlfn._xlws.FILTER($A$2:$A$501,($D$2:$D$501&gt;=AM$7)*($D$2:$D$501&lt;AL$7)*($E$2:$E$501&gt;=$H149)*($E$2:$E$501&lt;$H148)," ")))</f>
        <v xml:space="preserve"> </v>
      </c>
      <c r="AM148" t="str" cm="1">
        <f t="array" ref="AM148">_xlfn.TEXTJOIN(",",TRUE,(_xlfn._xlws.FILTER($A$2:$A$501,($D$2:$D$501&gt;=AN$7)*($D$2:$D$501&lt;AM$7)*($E$2:$E$501&gt;=$H149)*($E$2:$E$501&lt;$H148)," ")))</f>
        <v xml:space="preserve"> </v>
      </c>
      <c r="AN148" t="str" cm="1">
        <f t="array" ref="AN148">_xlfn.TEXTJOIN(",",TRUE,(_xlfn._xlws.FILTER($A$2:$A$501,($D$2:$D$501&gt;=AO$7)*($D$2:$D$501&lt;AN$7)*($E$2:$E$501&gt;=$H149)*($E$2:$E$501&lt;$H148)," ")))</f>
        <v xml:space="preserve"> </v>
      </c>
      <c r="AO148" t="str" cm="1">
        <f t="array" ref="AO148">_xlfn.TEXTJOIN(",",TRUE,(_xlfn._xlws.FILTER($A$2:$A$501,($D$2:$D$501&gt;=AP$7)*($D$2:$D$501&lt;AO$7)*($E$2:$E$501&gt;=$H149)*($E$2:$E$501&lt;$H148)," ")))</f>
        <v xml:space="preserve"> </v>
      </c>
      <c r="AP148" t="str" cm="1">
        <f t="array" ref="AP148">_xlfn.TEXTJOIN(",",TRUE,(_xlfn._xlws.FILTER($A$2:$A$501,($D$2:$D$501&gt;=AQ$7)*($D$2:$D$501&lt;AP$7)*($E$2:$E$501&gt;=$H149)*($E$2:$E$501&lt;$H148)," ")))</f>
        <v xml:space="preserve"> </v>
      </c>
      <c r="AQ148" t="str" cm="1">
        <f t="array" ref="AQ148">_xlfn.TEXTJOIN(",",TRUE,(_xlfn._xlws.FILTER($A$2:$A$501,($D$2:$D$501&gt;=AR$7)*($D$2:$D$501&lt;AQ$7)*($E$2:$E$501&gt;=$H149)*($E$2:$E$501&lt;$H148)," ")))</f>
        <v xml:space="preserve"> </v>
      </c>
      <c r="AR148" t="str" cm="1">
        <f t="array" ref="AR148">_xlfn.TEXTJOIN(",",TRUE,(_xlfn._xlws.FILTER($A$2:$A$501,($D$2:$D$501&gt;=AS$7)*($D$2:$D$501&lt;AR$7)*($E$2:$E$501&gt;=$H149)*($E$2:$E$501&lt;$H148)," ")))</f>
        <v xml:space="preserve"> </v>
      </c>
      <c r="AS148" t="str" cm="1">
        <f t="array" ref="AS148">_xlfn.TEXTJOIN(",",TRUE,(_xlfn._xlws.FILTER($A$2:$A$501,($D$2:$D$501&gt;=AT$7)*($D$2:$D$501&lt;AS$7)*($E$2:$E$501&gt;=$H149)*($E$2:$E$501&lt;$H148)," ")))</f>
        <v xml:space="preserve"> </v>
      </c>
      <c r="AT148" t="str" cm="1">
        <f t="array" ref="AT148">_xlfn.TEXTJOIN(",",TRUE,(_xlfn._xlws.FILTER($A$2:$A$501,($D$2:$D$501&gt;=AU$7)*($D$2:$D$501&lt;AT$7)*($E$2:$E$501&gt;=$H149)*($E$2:$E$501&lt;$H148)," ")))</f>
        <v xml:space="preserve"> </v>
      </c>
      <c r="AU148" t="str" cm="1">
        <f t="array" ref="AU148">_xlfn.TEXTJOIN(",",TRUE,(_xlfn._xlws.FILTER($A$2:$A$501,($D$2:$D$501&gt;=AV$7)*($D$2:$D$501&lt;AU$7)*($E$2:$E$501&gt;=$H149)*($E$2:$E$501&lt;$H148)," ")))</f>
        <v xml:space="preserve"> </v>
      </c>
      <c r="AV148" t="str" cm="1">
        <f t="array" ref="AV148">_xlfn.TEXTJOIN(",",TRUE,(_xlfn._xlws.FILTER($A$2:$A$501,($D$2:$D$501&gt;=AW$7)*($D$2:$D$501&lt;AV$7)*($E$2:$E$501&gt;=$H149)*($E$2:$E$501&lt;$H148)," ")))</f>
        <v xml:space="preserve"> </v>
      </c>
      <c r="AW148" t="str" cm="1">
        <f t="array" ref="AW148">_xlfn.TEXTJOIN(",",TRUE,(_xlfn._xlws.FILTER($A$2:$A$501,($D$2:$D$501&gt;=AX$7)*($D$2:$D$501&lt;AW$7)*($E$2:$E$501&gt;=$H149)*($E$2:$E$501&lt;$H148)," ")))</f>
        <v xml:space="preserve"> </v>
      </c>
      <c r="AX148" t="str" cm="1">
        <f t="array" ref="AX148">_xlfn.TEXTJOIN(",",TRUE,(_xlfn._xlws.FILTER($A$2:$A$501,($D$2:$D$501&gt;=AY$7)*($D$2:$D$501&lt;AX$7)*($E$2:$E$501&gt;=$H149)*($E$2:$E$501&lt;$H148)," ")))</f>
        <v xml:space="preserve"> </v>
      </c>
      <c r="AY148" t="str" cm="1">
        <f t="array" ref="AY148">_xlfn.TEXTJOIN(",",TRUE,(_xlfn._xlws.FILTER($A$2:$A$501,($D$2:$D$501&gt;=AZ$7)*($D$2:$D$501&lt;AY$7)*($E$2:$E$501&gt;=$H149)*($E$2:$E$501&lt;$H148)," ")))</f>
        <v xml:space="preserve"> </v>
      </c>
      <c r="AZ148" t="str" cm="1">
        <f t="array" ref="AZ148">_xlfn.TEXTJOIN(",",TRUE,(_xlfn._xlws.FILTER($A$2:$A$501,($D$2:$D$501&gt;=BA$7)*($D$2:$D$501&lt;AZ$7)*($E$2:$E$501&gt;=$H149)*($E$2:$E$501&lt;$H148)," ")))</f>
        <v xml:space="preserve"> </v>
      </c>
      <c r="BA148" t="str" cm="1">
        <f t="array" ref="BA148">_xlfn.TEXTJOIN(",",TRUE,(_xlfn._xlws.FILTER($A$2:$A$501,($D$2:$D$501&gt;=BB$7)*($D$2:$D$501&lt;BA$7)*($E$2:$E$501&gt;=$H149)*($E$2:$E$501&lt;$H148)," ")))</f>
        <v xml:space="preserve"> </v>
      </c>
      <c r="BB148" t="str" cm="1">
        <f t="array" ref="BB148">_xlfn.TEXTJOIN(",",TRUE,(_xlfn._xlws.FILTER($A$2:$A$501,($D$2:$D$501&gt;=BC$7)*($D$2:$D$501&lt;BB$7)*($E$2:$E$501&gt;=$H149)*($E$2:$E$501&lt;$H148)," ")))</f>
        <v xml:space="preserve"> </v>
      </c>
    </row>
    <row r="149" spans="1:54" x14ac:dyDescent="0.2">
      <c r="A149" s="3" t="s">
        <v>488</v>
      </c>
      <c r="B149" s="3" t="s">
        <v>479</v>
      </c>
      <c r="C149" s="13">
        <v>236439.63</v>
      </c>
      <c r="D149" s="15">
        <v>6462593.3799999999</v>
      </c>
      <c r="E149" s="22">
        <f>TuitionRates3[[#This Row],[Tuition]]/D149</f>
        <v>3.658587444658324E-2</v>
      </c>
      <c r="F149"/>
      <c r="H149" s="18">
        <v>8.9999999999999802E-3</v>
      </c>
      <c r="I149" t="str" cm="1">
        <f t="array" ref="I149">_xlfn.TEXTJOIN(",",TRUE,(_xlfn._xlws.FILTER($A$2:$A$501,($D$2:$D$501&gt;=J$7)*($D$2:$D$501&lt;I$7)*($E$2:$E$501&gt;=$H150)*($E$2:$E$501&lt;$H149)," ")))</f>
        <v xml:space="preserve"> </v>
      </c>
      <c r="J149" t="str" cm="1">
        <f t="array" ref="J149">_xlfn.TEXTJOIN(",",TRUE,(_xlfn._xlws.FILTER($A$2:$A$501,($D$2:$D$501&gt;=K$7)*($D$2:$D$501&lt;J$7)*($E$2:$E$501&gt;=$H150)*($E$2:$E$501&lt;$H149)," ")))</f>
        <v xml:space="preserve"> </v>
      </c>
      <c r="K149" t="str" cm="1">
        <f t="array" ref="K149">_xlfn.TEXTJOIN(",",TRUE,(_xlfn._xlws.FILTER($A$2:$A$501,($D$2:$D$501&gt;=L$7)*($D$2:$D$501&lt;K$7)*($E$2:$E$501&gt;=$H150)*($E$2:$E$501&lt;$H149)," ")))</f>
        <v xml:space="preserve"> </v>
      </c>
      <c r="L149" t="str" cm="1">
        <f t="array" ref="L149">_xlfn.TEXTJOIN(",",TRUE,(_xlfn._xlws.FILTER($A$2:$A$501,($D$2:$D$501&gt;=M$7)*($D$2:$D$501&lt;L$7)*($E$2:$E$501&gt;=$H150)*($E$2:$E$501&lt;$H149)," ")))</f>
        <v xml:space="preserve"> </v>
      </c>
      <c r="M149" t="str" cm="1">
        <f t="array" ref="M149">_xlfn.TEXTJOIN(",",TRUE,(_xlfn._xlws.FILTER($A$2:$A$501,($D$2:$D$501&gt;=N$7)*($D$2:$D$501&lt;M$7)*($E$2:$E$501&gt;=$H150)*($E$2:$E$501&lt;$H149)," ")))</f>
        <v xml:space="preserve"> </v>
      </c>
      <c r="N149" t="str" cm="1">
        <f t="array" ref="N149">_xlfn.TEXTJOIN(",",TRUE,(_xlfn._xlws.FILTER($A$2:$A$501,($D$2:$D$501&gt;=O$7)*($D$2:$D$501&lt;N$7)*($E$2:$E$501&gt;=$H150)*($E$2:$E$501&lt;$H149)," ")))</f>
        <v xml:space="preserve"> </v>
      </c>
      <c r="O149" t="str" cm="1">
        <f t="array" ref="O149">_xlfn.TEXTJOIN(",",TRUE,(_xlfn._xlws.FILTER($A$2:$A$501,($D$2:$D$501&gt;=P$7)*($D$2:$D$501&lt;O$7)*($E$2:$E$501&gt;=$H150)*($E$2:$E$501&lt;$H149)," ")))</f>
        <v xml:space="preserve"> </v>
      </c>
      <c r="P149" t="str" cm="1">
        <f t="array" ref="P149">_xlfn.TEXTJOIN(",",TRUE,(_xlfn._xlws.FILTER($A$2:$A$501,($D$2:$D$501&gt;=Q$7)*($D$2:$D$501&lt;P$7)*($E$2:$E$501&gt;=$H150)*($E$2:$E$501&lt;$H149)," ")))</f>
        <v xml:space="preserve"> </v>
      </c>
      <c r="Q149" t="str" cm="1">
        <f t="array" ref="Q149">_xlfn.TEXTJOIN(",",TRUE,(_xlfn._xlws.FILTER($A$2:$A$501,($D$2:$D$501&gt;=R$7)*($D$2:$D$501&lt;Q$7)*($E$2:$E$501&gt;=$H150)*($E$2:$E$501&lt;$H149)," ")))</f>
        <v xml:space="preserve"> </v>
      </c>
      <c r="R149" t="str" cm="1">
        <f t="array" ref="R149">_xlfn.TEXTJOIN(",",TRUE,(_xlfn._xlws.FILTER($A$2:$A$501,($D$2:$D$501&gt;=S$7)*($D$2:$D$501&lt;R$7)*($E$2:$E$501&gt;=$H150)*($E$2:$E$501&lt;$H149)," ")))</f>
        <v xml:space="preserve"> </v>
      </c>
      <c r="S149" t="str" cm="1">
        <f t="array" ref="S149">_xlfn.TEXTJOIN(",",TRUE,(_xlfn._xlws.FILTER($A$2:$A$501,($D$2:$D$501&gt;=T$7)*($D$2:$D$501&lt;S$7)*($E$2:$E$501&gt;=$H150)*($E$2:$E$501&lt;$H149)," ")))</f>
        <v xml:space="preserve"> </v>
      </c>
      <c r="T149" t="str" cm="1">
        <f t="array" ref="T149">_xlfn.TEXTJOIN(",",TRUE,(_xlfn._xlws.FILTER($A$2:$A$501,($D$2:$D$501&gt;=U$7)*($D$2:$D$501&lt;T$7)*($E$2:$E$501&gt;=$H150)*($E$2:$E$501&lt;$H149)," ")))</f>
        <v xml:space="preserve"> </v>
      </c>
      <c r="U149" t="str" cm="1">
        <f t="array" ref="U149">_xlfn.TEXTJOIN(",",TRUE,(_xlfn._xlws.FILTER($A$2:$A$501,($D$2:$D$501&gt;=V$7)*($D$2:$D$501&lt;U$7)*($E$2:$E$501&gt;=$H150)*($E$2:$E$501&lt;$H149)," ")))</f>
        <v>Fox Chapel Area SD,Souderton Area SD,North Allegheny SD,Marple Newtown SD</v>
      </c>
      <c r="V149" t="str" cm="1">
        <f t="array" ref="V149">_xlfn.TEXTJOIN(",",TRUE,(_xlfn._xlws.FILTER($A$2:$A$501,($D$2:$D$501&gt;=W$7)*($D$2:$D$501&lt;V$7)*($E$2:$E$501&gt;=$H150)*($E$2:$E$501&lt;$H149)," ")))</f>
        <v xml:space="preserve"> </v>
      </c>
      <c r="W149" t="str" cm="1">
        <f t="array" ref="W149">_xlfn.TEXTJOIN(",",TRUE,(_xlfn._xlws.FILTER($A$2:$A$501,($D$2:$D$501&gt;=X$7)*($D$2:$D$501&lt;W$7)*($E$2:$E$501&gt;=$H150)*($E$2:$E$501&lt;$H149)," ")))</f>
        <v xml:space="preserve"> </v>
      </c>
      <c r="X149" t="str" cm="1">
        <f t="array" ref="X149">_xlfn.TEXTJOIN(",",TRUE,(_xlfn._xlws.FILTER($A$2:$A$501,($D$2:$D$501&gt;=Y$7)*($D$2:$D$501&lt;X$7)*($E$2:$E$501&gt;=$H150)*($E$2:$E$501&lt;$H149)," ")))</f>
        <v xml:space="preserve"> </v>
      </c>
      <c r="Y149" t="str" cm="1">
        <f t="array" ref="Y149">_xlfn.TEXTJOIN(",",TRUE,(_xlfn._xlws.FILTER($A$2:$A$501,($D$2:$D$501&gt;=Z$7)*($D$2:$D$501&lt;Y$7)*($E$2:$E$501&gt;=$H150)*($E$2:$E$501&lt;$H149)," ")))</f>
        <v>South Fayette Township SD</v>
      </c>
      <c r="Z149" t="str" cm="1">
        <f t="array" ref="Z149">_xlfn.TEXTJOIN(",",TRUE,(_xlfn._xlws.FILTER($A$2:$A$501,($D$2:$D$501&gt;=AA$7)*($D$2:$D$501&lt;Z$7)*($E$2:$E$501&gt;=$H150)*($E$2:$E$501&lt;$H149)," ")))</f>
        <v xml:space="preserve"> </v>
      </c>
      <c r="AA149" t="str" cm="1">
        <f t="array" ref="AA149">_xlfn.TEXTJOIN(",",TRUE,(_xlfn._xlws.FILTER($A$2:$A$501,($D$2:$D$501&gt;=AB$7)*($D$2:$D$501&lt;AA$7)*($E$2:$E$501&gt;=$H150)*($E$2:$E$501&lt;$H149)," ")))</f>
        <v xml:space="preserve"> </v>
      </c>
      <c r="AB149" t="str" cm="1">
        <f t="array" ref="AB149">_xlfn.TEXTJOIN(",",TRUE,(_xlfn._xlws.FILTER($A$2:$A$501,($D$2:$D$501&gt;=AC$7)*($D$2:$D$501&lt;AB$7)*($E$2:$E$501&gt;=$H150)*($E$2:$E$501&lt;$H149)," ")))</f>
        <v>Forest Hills SD,Fairview SD</v>
      </c>
      <c r="AC149" t="str" cm="1">
        <f t="array" ref="AC149">_xlfn.TEXTJOIN(",",TRUE,(_xlfn._xlws.FILTER($A$2:$A$501,($D$2:$D$501&gt;=AD$7)*($D$2:$D$501&lt;AC$7)*($E$2:$E$501&gt;=$H150)*($E$2:$E$501&lt;$H149)," ")))</f>
        <v xml:space="preserve"> </v>
      </c>
      <c r="AD149" t="str" cm="1">
        <f t="array" ref="AD149">_xlfn.TEXTJOIN(",",TRUE,(_xlfn._xlws.FILTER($A$2:$A$501,($D$2:$D$501&gt;=AE$7)*($D$2:$D$501&lt;AD$7)*($E$2:$E$501&gt;=$H150)*($E$2:$E$501&lt;$H149)," ")))</f>
        <v>Juniata Valley SD,Brockway Area SD</v>
      </c>
      <c r="AE149" t="str" cm="1">
        <f t="array" ref="AE149">_xlfn.TEXTJOIN(",",TRUE,(_xlfn._xlws.FILTER($A$2:$A$501,($D$2:$D$501&gt;=AF$7)*($D$2:$D$501&lt;AE$7)*($E$2:$E$501&gt;=$H150)*($E$2:$E$501&lt;$H149)," ")))</f>
        <v xml:space="preserve"> </v>
      </c>
      <c r="AF149" t="str" cm="1">
        <f t="array" ref="AF149">_xlfn.TEXTJOIN(",",TRUE,(_xlfn._xlws.FILTER($A$2:$A$501,($D$2:$D$501&gt;=AG$7)*($D$2:$D$501&lt;AF$7)*($E$2:$E$501&gt;=$H150)*($E$2:$E$501&lt;$H149)," ")))</f>
        <v xml:space="preserve"> </v>
      </c>
      <c r="AG149" t="str" cm="1">
        <f t="array" ref="AG149">_xlfn.TEXTJOIN(",",TRUE,(_xlfn._xlws.FILTER($A$2:$A$501,($D$2:$D$501&gt;=AH$7)*($D$2:$D$501&lt;AG$7)*($E$2:$E$501&gt;=$H150)*($E$2:$E$501&lt;$H149)," ")))</f>
        <v xml:space="preserve"> </v>
      </c>
      <c r="AH149" t="str" cm="1">
        <f t="array" ref="AH149">_xlfn.TEXTJOIN(",",TRUE,(_xlfn._xlws.FILTER($A$2:$A$501,($D$2:$D$501&gt;=AI$7)*($D$2:$D$501&lt;AH$7)*($E$2:$E$501&gt;=$H150)*($E$2:$E$501&lt;$H149)," ")))</f>
        <v xml:space="preserve"> </v>
      </c>
      <c r="AI149" t="str" cm="1">
        <f t="array" ref="AI149">_xlfn.TEXTJOIN(",",TRUE,(_xlfn._xlws.FILTER($A$2:$A$501,($D$2:$D$501&gt;=AJ$7)*($D$2:$D$501&lt;AI$7)*($E$2:$E$501&gt;=$H150)*($E$2:$E$501&lt;$H149)," ")))</f>
        <v xml:space="preserve"> </v>
      </c>
      <c r="AJ149" t="str" cm="1">
        <f t="array" ref="AJ149">_xlfn.TEXTJOIN(",",TRUE,(_xlfn._xlws.FILTER($A$2:$A$501,($D$2:$D$501&gt;=AK$7)*($D$2:$D$501&lt;AJ$7)*($E$2:$E$501&gt;=$H150)*($E$2:$E$501&lt;$H149)," ")))</f>
        <v xml:space="preserve"> </v>
      </c>
      <c r="AK149" t="str" cm="1">
        <f t="array" ref="AK149">_xlfn.TEXTJOIN(",",TRUE,(_xlfn._xlws.FILTER($A$2:$A$501,($D$2:$D$501&gt;=AL$7)*($D$2:$D$501&lt;AK$7)*($E$2:$E$501&gt;=$H150)*($E$2:$E$501&lt;$H149)," ")))</f>
        <v xml:space="preserve"> </v>
      </c>
      <c r="AL149" t="str" cm="1">
        <f t="array" ref="AL149">_xlfn.TEXTJOIN(",",TRUE,(_xlfn._xlws.FILTER($A$2:$A$501,($D$2:$D$501&gt;=AM$7)*($D$2:$D$501&lt;AL$7)*($E$2:$E$501&gt;=$H150)*($E$2:$E$501&lt;$H149)," ")))</f>
        <v xml:space="preserve"> </v>
      </c>
      <c r="AM149" t="str" cm="1">
        <f t="array" ref="AM149">_xlfn.TEXTJOIN(",",TRUE,(_xlfn._xlws.FILTER($A$2:$A$501,($D$2:$D$501&gt;=AN$7)*($D$2:$D$501&lt;AM$7)*($E$2:$E$501&gt;=$H150)*($E$2:$E$501&lt;$H149)," ")))</f>
        <v xml:space="preserve"> </v>
      </c>
      <c r="AN149" t="str" cm="1">
        <f t="array" ref="AN149">_xlfn.TEXTJOIN(",",TRUE,(_xlfn._xlws.FILTER($A$2:$A$501,($D$2:$D$501&gt;=AO$7)*($D$2:$D$501&lt;AN$7)*($E$2:$E$501&gt;=$H150)*($E$2:$E$501&lt;$H149)," ")))</f>
        <v xml:space="preserve"> </v>
      </c>
      <c r="AO149" t="str" cm="1">
        <f t="array" ref="AO149">_xlfn.TEXTJOIN(",",TRUE,(_xlfn._xlws.FILTER($A$2:$A$501,($D$2:$D$501&gt;=AP$7)*($D$2:$D$501&lt;AO$7)*($E$2:$E$501&gt;=$H150)*($E$2:$E$501&lt;$H149)," ")))</f>
        <v xml:space="preserve"> </v>
      </c>
      <c r="AP149" t="str" cm="1">
        <f t="array" ref="AP149">_xlfn.TEXTJOIN(",",TRUE,(_xlfn._xlws.FILTER($A$2:$A$501,($D$2:$D$501&gt;=AQ$7)*($D$2:$D$501&lt;AP$7)*($E$2:$E$501&gt;=$H150)*($E$2:$E$501&lt;$H149)," ")))</f>
        <v xml:space="preserve"> </v>
      </c>
      <c r="AQ149" t="str" cm="1">
        <f t="array" ref="AQ149">_xlfn.TEXTJOIN(",",TRUE,(_xlfn._xlws.FILTER($A$2:$A$501,($D$2:$D$501&gt;=AR$7)*($D$2:$D$501&lt;AQ$7)*($E$2:$E$501&gt;=$H150)*($E$2:$E$501&lt;$H149)," ")))</f>
        <v xml:space="preserve"> </v>
      </c>
      <c r="AR149" t="str" cm="1">
        <f t="array" ref="AR149">_xlfn.TEXTJOIN(",",TRUE,(_xlfn._xlws.FILTER($A$2:$A$501,($D$2:$D$501&gt;=AS$7)*($D$2:$D$501&lt;AR$7)*($E$2:$E$501&gt;=$H150)*($E$2:$E$501&lt;$H149)," ")))</f>
        <v xml:space="preserve"> </v>
      </c>
      <c r="AS149" t="str" cm="1">
        <f t="array" ref="AS149">_xlfn.TEXTJOIN(",",TRUE,(_xlfn._xlws.FILTER($A$2:$A$501,($D$2:$D$501&gt;=AT$7)*($D$2:$D$501&lt;AS$7)*($E$2:$E$501&gt;=$H150)*($E$2:$E$501&lt;$H149)," ")))</f>
        <v xml:space="preserve"> </v>
      </c>
      <c r="AT149" t="str" cm="1">
        <f t="array" ref="AT149">_xlfn.TEXTJOIN(",",TRUE,(_xlfn._xlws.FILTER($A$2:$A$501,($D$2:$D$501&gt;=AU$7)*($D$2:$D$501&lt;AT$7)*($E$2:$E$501&gt;=$H150)*($E$2:$E$501&lt;$H149)," ")))</f>
        <v xml:space="preserve"> </v>
      </c>
      <c r="AU149" t="str" cm="1">
        <f t="array" ref="AU149">_xlfn.TEXTJOIN(",",TRUE,(_xlfn._xlws.FILTER($A$2:$A$501,($D$2:$D$501&gt;=AV$7)*($D$2:$D$501&lt;AU$7)*($E$2:$E$501&gt;=$H150)*($E$2:$E$501&lt;$H149)," ")))</f>
        <v xml:space="preserve"> </v>
      </c>
      <c r="AV149" t="str" cm="1">
        <f t="array" ref="AV149">_xlfn.TEXTJOIN(",",TRUE,(_xlfn._xlws.FILTER($A$2:$A$501,($D$2:$D$501&gt;=AW$7)*($D$2:$D$501&lt;AV$7)*($E$2:$E$501&gt;=$H150)*($E$2:$E$501&lt;$H149)," ")))</f>
        <v xml:space="preserve"> </v>
      </c>
      <c r="AW149" t="str" cm="1">
        <f t="array" ref="AW149">_xlfn.TEXTJOIN(",",TRUE,(_xlfn._xlws.FILTER($A$2:$A$501,($D$2:$D$501&gt;=AX$7)*($D$2:$D$501&lt;AW$7)*($E$2:$E$501&gt;=$H150)*($E$2:$E$501&lt;$H149)," ")))</f>
        <v xml:space="preserve"> </v>
      </c>
      <c r="AX149" t="str" cm="1">
        <f t="array" ref="AX149">_xlfn.TEXTJOIN(",",TRUE,(_xlfn._xlws.FILTER($A$2:$A$501,($D$2:$D$501&gt;=AY$7)*($D$2:$D$501&lt;AX$7)*($E$2:$E$501&gt;=$H150)*($E$2:$E$501&lt;$H149)," ")))</f>
        <v xml:space="preserve"> </v>
      </c>
      <c r="AY149" t="str" cm="1">
        <f t="array" ref="AY149">_xlfn.TEXTJOIN(",",TRUE,(_xlfn._xlws.FILTER($A$2:$A$501,($D$2:$D$501&gt;=AZ$7)*($D$2:$D$501&lt;AY$7)*($E$2:$E$501&gt;=$H150)*($E$2:$E$501&lt;$H149)," ")))</f>
        <v xml:space="preserve"> </v>
      </c>
      <c r="AZ149" t="str" cm="1">
        <f t="array" ref="AZ149">_xlfn.TEXTJOIN(",",TRUE,(_xlfn._xlws.FILTER($A$2:$A$501,($D$2:$D$501&gt;=BA$7)*($D$2:$D$501&lt;AZ$7)*($E$2:$E$501&gt;=$H150)*($E$2:$E$501&lt;$H149)," ")))</f>
        <v xml:space="preserve"> </v>
      </c>
      <c r="BA149" t="str" cm="1">
        <f t="array" ref="BA149">_xlfn.TEXTJOIN(",",TRUE,(_xlfn._xlws.FILTER($A$2:$A$501,($D$2:$D$501&gt;=BB$7)*($D$2:$D$501&lt;BA$7)*($E$2:$E$501&gt;=$H150)*($E$2:$E$501&lt;$H149)," ")))</f>
        <v xml:space="preserve"> </v>
      </c>
      <c r="BB149" t="str" cm="1">
        <f t="array" ref="BB149">_xlfn.TEXTJOIN(",",TRUE,(_xlfn._xlws.FILTER($A$2:$A$501,($D$2:$D$501&gt;=BC$7)*($D$2:$D$501&lt;BB$7)*($E$2:$E$501&gt;=$H150)*($E$2:$E$501&lt;$H149)," ")))</f>
        <v xml:space="preserve"> </v>
      </c>
    </row>
    <row r="150" spans="1:54" x14ac:dyDescent="0.2">
      <c r="A150" s="3" t="s">
        <v>246</v>
      </c>
      <c r="B150" s="3" t="s">
        <v>247</v>
      </c>
      <c r="C150" s="13">
        <v>1468382.95</v>
      </c>
      <c r="D150" s="15">
        <v>40194632.240000002</v>
      </c>
      <c r="E150" s="22">
        <f>TuitionRates3[[#This Row],[Tuition]]/D150</f>
        <v>3.6531817015574709E-2</v>
      </c>
      <c r="F150"/>
      <c r="H150" s="18">
        <v>7.9999999999999793E-3</v>
      </c>
      <c r="I150" t="str" cm="1">
        <f t="array" ref="I150">_xlfn.TEXTJOIN(",",TRUE,(_xlfn._xlws.FILTER($A$2:$A$501,($D$2:$D$501&gt;=J$7)*($D$2:$D$501&lt;I$7)*($E$2:$E$501&gt;=$H151)*($E$2:$E$501&lt;$H150)," ")))</f>
        <v xml:space="preserve"> </v>
      </c>
      <c r="J150" t="str" cm="1">
        <f t="array" ref="J150">_xlfn.TEXTJOIN(",",TRUE,(_xlfn._xlws.FILTER($A$2:$A$501,($D$2:$D$501&gt;=K$7)*($D$2:$D$501&lt;J$7)*($E$2:$E$501&gt;=$H151)*($E$2:$E$501&lt;$H150)," ")))</f>
        <v xml:space="preserve"> </v>
      </c>
      <c r="K150" t="str" cm="1">
        <f t="array" ref="K150">_xlfn.TEXTJOIN(",",TRUE,(_xlfn._xlws.FILTER($A$2:$A$501,($D$2:$D$501&gt;=L$7)*($D$2:$D$501&lt;K$7)*($E$2:$E$501&gt;=$H151)*($E$2:$E$501&lt;$H150)," ")))</f>
        <v xml:space="preserve"> </v>
      </c>
      <c r="L150" t="str" cm="1">
        <f t="array" ref="L150">_xlfn.TEXTJOIN(",",TRUE,(_xlfn._xlws.FILTER($A$2:$A$501,($D$2:$D$501&gt;=M$7)*($D$2:$D$501&lt;L$7)*($E$2:$E$501&gt;=$H151)*($E$2:$E$501&lt;$H150)," ")))</f>
        <v xml:space="preserve"> </v>
      </c>
      <c r="M150" t="str" cm="1">
        <f t="array" ref="M150">_xlfn.TEXTJOIN(",",TRUE,(_xlfn._xlws.FILTER($A$2:$A$501,($D$2:$D$501&gt;=N$7)*($D$2:$D$501&lt;M$7)*($E$2:$E$501&gt;=$H151)*($E$2:$E$501&lt;$H150)," ")))</f>
        <v xml:space="preserve"> </v>
      </c>
      <c r="N150" t="str" cm="1">
        <f t="array" ref="N150">_xlfn.TEXTJOIN(",",TRUE,(_xlfn._xlws.FILTER($A$2:$A$501,($D$2:$D$501&gt;=O$7)*($D$2:$D$501&lt;N$7)*($E$2:$E$501&gt;=$H151)*($E$2:$E$501&lt;$H150)," ")))</f>
        <v xml:space="preserve"> </v>
      </c>
      <c r="O150" t="str" cm="1">
        <f t="array" ref="O150">_xlfn.TEXTJOIN(",",TRUE,(_xlfn._xlws.FILTER($A$2:$A$501,($D$2:$D$501&gt;=P$7)*($D$2:$D$501&lt;O$7)*($E$2:$E$501&gt;=$H151)*($E$2:$E$501&lt;$H150)," ")))</f>
        <v xml:space="preserve"> </v>
      </c>
      <c r="P150" t="str" cm="1">
        <f t="array" ref="P150">_xlfn.TEXTJOIN(",",TRUE,(_xlfn._xlws.FILTER($A$2:$A$501,($D$2:$D$501&gt;=Q$7)*($D$2:$D$501&lt;P$7)*($E$2:$E$501&gt;=$H151)*($E$2:$E$501&lt;$H150)," ")))</f>
        <v xml:space="preserve"> </v>
      </c>
      <c r="Q150" t="str" cm="1">
        <f t="array" ref="Q150">_xlfn.TEXTJOIN(",",TRUE,(_xlfn._xlws.FILTER($A$2:$A$501,($D$2:$D$501&gt;=R$7)*($D$2:$D$501&lt;Q$7)*($E$2:$E$501&gt;=$H151)*($E$2:$E$501&lt;$H150)," ")))</f>
        <v xml:space="preserve"> </v>
      </c>
      <c r="R150" t="str" cm="1">
        <f t="array" ref="R150">_xlfn.TEXTJOIN(",",TRUE,(_xlfn._xlws.FILTER($A$2:$A$501,($D$2:$D$501&gt;=S$7)*($D$2:$D$501&lt;R$7)*($E$2:$E$501&gt;=$H151)*($E$2:$E$501&lt;$H150)," ")))</f>
        <v xml:space="preserve"> </v>
      </c>
      <c r="S150" t="str" cm="1">
        <f t="array" ref="S150">_xlfn.TEXTJOIN(",",TRUE,(_xlfn._xlws.FILTER($A$2:$A$501,($D$2:$D$501&gt;=T$7)*($D$2:$D$501&lt;S$7)*($E$2:$E$501&gt;=$H151)*($E$2:$E$501&lt;$H150)," ")))</f>
        <v xml:space="preserve"> </v>
      </c>
      <c r="T150" t="str" cm="1">
        <f t="array" ref="T150">_xlfn.TEXTJOIN(",",TRUE,(_xlfn._xlws.FILTER($A$2:$A$501,($D$2:$D$501&gt;=U$7)*($D$2:$D$501&lt;T$7)*($E$2:$E$501&gt;=$H151)*($E$2:$E$501&lt;$H150)," ")))</f>
        <v>Downingtown Area SD</v>
      </c>
      <c r="U150" t="str" cm="1">
        <f t="array" ref="U150">_xlfn.TEXTJOIN(",",TRUE,(_xlfn._xlws.FILTER($A$2:$A$501,($D$2:$D$501&gt;=V$7)*($D$2:$D$501&lt;U$7)*($E$2:$E$501&gt;=$H151)*($E$2:$E$501&lt;$H150)," ")))</f>
        <v xml:space="preserve"> </v>
      </c>
      <c r="V150" t="str" cm="1">
        <f t="array" ref="V150">_xlfn.TEXTJOIN(",",TRUE,(_xlfn._xlws.FILTER($A$2:$A$501,($D$2:$D$501&gt;=W$7)*($D$2:$D$501&lt;V$7)*($E$2:$E$501&gt;=$H151)*($E$2:$E$501&lt;$H150)," ")))</f>
        <v>Unionville-Chadds Ford SD,Bethel Park SD</v>
      </c>
      <c r="W150" t="str" cm="1">
        <f t="array" ref="W150">_xlfn.TEXTJOIN(",",TRUE,(_xlfn._xlws.FILTER($A$2:$A$501,($D$2:$D$501&gt;=X$7)*($D$2:$D$501&lt;W$7)*($E$2:$E$501&gt;=$H151)*($E$2:$E$501&lt;$H150)," ")))</f>
        <v xml:space="preserve"> </v>
      </c>
      <c r="X150" t="str" cm="1">
        <f t="array" ref="X150">_xlfn.TEXTJOIN(",",TRUE,(_xlfn._xlws.FILTER($A$2:$A$501,($D$2:$D$501&gt;=Y$7)*($D$2:$D$501&lt;X$7)*($E$2:$E$501&gt;=$H151)*($E$2:$E$501&lt;$H150)," ")))</f>
        <v xml:space="preserve"> </v>
      </c>
      <c r="Y150" t="str" cm="1">
        <f t="array" ref="Y150">_xlfn.TEXTJOIN(",",TRUE,(_xlfn._xlws.FILTER($A$2:$A$501,($D$2:$D$501&gt;=Z$7)*($D$2:$D$501&lt;Y$7)*($E$2:$E$501&gt;=$H151)*($E$2:$E$501&lt;$H150)," ")))</f>
        <v xml:space="preserve"> </v>
      </c>
      <c r="Z150" t="str" cm="1">
        <f t="array" ref="Z150">_xlfn.TEXTJOIN(",",TRUE,(_xlfn._xlws.FILTER($A$2:$A$501,($D$2:$D$501&gt;=AA$7)*($D$2:$D$501&lt;Z$7)*($E$2:$E$501&gt;=$H151)*($E$2:$E$501&lt;$H150)," ")))</f>
        <v xml:space="preserve"> </v>
      </c>
      <c r="AA150" t="str" cm="1">
        <f t="array" ref="AA150">_xlfn.TEXTJOIN(",",TRUE,(_xlfn._xlws.FILTER($A$2:$A$501,($D$2:$D$501&gt;=AB$7)*($D$2:$D$501&lt;AA$7)*($E$2:$E$501&gt;=$H151)*($E$2:$E$501&lt;$H150)," ")))</f>
        <v xml:space="preserve"> </v>
      </c>
      <c r="AB150" t="str" cm="1">
        <f t="array" ref="AB150">_xlfn.TEXTJOIN(",",TRUE,(_xlfn._xlws.FILTER($A$2:$A$501,($D$2:$D$501&gt;=AC$7)*($D$2:$D$501&lt;AB$7)*($E$2:$E$501&gt;=$H151)*($E$2:$E$501&lt;$H150)," ")))</f>
        <v xml:space="preserve"> </v>
      </c>
      <c r="AC150" t="str" cm="1">
        <f t="array" ref="AC150">_xlfn.TEXTJOIN(",",TRUE,(_xlfn._xlws.FILTER($A$2:$A$501,($D$2:$D$501&gt;=AD$7)*($D$2:$D$501&lt;AC$7)*($E$2:$E$501&gt;=$H151)*($E$2:$E$501&lt;$H150)," ")))</f>
        <v xml:space="preserve"> </v>
      </c>
      <c r="AD150" t="str" cm="1">
        <f t="array" ref="AD150">_xlfn.TEXTJOIN(",",TRUE,(_xlfn._xlws.FILTER($A$2:$A$501,($D$2:$D$501&gt;=AE$7)*($D$2:$D$501&lt;AD$7)*($E$2:$E$501&gt;=$H151)*($E$2:$E$501&lt;$H150)," ")))</f>
        <v xml:space="preserve"> </v>
      </c>
      <c r="AE150" t="str" cm="1">
        <f t="array" ref="AE150">_xlfn.TEXTJOIN(",",TRUE,(_xlfn._xlws.FILTER($A$2:$A$501,($D$2:$D$501&gt;=AF$7)*($D$2:$D$501&lt;AE$7)*($E$2:$E$501&gt;=$H151)*($E$2:$E$501&lt;$H150)," ")))</f>
        <v xml:space="preserve"> </v>
      </c>
      <c r="AF150" t="str" cm="1">
        <f t="array" ref="AF150">_xlfn.TEXTJOIN(",",TRUE,(_xlfn._xlws.FILTER($A$2:$A$501,($D$2:$D$501&gt;=AG$7)*($D$2:$D$501&lt;AF$7)*($E$2:$E$501&gt;=$H151)*($E$2:$E$501&lt;$H150)," ")))</f>
        <v xml:space="preserve"> </v>
      </c>
      <c r="AG150" t="str" cm="1">
        <f t="array" ref="AG150">_xlfn.TEXTJOIN(",",TRUE,(_xlfn._xlws.FILTER($A$2:$A$501,($D$2:$D$501&gt;=AH$7)*($D$2:$D$501&lt;AG$7)*($E$2:$E$501&gt;=$H151)*($E$2:$E$501&lt;$H150)," ")))</f>
        <v xml:space="preserve"> </v>
      </c>
      <c r="AH150" t="str" cm="1">
        <f t="array" ref="AH150">_xlfn.TEXTJOIN(",",TRUE,(_xlfn._xlws.FILTER($A$2:$A$501,($D$2:$D$501&gt;=AI$7)*($D$2:$D$501&lt;AH$7)*($E$2:$E$501&gt;=$H151)*($E$2:$E$501&lt;$H150)," ")))</f>
        <v>Harmony Area SD</v>
      </c>
      <c r="AI150" t="str" cm="1">
        <f t="array" ref="AI150">_xlfn.TEXTJOIN(",",TRUE,(_xlfn._xlws.FILTER($A$2:$A$501,($D$2:$D$501&gt;=AJ$7)*($D$2:$D$501&lt;AI$7)*($E$2:$E$501&gt;=$H151)*($E$2:$E$501&lt;$H150)," ")))</f>
        <v xml:space="preserve"> </v>
      </c>
      <c r="AJ150" t="str" cm="1">
        <f t="array" ref="AJ150">_xlfn.TEXTJOIN(",",TRUE,(_xlfn._xlws.FILTER($A$2:$A$501,($D$2:$D$501&gt;=AK$7)*($D$2:$D$501&lt;AJ$7)*($E$2:$E$501&gt;=$H151)*($E$2:$E$501&lt;$H150)," ")))</f>
        <v xml:space="preserve"> </v>
      </c>
      <c r="AK150" t="str" cm="1">
        <f t="array" ref="AK150">_xlfn.TEXTJOIN(",",TRUE,(_xlfn._xlws.FILTER($A$2:$A$501,($D$2:$D$501&gt;=AL$7)*($D$2:$D$501&lt;AK$7)*($E$2:$E$501&gt;=$H151)*($E$2:$E$501&lt;$H150)," ")))</f>
        <v xml:space="preserve"> </v>
      </c>
      <c r="AL150" t="str" cm="1">
        <f t="array" ref="AL150">_xlfn.TEXTJOIN(",",TRUE,(_xlfn._xlws.FILTER($A$2:$A$501,($D$2:$D$501&gt;=AM$7)*($D$2:$D$501&lt;AL$7)*($E$2:$E$501&gt;=$H151)*($E$2:$E$501&lt;$H150)," ")))</f>
        <v xml:space="preserve"> </v>
      </c>
      <c r="AM150" t="str" cm="1">
        <f t="array" ref="AM150">_xlfn.TEXTJOIN(",",TRUE,(_xlfn._xlws.FILTER($A$2:$A$501,($D$2:$D$501&gt;=AN$7)*($D$2:$D$501&lt;AM$7)*($E$2:$E$501&gt;=$H151)*($E$2:$E$501&lt;$H150)," ")))</f>
        <v xml:space="preserve"> </v>
      </c>
      <c r="AN150" t="str" cm="1">
        <f t="array" ref="AN150">_xlfn.TEXTJOIN(",",TRUE,(_xlfn._xlws.FILTER($A$2:$A$501,($D$2:$D$501&gt;=AO$7)*($D$2:$D$501&lt;AN$7)*($E$2:$E$501&gt;=$H151)*($E$2:$E$501&lt;$H150)," ")))</f>
        <v xml:space="preserve"> </v>
      </c>
      <c r="AO150" t="str" cm="1">
        <f t="array" ref="AO150">_xlfn.TEXTJOIN(",",TRUE,(_xlfn._xlws.FILTER($A$2:$A$501,($D$2:$D$501&gt;=AP$7)*($D$2:$D$501&lt;AO$7)*($E$2:$E$501&gt;=$H151)*($E$2:$E$501&lt;$H150)," ")))</f>
        <v xml:space="preserve"> </v>
      </c>
      <c r="AP150" t="str" cm="1">
        <f t="array" ref="AP150">_xlfn.TEXTJOIN(",",TRUE,(_xlfn._xlws.FILTER($A$2:$A$501,($D$2:$D$501&gt;=AQ$7)*($D$2:$D$501&lt;AP$7)*($E$2:$E$501&gt;=$H151)*($E$2:$E$501&lt;$H150)," ")))</f>
        <v xml:space="preserve"> </v>
      </c>
      <c r="AQ150" t="str" cm="1">
        <f t="array" ref="AQ150">_xlfn.TEXTJOIN(",",TRUE,(_xlfn._xlws.FILTER($A$2:$A$501,($D$2:$D$501&gt;=AR$7)*($D$2:$D$501&lt;AQ$7)*($E$2:$E$501&gt;=$H151)*($E$2:$E$501&lt;$H150)," ")))</f>
        <v xml:space="preserve"> </v>
      </c>
      <c r="AR150" t="str" cm="1">
        <f t="array" ref="AR150">_xlfn.TEXTJOIN(",",TRUE,(_xlfn._xlws.FILTER($A$2:$A$501,($D$2:$D$501&gt;=AS$7)*($D$2:$D$501&lt;AR$7)*($E$2:$E$501&gt;=$H151)*($E$2:$E$501&lt;$H150)," ")))</f>
        <v xml:space="preserve"> </v>
      </c>
      <c r="AS150" t="str" cm="1">
        <f t="array" ref="AS150">_xlfn.TEXTJOIN(",",TRUE,(_xlfn._xlws.FILTER($A$2:$A$501,($D$2:$D$501&gt;=AT$7)*($D$2:$D$501&lt;AS$7)*($E$2:$E$501&gt;=$H151)*($E$2:$E$501&lt;$H150)," ")))</f>
        <v xml:space="preserve"> </v>
      </c>
      <c r="AT150" t="str" cm="1">
        <f t="array" ref="AT150">_xlfn.TEXTJOIN(",",TRUE,(_xlfn._xlws.FILTER($A$2:$A$501,($D$2:$D$501&gt;=AU$7)*($D$2:$D$501&lt;AT$7)*($E$2:$E$501&gt;=$H151)*($E$2:$E$501&lt;$H150)," ")))</f>
        <v xml:space="preserve"> </v>
      </c>
      <c r="AU150" t="str" cm="1">
        <f t="array" ref="AU150">_xlfn.TEXTJOIN(",",TRUE,(_xlfn._xlws.FILTER($A$2:$A$501,($D$2:$D$501&gt;=AV$7)*($D$2:$D$501&lt;AU$7)*($E$2:$E$501&gt;=$H151)*($E$2:$E$501&lt;$H150)," ")))</f>
        <v xml:space="preserve"> </v>
      </c>
      <c r="AV150" t="str" cm="1">
        <f t="array" ref="AV150">_xlfn.TEXTJOIN(",",TRUE,(_xlfn._xlws.FILTER($A$2:$A$501,($D$2:$D$501&gt;=AW$7)*($D$2:$D$501&lt;AV$7)*($E$2:$E$501&gt;=$H151)*($E$2:$E$501&lt;$H150)," ")))</f>
        <v xml:space="preserve"> </v>
      </c>
      <c r="AW150" t="str" cm="1">
        <f t="array" ref="AW150">_xlfn.TEXTJOIN(",",TRUE,(_xlfn._xlws.FILTER($A$2:$A$501,($D$2:$D$501&gt;=AX$7)*($D$2:$D$501&lt;AW$7)*($E$2:$E$501&gt;=$H151)*($E$2:$E$501&lt;$H150)," ")))</f>
        <v xml:space="preserve"> </v>
      </c>
      <c r="AX150" t="str" cm="1">
        <f t="array" ref="AX150">_xlfn.TEXTJOIN(",",TRUE,(_xlfn._xlws.FILTER($A$2:$A$501,($D$2:$D$501&gt;=AY$7)*($D$2:$D$501&lt;AX$7)*($E$2:$E$501&gt;=$H151)*($E$2:$E$501&lt;$H150)," ")))</f>
        <v xml:space="preserve"> </v>
      </c>
      <c r="AY150" t="str" cm="1">
        <f t="array" ref="AY150">_xlfn.TEXTJOIN(",",TRUE,(_xlfn._xlws.FILTER($A$2:$A$501,($D$2:$D$501&gt;=AZ$7)*($D$2:$D$501&lt;AY$7)*($E$2:$E$501&gt;=$H151)*($E$2:$E$501&lt;$H150)," ")))</f>
        <v xml:space="preserve"> </v>
      </c>
      <c r="AZ150" t="str" cm="1">
        <f t="array" ref="AZ150">_xlfn.TEXTJOIN(",",TRUE,(_xlfn._xlws.FILTER($A$2:$A$501,($D$2:$D$501&gt;=BA$7)*($D$2:$D$501&lt;AZ$7)*($E$2:$E$501&gt;=$H151)*($E$2:$E$501&lt;$H150)," ")))</f>
        <v xml:space="preserve"> </v>
      </c>
      <c r="BA150" t="str" cm="1">
        <f t="array" ref="BA150">_xlfn.TEXTJOIN(",",TRUE,(_xlfn._xlws.FILTER($A$2:$A$501,($D$2:$D$501&gt;=BB$7)*($D$2:$D$501&lt;BA$7)*($E$2:$E$501&gt;=$H151)*($E$2:$E$501&lt;$H150)," ")))</f>
        <v xml:space="preserve"> </v>
      </c>
      <c r="BB150" t="str" cm="1">
        <f t="array" ref="BB150">_xlfn.TEXTJOIN(",",TRUE,(_xlfn._xlws.FILTER($A$2:$A$501,($D$2:$D$501&gt;=BC$7)*($D$2:$D$501&lt;BB$7)*($E$2:$E$501&gt;=$H151)*($E$2:$E$501&lt;$H150)," ")))</f>
        <v xml:space="preserve"> </v>
      </c>
    </row>
    <row r="151" spans="1:54" x14ac:dyDescent="0.2">
      <c r="A151" s="3" t="s">
        <v>366</v>
      </c>
      <c r="B151" s="3" t="s">
        <v>359</v>
      </c>
      <c r="C151" s="13">
        <v>2408311.2799999998</v>
      </c>
      <c r="D151" s="15">
        <v>66056684.07</v>
      </c>
      <c r="E151" s="22">
        <f>TuitionRates3[[#This Row],[Tuition]]/D151</f>
        <v>3.6458252694729909E-2</v>
      </c>
      <c r="F151"/>
      <c r="H151" s="18">
        <v>6.9999999999999802E-3</v>
      </c>
      <c r="I151" t="str" cm="1">
        <f t="array" ref="I151">_xlfn.TEXTJOIN(",",TRUE,(_xlfn._xlws.FILTER($A$2:$A$501,($D$2:$D$501&gt;=J$7)*($D$2:$D$501&lt;I$7)*($E$2:$E$501&gt;=$H152)*($E$2:$E$501&lt;$H151)," ")))</f>
        <v xml:space="preserve"> </v>
      </c>
      <c r="J151" t="str" cm="1">
        <f t="array" ref="J151">_xlfn.TEXTJOIN(",",TRUE,(_xlfn._xlws.FILTER($A$2:$A$501,($D$2:$D$501&gt;=K$7)*($D$2:$D$501&lt;J$7)*($E$2:$E$501&gt;=$H152)*($E$2:$E$501&lt;$H151)," ")))</f>
        <v xml:space="preserve"> </v>
      </c>
      <c r="K151" t="str" cm="1">
        <f t="array" ref="K151">_xlfn.TEXTJOIN(",",TRUE,(_xlfn._xlws.FILTER($A$2:$A$501,($D$2:$D$501&gt;=L$7)*($D$2:$D$501&lt;K$7)*($E$2:$E$501&gt;=$H152)*($E$2:$E$501&lt;$H151)," ")))</f>
        <v xml:space="preserve"> </v>
      </c>
      <c r="L151" t="str" cm="1">
        <f t="array" ref="L151">_xlfn.TEXTJOIN(",",TRUE,(_xlfn._xlws.FILTER($A$2:$A$501,($D$2:$D$501&gt;=M$7)*($D$2:$D$501&lt;L$7)*($E$2:$E$501&gt;=$H152)*($E$2:$E$501&lt;$H151)," ")))</f>
        <v xml:space="preserve"> </v>
      </c>
      <c r="M151" t="str" cm="1">
        <f t="array" ref="M151">_xlfn.TEXTJOIN(",",TRUE,(_xlfn._xlws.FILTER($A$2:$A$501,($D$2:$D$501&gt;=N$7)*($D$2:$D$501&lt;M$7)*($E$2:$E$501&gt;=$H152)*($E$2:$E$501&lt;$H151)," ")))</f>
        <v xml:space="preserve"> </v>
      </c>
      <c r="N151" t="str" cm="1">
        <f t="array" ref="N151">_xlfn.TEXTJOIN(",",TRUE,(_xlfn._xlws.FILTER($A$2:$A$501,($D$2:$D$501&gt;=O$7)*($D$2:$D$501&lt;N$7)*($E$2:$E$501&gt;=$H152)*($E$2:$E$501&lt;$H151)," ")))</f>
        <v xml:space="preserve"> </v>
      </c>
      <c r="O151" t="str" cm="1">
        <f t="array" ref="O151">_xlfn.TEXTJOIN(",",TRUE,(_xlfn._xlws.FILTER($A$2:$A$501,($D$2:$D$501&gt;=P$7)*($D$2:$D$501&lt;O$7)*($E$2:$E$501&gt;=$H152)*($E$2:$E$501&lt;$H151)," ")))</f>
        <v xml:space="preserve"> </v>
      </c>
      <c r="P151" t="str" cm="1">
        <f t="array" ref="P151">_xlfn.TEXTJOIN(",",TRUE,(_xlfn._xlws.FILTER($A$2:$A$501,($D$2:$D$501&gt;=Q$7)*($D$2:$D$501&lt;P$7)*($E$2:$E$501&gt;=$H152)*($E$2:$E$501&lt;$H151)," ")))</f>
        <v xml:space="preserve"> </v>
      </c>
      <c r="Q151" t="str" cm="1">
        <f t="array" ref="Q151">_xlfn.TEXTJOIN(",",TRUE,(_xlfn._xlws.FILTER($A$2:$A$501,($D$2:$D$501&gt;=R$7)*($D$2:$D$501&lt;Q$7)*($E$2:$E$501&gt;=$H152)*($E$2:$E$501&lt;$H151)," ")))</f>
        <v xml:space="preserve"> </v>
      </c>
      <c r="R151" t="str" cm="1">
        <f t="array" ref="R151">_xlfn.TEXTJOIN(",",TRUE,(_xlfn._xlws.FILTER($A$2:$A$501,($D$2:$D$501&gt;=S$7)*($D$2:$D$501&lt;R$7)*($E$2:$E$501&gt;=$H152)*($E$2:$E$501&lt;$H151)," ")))</f>
        <v xml:space="preserve"> </v>
      </c>
      <c r="S151" t="str" cm="1">
        <f t="array" ref="S151">_xlfn.TEXTJOIN(",",TRUE,(_xlfn._xlws.FILTER($A$2:$A$501,($D$2:$D$501&gt;=T$7)*($D$2:$D$501&lt;S$7)*($E$2:$E$501&gt;=$H152)*($E$2:$E$501&lt;$H151)," ")))</f>
        <v xml:space="preserve"> </v>
      </c>
      <c r="T151" t="str" cm="1">
        <f t="array" ref="T151">_xlfn.TEXTJOIN(",",TRUE,(_xlfn._xlws.FILTER($A$2:$A$501,($D$2:$D$501&gt;=U$7)*($D$2:$D$501&lt;T$7)*($E$2:$E$501&gt;=$H152)*($E$2:$E$501&lt;$H151)," ")))</f>
        <v xml:space="preserve"> </v>
      </c>
      <c r="U151" t="str" cm="1">
        <f t="array" ref="U151">_xlfn.TEXTJOIN(",",TRUE,(_xlfn._xlws.FILTER($A$2:$A$501,($D$2:$D$501&gt;=V$7)*($D$2:$D$501&lt;U$7)*($E$2:$E$501&gt;=$H152)*($E$2:$E$501&lt;$H151)," ")))</f>
        <v>State College Area SD,Hatboro-Horsham SD,Upper Dublin SD,Pine-Richland SD,Dallastown Area SD,Wissahickon SD</v>
      </c>
      <c r="V151" t="str" cm="1">
        <f t="array" ref="V151">_xlfn.TEXTJOIN(",",TRUE,(_xlfn._xlws.FILTER($A$2:$A$501,($D$2:$D$501&gt;=W$7)*($D$2:$D$501&lt;V$7)*($E$2:$E$501&gt;=$H152)*($E$2:$E$501&lt;$H151)," ")))</f>
        <v>Wallingford-Swarthmore SD</v>
      </c>
      <c r="W151" t="str" cm="1">
        <f t="array" ref="W151">_xlfn.TEXTJOIN(",",TRUE,(_xlfn._xlws.FILTER($A$2:$A$501,($D$2:$D$501&gt;=X$7)*($D$2:$D$501&lt;W$7)*($E$2:$E$501&gt;=$H152)*($E$2:$E$501&lt;$H151)," ")))</f>
        <v xml:space="preserve"> </v>
      </c>
      <c r="X151" t="str" cm="1">
        <f t="array" ref="X151">_xlfn.TEXTJOIN(",",TRUE,(_xlfn._xlws.FILTER($A$2:$A$501,($D$2:$D$501&gt;=Y$7)*($D$2:$D$501&lt;X$7)*($E$2:$E$501&gt;=$H152)*($E$2:$E$501&lt;$H151)," ")))</f>
        <v xml:space="preserve"> </v>
      </c>
      <c r="Y151" t="str" cm="1">
        <f t="array" ref="Y151">_xlfn.TEXTJOIN(",",TRUE,(_xlfn._xlws.FILTER($A$2:$A$501,($D$2:$D$501&gt;=Z$7)*($D$2:$D$501&lt;Y$7)*($E$2:$E$501&gt;=$H152)*($E$2:$E$501&lt;$H151)," ")))</f>
        <v>West Jefferson Hills SD</v>
      </c>
      <c r="Z151" t="str" cm="1">
        <f t="array" ref="Z151">_xlfn.TEXTJOIN(",",TRUE,(_xlfn._xlws.FILTER($A$2:$A$501,($D$2:$D$501&gt;=AA$7)*($D$2:$D$501&lt;Z$7)*($E$2:$E$501&gt;=$H152)*($E$2:$E$501&lt;$H151)," ")))</f>
        <v>Quaker Valley SD</v>
      </c>
      <c r="AA151" t="str" cm="1">
        <f t="array" ref="AA151">_xlfn.TEXTJOIN(",",TRUE,(_xlfn._xlws.FILTER($A$2:$A$501,($D$2:$D$501&gt;=AB$7)*($D$2:$D$501&lt;AA$7)*($E$2:$E$501&gt;=$H152)*($E$2:$E$501&lt;$H151)," ")))</f>
        <v xml:space="preserve"> </v>
      </c>
      <c r="AB151" t="str" cm="1">
        <f t="array" ref="AB151">_xlfn.TEXTJOIN(",",TRUE,(_xlfn._xlws.FILTER($A$2:$A$501,($D$2:$D$501&gt;=AC$7)*($D$2:$D$501&lt;AB$7)*($E$2:$E$501&gt;=$H152)*($E$2:$E$501&lt;$H151)," ")))</f>
        <v xml:space="preserve"> </v>
      </c>
      <c r="AC151" t="str" cm="1">
        <f t="array" ref="AC151">_xlfn.TEXTJOIN(",",TRUE,(_xlfn._xlws.FILTER($A$2:$A$501,($D$2:$D$501&gt;=AD$7)*($D$2:$D$501&lt;AC$7)*($E$2:$E$501&gt;=$H152)*($E$2:$E$501&lt;$H151)," ")))</f>
        <v xml:space="preserve"> </v>
      </c>
      <c r="AD151" t="str" cm="1">
        <f t="array" ref="AD151">_xlfn.TEXTJOIN(",",TRUE,(_xlfn._xlws.FILTER($A$2:$A$501,($D$2:$D$501&gt;=AE$7)*($D$2:$D$501&lt;AD$7)*($E$2:$E$501&gt;=$H152)*($E$2:$E$501&lt;$H151)," ")))</f>
        <v xml:space="preserve"> </v>
      </c>
      <c r="AE151" t="str" cm="1">
        <f t="array" ref="AE151">_xlfn.TEXTJOIN(",",TRUE,(_xlfn._xlws.FILTER($A$2:$A$501,($D$2:$D$501&gt;=AF$7)*($D$2:$D$501&lt;AE$7)*($E$2:$E$501&gt;=$H152)*($E$2:$E$501&lt;$H151)," ")))</f>
        <v xml:space="preserve"> </v>
      </c>
      <c r="AF151" t="str" cm="1">
        <f t="array" ref="AF151">_xlfn.TEXTJOIN(",",TRUE,(_xlfn._xlws.FILTER($A$2:$A$501,($D$2:$D$501&gt;=AG$7)*($D$2:$D$501&lt;AF$7)*($E$2:$E$501&gt;=$H152)*($E$2:$E$501&lt;$H151)," ")))</f>
        <v xml:space="preserve"> </v>
      </c>
      <c r="AG151" t="str" cm="1">
        <f t="array" ref="AG151">_xlfn.TEXTJOIN(",",TRUE,(_xlfn._xlws.FILTER($A$2:$A$501,($D$2:$D$501&gt;=AH$7)*($D$2:$D$501&lt;AG$7)*($E$2:$E$501&gt;=$H152)*($E$2:$E$501&lt;$H151)," ")))</f>
        <v xml:space="preserve"> </v>
      </c>
      <c r="AH151" t="str" cm="1">
        <f t="array" ref="AH151">_xlfn.TEXTJOIN(",",TRUE,(_xlfn._xlws.FILTER($A$2:$A$501,($D$2:$D$501&gt;=AI$7)*($D$2:$D$501&lt;AH$7)*($E$2:$E$501&gt;=$H152)*($E$2:$E$501&lt;$H151)," ")))</f>
        <v xml:space="preserve"> </v>
      </c>
      <c r="AI151" t="str" cm="1">
        <f t="array" ref="AI151">_xlfn.TEXTJOIN(",",TRUE,(_xlfn._xlws.FILTER($A$2:$A$501,($D$2:$D$501&gt;=AJ$7)*($D$2:$D$501&lt;AI$7)*($E$2:$E$501&gt;=$H152)*($E$2:$E$501&lt;$H151)," ")))</f>
        <v xml:space="preserve"> </v>
      </c>
      <c r="AJ151" t="str" cm="1">
        <f t="array" ref="AJ151">_xlfn.TEXTJOIN(",",TRUE,(_xlfn._xlws.FILTER($A$2:$A$501,($D$2:$D$501&gt;=AK$7)*($D$2:$D$501&lt;AJ$7)*($E$2:$E$501&gt;=$H152)*($E$2:$E$501&lt;$H151)," ")))</f>
        <v xml:space="preserve"> </v>
      </c>
      <c r="AK151" t="str" cm="1">
        <f t="array" ref="AK151">_xlfn.TEXTJOIN(",",TRUE,(_xlfn._xlws.FILTER($A$2:$A$501,($D$2:$D$501&gt;=AL$7)*($D$2:$D$501&lt;AK$7)*($E$2:$E$501&gt;=$H152)*($E$2:$E$501&lt;$H151)," ")))</f>
        <v xml:space="preserve"> </v>
      </c>
      <c r="AL151" t="str" cm="1">
        <f t="array" ref="AL151">_xlfn.TEXTJOIN(",",TRUE,(_xlfn._xlws.FILTER($A$2:$A$501,($D$2:$D$501&gt;=AM$7)*($D$2:$D$501&lt;AL$7)*($E$2:$E$501&gt;=$H152)*($E$2:$E$501&lt;$H151)," ")))</f>
        <v xml:space="preserve"> </v>
      </c>
      <c r="AM151" t="str" cm="1">
        <f t="array" ref="AM151">_xlfn.TEXTJOIN(",",TRUE,(_xlfn._xlws.FILTER($A$2:$A$501,($D$2:$D$501&gt;=AN$7)*($D$2:$D$501&lt;AM$7)*($E$2:$E$501&gt;=$H152)*($E$2:$E$501&lt;$H151)," ")))</f>
        <v xml:space="preserve"> </v>
      </c>
      <c r="AN151" t="str" cm="1">
        <f t="array" ref="AN151">_xlfn.TEXTJOIN(",",TRUE,(_xlfn._xlws.FILTER($A$2:$A$501,($D$2:$D$501&gt;=AO$7)*($D$2:$D$501&lt;AN$7)*($E$2:$E$501&gt;=$H152)*($E$2:$E$501&lt;$H151)," ")))</f>
        <v xml:space="preserve"> </v>
      </c>
      <c r="AO151" t="str" cm="1">
        <f t="array" ref="AO151">_xlfn.TEXTJOIN(",",TRUE,(_xlfn._xlws.FILTER($A$2:$A$501,($D$2:$D$501&gt;=AP$7)*($D$2:$D$501&lt;AO$7)*($E$2:$E$501&gt;=$H152)*($E$2:$E$501&lt;$H151)," ")))</f>
        <v xml:space="preserve"> </v>
      </c>
      <c r="AP151" t="str" cm="1">
        <f t="array" ref="AP151">_xlfn.TEXTJOIN(",",TRUE,(_xlfn._xlws.FILTER($A$2:$A$501,($D$2:$D$501&gt;=AQ$7)*($D$2:$D$501&lt;AP$7)*($E$2:$E$501&gt;=$H152)*($E$2:$E$501&lt;$H151)," ")))</f>
        <v xml:space="preserve"> </v>
      </c>
      <c r="AQ151" t="str" cm="1">
        <f t="array" ref="AQ151">_xlfn.TEXTJOIN(",",TRUE,(_xlfn._xlws.FILTER($A$2:$A$501,($D$2:$D$501&gt;=AR$7)*($D$2:$D$501&lt;AQ$7)*($E$2:$E$501&gt;=$H152)*($E$2:$E$501&lt;$H151)," ")))</f>
        <v xml:space="preserve"> </v>
      </c>
      <c r="AR151" t="str" cm="1">
        <f t="array" ref="AR151">_xlfn.TEXTJOIN(",",TRUE,(_xlfn._xlws.FILTER($A$2:$A$501,($D$2:$D$501&gt;=AS$7)*($D$2:$D$501&lt;AR$7)*($E$2:$E$501&gt;=$H152)*($E$2:$E$501&lt;$H151)," ")))</f>
        <v xml:space="preserve"> </v>
      </c>
      <c r="AS151" t="str" cm="1">
        <f t="array" ref="AS151">_xlfn.TEXTJOIN(",",TRUE,(_xlfn._xlws.FILTER($A$2:$A$501,($D$2:$D$501&gt;=AT$7)*($D$2:$D$501&lt;AS$7)*($E$2:$E$501&gt;=$H152)*($E$2:$E$501&lt;$H151)," ")))</f>
        <v xml:space="preserve"> </v>
      </c>
      <c r="AT151" t="str" cm="1">
        <f t="array" ref="AT151">_xlfn.TEXTJOIN(",",TRUE,(_xlfn._xlws.FILTER($A$2:$A$501,($D$2:$D$501&gt;=AU$7)*($D$2:$D$501&lt;AT$7)*($E$2:$E$501&gt;=$H152)*($E$2:$E$501&lt;$H151)," ")))</f>
        <v xml:space="preserve"> </v>
      </c>
      <c r="AU151" t="str" cm="1">
        <f t="array" ref="AU151">_xlfn.TEXTJOIN(",",TRUE,(_xlfn._xlws.FILTER($A$2:$A$501,($D$2:$D$501&gt;=AV$7)*($D$2:$D$501&lt;AU$7)*($E$2:$E$501&gt;=$H152)*($E$2:$E$501&lt;$H151)," ")))</f>
        <v xml:space="preserve"> </v>
      </c>
      <c r="AV151" t="str" cm="1">
        <f t="array" ref="AV151">_xlfn.TEXTJOIN(",",TRUE,(_xlfn._xlws.FILTER($A$2:$A$501,($D$2:$D$501&gt;=AW$7)*($D$2:$D$501&lt;AV$7)*($E$2:$E$501&gt;=$H152)*($E$2:$E$501&lt;$H151)," ")))</f>
        <v xml:space="preserve"> </v>
      </c>
      <c r="AW151" t="str" cm="1">
        <f t="array" ref="AW151">_xlfn.TEXTJOIN(",",TRUE,(_xlfn._xlws.FILTER($A$2:$A$501,($D$2:$D$501&gt;=AX$7)*($D$2:$D$501&lt;AW$7)*($E$2:$E$501&gt;=$H152)*($E$2:$E$501&lt;$H151)," ")))</f>
        <v xml:space="preserve"> </v>
      </c>
      <c r="AX151" t="str" cm="1">
        <f t="array" ref="AX151">_xlfn.TEXTJOIN(",",TRUE,(_xlfn._xlws.FILTER($A$2:$A$501,($D$2:$D$501&gt;=AY$7)*($D$2:$D$501&lt;AX$7)*($E$2:$E$501&gt;=$H152)*($E$2:$E$501&lt;$H151)," ")))</f>
        <v xml:space="preserve"> </v>
      </c>
      <c r="AY151" t="str" cm="1">
        <f t="array" ref="AY151">_xlfn.TEXTJOIN(",",TRUE,(_xlfn._xlws.FILTER($A$2:$A$501,($D$2:$D$501&gt;=AZ$7)*($D$2:$D$501&lt;AY$7)*($E$2:$E$501&gt;=$H152)*($E$2:$E$501&lt;$H151)," ")))</f>
        <v xml:space="preserve"> </v>
      </c>
      <c r="AZ151" t="str" cm="1">
        <f t="array" ref="AZ151">_xlfn.TEXTJOIN(",",TRUE,(_xlfn._xlws.FILTER($A$2:$A$501,($D$2:$D$501&gt;=BA$7)*($D$2:$D$501&lt;AZ$7)*($E$2:$E$501&gt;=$H152)*($E$2:$E$501&lt;$H151)," ")))</f>
        <v xml:space="preserve"> </v>
      </c>
      <c r="BA151" t="str" cm="1">
        <f t="array" ref="BA151">_xlfn.TEXTJOIN(",",TRUE,(_xlfn._xlws.FILTER($A$2:$A$501,($D$2:$D$501&gt;=BB$7)*($D$2:$D$501&lt;BA$7)*($E$2:$E$501&gt;=$H152)*($E$2:$E$501&lt;$H151)," ")))</f>
        <v xml:space="preserve"> </v>
      </c>
      <c r="BB151" t="str" cm="1">
        <f t="array" ref="BB151">_xlfn.TEXTJOIN(",",TRUE,(_xlfn._xlws.FILTER($A$2:$A$501,($D$2:$D$501&gt;=BC$7)*($D$2:$D$501&lt;BB$7)*($E$2:$E$501&gt;=$H152)*($E$2:$E$501&lt;$H151)," ")))</f>
        <v xml:space="preserve"> </v>
      </c>
    </row>
    <row r="152" spans="1:54" x14ac:dyDescent="0.2">
      <c r="A152" s="3" t="s">
        <v>484</v>
      </c>
      <c r="B152" s="3" t="s">
        <v>479</v>
      </c>
      <c r="C152" s="13">
        <v>252781.41</v>
      </c>
      <c r="D152" s="15">
        <v>6936299.25</v>
      </c>
      <c r="E152" s="22">
        <f>TuitionRates3[[#This Row],[Tuition]]/D152</f>
        <v>3.6443267640161287E-2</v>
      </c>
      <c r="F152"/>
      <c r="H152" s="18">
        <v>5.9999999999999802E-3</v>
      </c>
      <c r="I152" t="str" cm="1">
        <f t="array" ref="I152">_xlfn.TEXTJOIN(",",TRUE,(_xlfn._xlws.FILTER($A$2:$A$501,($D$2:$D$501&gt;=J$7)*($D$2:$D$501&lt;I$7)*($E$2:$E$501&gt;=$H153)*($E$2:$E$501&lt;$H152)," ")))</f>
        <v xml:space="preserve"> </v>
      </c>
      <c r="J152" t="str" cm="1">
        <f t="array" ref="J152">_xlfn.TEXTJOIN(",",TRUE,(_xlfn._xlws.FILTER($A$2:$A$501,($D$2:$D$501&gt;=K$7)*($D$2:$D$501&lt;J$7)*($E$2:$E$501&gt;=$H153)*($E$2:$E$501&lt;$H152)," ")))</f>
        <v xml:space="preserve"> </v>
      </c>
      <c r="K152" t="str" cm="1">
        <f t="array" ref="K152">_xlfn.TEXTJOIN(",",TRUE,(_xlfn._xlws.FILTER($A$2:$A$501,($D$2:$D$501&gt;=L$7)*($D$2:$D$501&lt;K$7)*($E$2:$E$501&gt;=$H153)*($E$2:$E$501&lt;$H152)," ")))</f>
        <v xml:space="preserve"> </v>
      </c>
      <c r="L152" t="str" cm="1">
        <f t="array" ref="L152">_xlfn.TEXTJOIN(",",TRUE,(_xlfn._xlws.FILTER($A$2:$A$501,($D$2:$D$501&gt;=M$7)*($D$2:$D$501&lt;L$7)*($E$2:$E$501&gt;=$H153)*($E$2:$E$501&lt;$H152)," ")))</f>
        <v xml:space="preserve"> </v>
      </c>
      <c r="M152" t="str" cm="1">
        <f t="array" ref="M152">_xlfn.TEXTJOIN(",",TRUE,(_xlfn._xlws.FILTER($A$2:$A$501,($D$2:$D$501&gt;=N$7)*($D$2:$D$501&lt;M$7)*($E$2:$E$501&gt;=$H153)*($E$2:$E$501&lt;$H152)," ")))</f>
        <v xml:space="preserve"> </v>
      </c>
      <c r="N152" t="str" cm="1">
        <f t="array" ref="N152">_xlfn.TEXTJOIN(",",TRUE,(_xlfn._xlws.FILTER($A$2:$A$501,($D$2:$D$501&gt;=O$7)*($D$2:$D$501&lt;N$7)*($E$2:$E$501&gt;=$H153)*($E$2:$E$501&lt;$H152)," ")))</f>
        <v xml:space="preserve"> </v>
      </c>
      <c r="O152" t="str" cm="1">
        <f t="array" ref="O152">_xlfn.TEXTJOIN(",",TRUE,(_xlfn._xlws.FILTER($A$2:$A$501,($D$2:$D$501&gt;=P$7)*($D$2:$D$501&lt;O$7)*($E$2:$E$501&gt;=$H153)*($E$2:$E$501&lt;$H152)," ")))</f>
        <v xml:space="preserve"> </v>
      </c>
      <c r="P152" t="str" cm="1">
        <f t="array" ref="P152">_xlfn.TEXTJOIN(",",TRUE,(_xlfn._xlws.FILTER($A$2:$A$501,($D$2:$D$501&gt;=Q$7)*($D$2:$D$501&lt;P$7)*($E$2:$E$501&gt;=$H153)*($E$2:$E$501&lt;$H152)," ")))</f>
        <v xml:space="preserve"> </v>
      </c>
      <c r="Q152" t="str" cm="1">
        <f t="array" ref="Q152">_xlfn.TEXTJOIN(",",TRUE,(_xlfn._xlws.FILTER($A$2:$A$501,($D$2:$D$501&gt;=R$7)*($D$2:$D$501&lt;Q$7)*($E$2:$E$501&gt;=$H153)*($E$2:$E$501&lt;$H152)," ")))</f>
        <v xml:space="preserve"> </v>
      </c>
      <c r="R152" t="str" cm="1">
        <f t="array" ref="R152">_xlfn.TEXTJOIN(",",TRUE,(_xlfn._xlws.FILTER($A$2:$A$501,($D$2:$D$501&gt;=S$7)*($D$2:$D$501&lt;R$7)*($E$2:$E$501&gt;=$H153)*($E$2:$E$501&lt;$H152)," ")))</f>
        <v xml:space="preserve"> </v>
      </c>
      <c r="S152" t="str" cm="1">
        <f t="array" ref="S152">_xlfn.TEXTJOIN(",",TRUE,(_xlfn._xlws.FILTER($A$2:$A$501,($D$2:$D$501&gt;=T$7)*($D$2:$D$501&lt;S$7)*($E$2:$E$501&gt;=$H153)*($E$2:$E$501&lt;$H152)," ")))</f>
        <v xml:space="preserve"> </v>
      </c>
      <c r="T152" t="str" cm="1">
        <f t="array" ref="T152">_xlfn.TEXTJOIN(",",TRUE,(_xlfn._xlws.FILTER($A$2:$A$501,($D$2:$D$501&gt;=U$7)*($D$2:$D$501&lt;T$7)*($E$2:$E$501&gt;=$H153)*($E$2:$E$501&lt;$H152)," ")))</f>
        <v xml:space="preserve"> </v>
      </c>
      <c r="U152" t="str" cm="1">
        <f t="array" ref="U152">_xlfn.TEXTJOIN(",",TRUE,(_xlfn._xlws.FILTER($A$2:$A$501,($D$2:$D$501&gt;=V$7)*($D$2:$D$501&lt;U$7)*($E$2:$E$501&gt;=$H153)*($E$2:$E$501&lt;$H152)," ")))</f>
        <v xml:space="preserve"> </v>
      </c>
      <c r="V152" t="str" cm="1">
        <f t="array" ref="V152">_xlfn.TEXTJOIN(",",TRUE,(_xlfn._xlws.FILTER($A$2:$A$501,($D$2:$D$501&gt;=W$7)*($D$2:$D$501&lt;V$7)*($E$2:$E$501&gt;=$H153)*($E$2:$E$501&lt;$H152)," ")))</f>
        <v>Kennett Consolidated SD</v>
      </c>
      <c r="W152" t="str" cm="1">
        <f t="array" ref="W152">_xlfn.TEXTJOIN(",",TRUE,(_xlfn._xlws.FILTER($A$2:$A$501,($D$2:$D$501&gt;=X$7)*($D$2:$D$501&lt;W$7)*($E$2:$E$501&gt;=$H153)*($E$2:$E$501&lt;$H152)," ")))</f>
        <v>Springfield SD</v>
      </c>
      <c r="X152" t="str" cm="1">
        <f t="array" ref="X152">_xlfn.TEXTJOIN(",",TRUE,(_xlfn._xlws.FILTER($A$2:$A$501,($D$2:$D$501&gt;=Y$7)*($D$2:$D$501&lt;X$7)*($E$2:$E$501&gt;=$H153)*($E$2:$E$501&lt;$H152)," ")))</f>
        <v xml:space="preserve"> </v>
      </c>
      <c r="Y152" t="str" cm="1">
        <f t="array" ref="Y152">_xlfn.TEXTJOIN(",",TRUE,(_xlfn._xlws.FILTER($A$2:$A$501,($D$2:$D$501&gt;=Z$7)*($D$2:$D$501&lt;Y$7)*($E$2:$E$501&gt;=$H153)*($E$2:$E$501&lt;$H152)," ")))</f>
        <v xml:space="preserve"> </v>
      </c>
      <c r="Z152" t="str" cm="1">
        <f t="array" ref="Z152">_xlfn.TEXTJOIN(",",TRUE,(_xlfn._xlws.FILTER($A$2:$A$501,($D$2:$D$501&gt;=AA$7)*($D$2:$D$501&lt;Z$7)*($E$2:$E$501&gt;=$H153)*($E$2:$E$501&lt;$H152)," ")))</f>
        <v xml:space="preserve"> </v>
      </c>
      <c r="AA152" t="str" cm="1">
        <f t="array" ref="AA152">_xlfn.TEXTJOIN(",",TRUE,(_xlfn._xlws.FILTER($A$2:$A$501,($D$2:$D$501&gt;=AB$7)*($D$2:$D$501&lt;AA$7)*($E$2:$E$501&gt;=$H153)*($E$2:$E$501&lt;$H152)," ")))</f>
        <v xml:space="preserve"> </v>
      </c>
      <c r="AB152" t="str" cm="1">
        <f t="array" ref="AB152">_xlfn.TEXTJOIN(",",TRUE,(_xlfn._xlws.FILTER($A$2:$A$501,($D$2:$D$501&gt;=AC$7)*($D$2:$D$501&lt;AB$7)*($E$2:$E$501&gt;=$H153)*($E$2:$E$501&lt;$H152)," ")))</f>
        <v xml:space="preserve"> </v>
      </c>
      <c r="AC152" t="str" cm="1">
        <f t="array" ref="AC152">_xlfn.TEXTJOIN(",",TRUE,(_xlfn._xlws.FILTER($A$2:$A$501,($D$2:$D$501&gt;=AD$7)*($D$2:$D$501&lt;AC$7)*($E$2:$E$501&gt;=$H153)*($E$2:$E$501&lt;$H152)," ")))</f>
        <v>South Side Area SD</v>
      </c>
      <c r="AD152" t="str" cm="1">
        <f t="array" ref="AD152">_xlfn.TEXTJOIN(",",TRUE,(_xlfn._xlws.FILTER($A$2:$A$501,($D$2:$D$501&gt;=AE$7)*($D$2:$D$501&lt;AD$7)*($E$2:$E$501&gt;=$H153)*($E$2:$E$501&lt;$H152)," ")))</f>
        <v xml:space="preserve"> </v>
      </c>
      <c r="AE152" t="str" cm="1">
        <f t="array" ref="AE152">_xlfn.TEXTJOIN(",",TRUE,(_xlfn._xlws.FILTER($A$2:$A$501,($D$2:$D$501&gt;=AF$7)*($D$2:$D$501&lt;AE$7)*($E$2:$E$501&gt;=$H153)*($E$2:$E$501&lt;$H152)," ")))</f>
        <v xml:space="preserve"> </v>
      </c>
      <c r="AF152" t="str" cm="1">
        <f t="array" ref="AF152">_xlfn.TEXTJOIN(",",TRUE,(_xlfn._xlws.FILTER($A$2:$A$501,($D$2:$D$501&gt;=AG$7)*($D$2:$D$501&lt;AF$7)*($E$2:$E$501&gt;=$H153)*($E$2:$E$501&lt;$H152)," ")))</f>
        <v xml:space="preserve"> </v>
      </c>
      <c r="AG152" t="str" cm="1">
        <f t="array" ref="AG152">_xlfn.TEXTJOIN(",",TRUE,(_xlfn._xlws.FILTER($A$2:$A$501,($D$2:$D$501&gt;=AH$7)*($D$2:$D$501&lt;AG$7)*($E$2:$E$501&gt;=$H153)*($E$2:$E$501&lt;$H152)," ")))</f>
        <v xml:space="preserve"> </v>
      </c>
      <c r="AH152" t="str" cm="1">
        <f t="array" ref="AH152">_xlfn.TEXTJOIN(",",TRUE,(_xlfn._xlws.FILTER($A$2:$A$501,($D$2:$D$501&gt;=AI$7)*($D$2:$D$501&lt;AH$7)*($E$2:$E$501&gt;=$H153)*($E$2:$E$501&lt;$H152)," ")))</f>
        <v xml:space="preserve"> </v>
      </c>
      <c r="AI152" t="str" cm="1">
        <f t="array" ref="AI152">_xlfn.TEXTJOIN(",",TRUE,(_xlfn._xlws.FILTER($A$2:$A$501,($D$2:$D$501&gt;=AJ$7)*($D$2:$D$501&lt;AI$7)*($E$2:$E$501&gt;=$H153)*($E$2:$E$501&lt;$H152)," ")))</f>
        <v xml:space="preserve"> </v>
      </c>
      <c r="AJ152" t="str" cm="1">
        <f t="array" ref="AJ152">_xlfn.TEXTJOIN(",",TRUE,(_xlfn._xlws.FILTER($A$2:$A$501,($D$2:$D$501&gt;=AK$7)*($D$2:$D$501&lt;AJ$7)*($E$2:$E$501&gt;=$H153)*($E$2:$E$501&lt;$H152)," ")))</f>
        <v xml:space="preserve"> </v>
      </c>
      <c r="AK152" t="str" cm="1">
        <f t="array" ref="AK152">_xlfn.TEXTJOIN(",",TRUE,(_xlfn._xlws.FILTER($A$2:$A$501,($D$2:$D$501&gt;=AL$7)*($D$2:$D$501&lt;AK$7)*($E$2:$E$501&gt;=$H153)*($E$2:$E$501&lt;$H152)," ")))</f>
        <v xml:space="preserve"> </v>
      </c>
      <c r="AL152" t="str" cm="1">
        <f t="array" ref="AL152">_xlfn.TEXTJOIN(",",TRUE,(_xlfn._xlws.FILTER($A$2:$A$501,($D$2:$D$501&gt;=AM$7)*($D$2:$D$501&lt;AL$7)*($E$2:$E$501&gt;=$H153)*($E$2:$E$501&lt;$H152)," ")))</f>
        <v xml:space="preserve"> </v>
      </c>
      <c r="AM152" t="str" cm="1">
        <f t="array" ref="AM152">_xlfn.TEXTJOIN(",",TRUE,(_xlfn._xlws.FILTER($A$2:$A$501,($D$2:$D$501&gt;=AN$7)*($D$2:$D$501&lt;AM$7)*($E$2:$E$501&gt;=$H153)*($E$2:$E$501&lt;$H152)," ")))</f>
        <v xml:space="preserve"> </v>
      </c>
      <c r="AN152" t="str" cm="1">
        <f t="array" ref="AN152">_xlfn.TEXTJOIN(",",TRUE,(_xlfn._xlws.FILTER($A$2:$A$501,($D$2:$D$501&gt;=AO$7)*($D$2:$D$501&lt;AN$7)*($E$2:$E$501&gt;=$H153)*($E$2:$E$501&lt;$H152)," ")))</f>
        <v xml:space="preserve"> </v>
      </c>
      <c r="AO152" t="str" cm="1">
        <f t="array" ref="AO152">_xlfn.TEXTJOIN(",",TRUE,(_xlfn._xlws.FILTER($A$2:$A$501,($D$2:$D$501&gt;=AP$7)*($D$2:$D$501&lt;AO$7)*($E$2:$E$501&gt;=$H153)*($E$2:$E$501&lt;$H152)," ")))</f>
        <v xml:space="preserve"> </v>
      </c>
      <c r="AP152" t="str" cm="1">
        <f t="array" ref="AP152">_xlfn.TEXTJOIN(",",TRUE,(_xlfn._xlws.FILTER($A$2:$A$501,($D$2:$D$501&gt;=AQ$7)*($D$2:$D$501&lt;AP$7)*($E$2:$E$501&gt;=$H153)*($E$2:$E$501&lt;$H152)," ")))</f>
        <v xml:space="preserve"> </v>
      </c>
      <c r="AQ152" t="str" cm="1">
        <f t="array" ref="AQ152">_xlfn.TEXTJOIN(",",TRUE,(_xlfn._xlws.FILTER($A$2:$A$501,($D$2:$D$501&gt;=AR$7)*($D$2:$D$501&lt;AQ$7)*($E$2:$E$501&gt;=$H153)*($E$2:$E$501&lt;$H152)," ")))</f>
        <v xml:space="preserve"> </v>
      </c>
      <c r="AR152" t="str" cm="1">
        <f t="array" ref="AR152">_xlfn.TEXTJOIN(",",TRUE,(_xlfn._xlws.FILTER($A$2:$A$501,($D$2:$D$501&gt;=AS$7)*($D$2:$D$501&lt;AR$7)*($E$2:$E$501&gt;=$H153)*($E$2:$E$501&lt;$H152)," ")))</f>
        <v xml:space="preserve"> </v>
      </c>
      <c r="AS152" t="str" cm="1">
        <f t="array" ref="AS152">_xlfn.TEXTJOIN(",",TRUE,(_xlfn._xlws.FILTER($A$2:$A$501,($D$2:$D$501&gt;=AT$7)*($D$2:$D$501&lt;AS$7)*($E$2:$E$501&gt;=$H153)*($E$2:$E$501&lt;$H152)," ")))</f>
        <v xml:space="preserve"> </v>
      </c>
      <c r="AT152" t="str" cm="1">
        <f t="array" ref="AT152">_xlfn.TEXTJOIN(",",TRUE,(_xlfn._xlws.FILTER($A$2:$A$501,($D$2:$D$501&gt;=AU$7)*($D$2:$D$501&lt;AT$7)*($E$2:$E$501&gt;=$H153)*($E$2:$E$501&lt;$H152)," ")))</f>
        <v xml:space="preserve"> </v>
      </c>
      <c r="AU152" t="str" cm="1">
        <f t="array" ref="AU152">_xlfn.TEXTJOIN(",",TRUE,(_xlfn._xlws.FILTER($A$2:$A$501,($D$2:$D$501&gt;=AV$7)*($D$2:$D$501&lt;AU$7)*($E$2:$E$501&gt;=$H153)*($E$2:$E$501&lt;$H152)," ")))</f>
        <v xml:space="preserve"> </v>
      </c>
      <c r="AV152" t="str" cm="1">
        <f t="array" ref="AV152">_xlfn.TEXTJOIN(",",TRUE,(_xlfn._xlws.FILTER($A$2:$A$501,($D$2:$D$501&gt;=AW$7)*($D$2:$D$501&lt;AV$7)*($E$2:$E$501&gt;=$H153)*($E$2:$E$501&lt;$H152)," ")))</f>
        <v xml:space="preserve"> </v>
      </c>
      <c r="AW152" t="str" cm="1">
        <f t="array" ref="AW152">_xlfn.TEXTJOIN(",",TRUE,(_xlfn._xlws.FILTER($A$2:$A$501,($D$2:$D$501&gt;=AX$7)*($D$2:$D$501&lt;AW$7)*($E$2:$E$501&gt;=$H153)*($E$2:$E$501&lt;$H152)," ")))</f>
        <v xml:space="preserve"> </v>
      </c>
      <c r="AX152" t="str" cm="1">
        <f t="array" ref="AX152">_xlfn.TEXTJOIN(",",TRUE,(_xlfn._xlws.FILTER($A$2:$A$501,($D$2:$D$501&gt;=AY$7)*($D$2:$D$501&lt;AX$7)*($E$2:$E$501&gt;=$H153)*($E$2:$E$501&lt;$H152)," ")))</f>
        <v xml:space="preserve"> </v>
      </c>
      <c r="AY152" t="str" cm="1">
        <f t="array" ref="AY152">_xlfn.TEXTJOIN(",",TRUE,(_xlfn._xlws.FILTER($A$2:$A$501,($D$2:$D$501&gt;=AZ$7)*($D$2:$D$501&lt;AY$7)*($E$2:$E$501&gt;=$H153)*($E$2:$E$501&lt;$H152)," ")))</f>
        <v xml:space="preserve"> </v>
      </c>
      <c r="AZ152" t="str" cm="1">
        <f t="array" ref="AZ152">_xlfn.TEXTJOIN(",",TRUE,(_xlfn._xlws.FILTER($A$2:$A$501,($D$2:$D$501&gt;=BA$7)*($D$2:$D$501&lt;AZ$7)*($E$2:$E$501&gt;=$H153)*($E$2:$E$501&lt;$H152)," ")))</f>
        <v xml:space="preserve"> </v>
      </c>
      <c r="BA152" t="str" cm="1">
        <f t="array" ref="BA152">_xlfn.TEXTJOIN(",",TRUE,(_xlfn._xlws.FILTER($A$2:$A$501,($D$2:$D$501&gt;=BB$7)*($D$2:$D$501&lt;BA$7)*($E$2:$E$501&gt;=$H153)*($E$2:$E$501&lt;$H152)," ")))</f>
        <v xml:space="preserve"> </v>
      </c>
      <c r="BB152" t="str" cm="1">
        <f t="array" ref="BB152">_xlfn.TEXTJOIN(",",TRUE,(_xlfn._xlws.FILTER($A$2:$A$501,($D$2:$D$501&gt;=BC$7)*($D$2:$D$501&lt;BB$7)*($E$2:$E$501&gt;=$H153)*($E$2:$E$501&lt;$H152)," ")))</f>
        <v xml:space="preserve"> </v>
      </c>
    </row>
    <row r="153" spans="1:54" x14ac:dyDescent="0.2">
      <c r="A153" s="3" t="s">
        <v>548</v>
      </c>
      <c r="B153" s="3" t="s">
        <v>533</v>
      </c>
      <c r="C153" s="13">
        <v>1258546.53</v>
      </c>
      <c r="D153" s="15">
        <v>34544873.020000003</v>
      </c>
      <c r="E153" s="22">
        <f>TuitionRates3[[#This Row],[Tuition]]/D153</f>
        <v>3.6432223365573106E-2</v>
      </c>
      <c r="F153"/>
      <c r="H153" s="18">
        <v>5.0000000000000001E-3</v>
      </c>
      <c r="I153" t="str" cm="1">
        <f t="array" ref="I153">_xlfn.TEXTJOIN(",",TRUE,(_xlfn._xlws.FILTER($A$2:$A$501,($D$2:$D$501&gt;=J$7)*($D$2:$D$501&lt;I$7)*($E$2:$E$501&gt;=$H154)*($E$2:$E$501&lt;$H153)," ")))</f>
        <v xml:space="preserve"> </v>
      </c>
      <c r="J153" t="str" cm="1">
        <f t="array" ref="J153">_xlfn.TEXTJOIN(",",TRUE,(_xlfn._xlws.FILTER($A$2:$A$501,($D$2:$D$501&gt;=K$7)*($D$2:$D$501&lt;J$7)*($E$2:$E$501&gt;=$H154)*($E$2:$E$501&lt;$H153)," ")))</f>
        <v xml:space="preserve"> </v>
      </c>
      <c r="K153" t="str" cm="1">
        <f t="array" ref="K153">_xlfn.TEXTJOIN(",",TRUE,(_xlfn._xlws.FILTER($A$2:$A$501,($D$2:$D$501&gt;=L$7)*($D$2:$D$501&lt;K$7)*($E$2:$E$501&gt;=$H154)*($E$2:$E$501&lt;$H153)," ")))</f>
        <v xml:space="preserve"> </v>
      </c>
      <c r="L153" t="str" cm="1">
        <f t="array" ref="L153">_xlfn.TEXTJOIN(",",TRUE,(_xlfn._xlws.FILTER($A$2:$A$501,($D$2:$D$501&gt;=M$7)*($D$2:$D$501&lt;L$7)*($E$2:$E$501&gt;=$H154)*($E$2:$E$501&lt;$H153)," ")))</f>
        <v xml:space="preserve"> </v>
      </c>
      <c r="M153" t="str" cm="1">
        <f t="array" ref="M153">_xlfn.TEXTJOIN(",",TRUE,(_xlfn._xlws.FILTER($A$2:$A$501,($D$2:$D$501&gt;=N$7)*($D$2:$D$501&lt;M$7)*($E$2:$E$501&gt;=$H154)*($E$2:$E$501&lt;$H153)," ")))</f>
        <v xml:space="preserve"> </v>
      </c>
      <c r="N153" t="str" cm="1">
        <f t="array" ref="N153">_xlfn.TEXTJOIN(",",TRUE,(_xlfn._xlws.FILTER($A$2:$A$501,($D$2:$D$501&gt;=O$7)*($D$2:$D$501&lt;N$7)*($E$2:$E$501&gt;=$H154)*($E$2:$E$501&lt;$H153)," ")))</f>
        <v xml:space="preserve"> </v>
      </c>
      <c r="O153" t="str" cm="1">
        <f t="array" ref="O153">_xlfn.TEXTJOIN(",",TRUE,(_xlfn._xlws.FILTER($A$2:$A$501,($D$2:$D$501&gt;=P$7)*($D$2:$D$501&lt;O$7)*($E$2:$E$501&gt;=$H154)*($E$2:$E$501&lt;$H153)," ")))</f>
        <v xml:space="preserve"> </v>
      </c>
      <c r="P153" t="str" cm="1">
        <f t="array" ref="P153">_xlfn.TEXTJOIN(",",TRUE,(_xlfn._xlws.FILTER($A$2:$A$501,($D$2:$D$501&gt;=Q$7)*($D$2:$D$501&lt;P$7)*($E$2:$E$501&gt;=$H154)*($E$2:$E$501&lt;$H153)," ")))</f>
        <v xml:space="preserve"> </v>
      </c>
      <c r="Q153" t="str" cm="1">
        <f t="array" ref="Q153">_xlfn.TEXTJOIN(",",TRUE,(_xlfn._xlws.FILTER($A$2:$A$501,($D$2:$D$501&gt;=R$7)*($D$2:$D$501&lt;Q$7)*($E$2:$E$501&gt;=$H154)*($E$2:$E$501&lt;$H153)," ")))</f>
        <v xml:space="preserve"> </v>
      </c>
      <c r="R153" t="str" cm="1">
        <f t="array" ref="R153">_xlfn.TEXTJOIN(",",TRUE,(_xlfn._xlws.FILTER($A$2:$A$501,($D$2:$D$501&gt;=S$7)*($D$2:$D$501&lt;R$7)*($E$2:$E$501&gt;=$H154)*($E$2:$E$501&lt;$H153)," ")))</f>
        <v xml:space="preserve"> </v>
      </c>
      <c r="S153" t="str" cm="1">
        <f t="array" ref="S153">_xlfn.TEXTJOIN(",",TRUE,(_xlfn._xlws.FILTER($A$2:$A$501,($D$2:$D$501&gt;=T$7)*($D$2:$D$501&lt;S$7)*($E$2:$E$501&gt;=$H154)*($E$2:$E$501&lt;$H153)," ")))</f>
        <v>Lower Merion SD</v>
      </c>
      <c r="T153" t="str" cm="1">
        <f t="array" ref="T153">_xlfn.TEXTJOIN(",",TRUE,(_xlfn._xlws.FILTER($A$2:$A$501,($D$2:$D$501&gt;=U$7)*($D$2:$D$501&lt;T$7)*($E$2:$E$501&gt;=$H154)*($E$2:$E$501&lt;$H153)," ")))</f>
        <v xml:space="preserve"> </v>
      </c>
      <c r="U153" t="str" cm="1">
        <f t="array" ref="U153">_xlfn.TEXTJOIN(",",TRUE,(_xlfn._xlws.FILTER($A$2:$A$501,($D$2:$D$501&gt;=V$7)*($D$2:$D$501&lt;U$7)*($E$2:$E$501&gt;=$H154)*($E$2:$E$501&lt;$H153)," ")))</f>
        <v>Mt Lebanon SD,Garnet Valley SD</v>
      </c>
      <c r="V153" t="str" cm="1">
        <f t="array" ref="V153">_xlfn.TEXTJOIN(",",TRUE,(_xlfn._xlws.FILTER($A$2:$A$501,($D$2:$D$501&gt;=W$7)*($D$2:$D$501&lt;V$7)*($E$2:$E$501&gt;=$H154)*($E$2:$E$501&lt;$H153)," ")))</f>
        <v xml:space="preserve"> </v>
      </c>
      <c r="W153" t="str" cm="1">
        <f t="array" ref="W153">_xlfn.TEXTJOIN(",",TRUE,(_xlfn._xlws.FILTER($A$2:$A$501,($D$2:$D$501&gt;=X$7)*($D$2:$D$501&lt;W$7)*($E$2:$E$501&gt;=$H154)*($E$2:$E$501&lt;$H153)," ")))</f>
        <v xml:space="preserve"> </v>
      </c>
      <c r="X153" t="str" cm="1">
        <f t="array" ref="X153">_xlfn.TEXTJOIN(",",TRUE,(_xlfn._xlws.FILTER($A$2:$A$501,($D$2:$D$501&gt;=Y$7)*($D$2:$D$501&lt;X$7)*($E$2:$E$501&gt;=$H154)*($E$2:$E$501&lt;$H153)," ")))</f>
        <v xml:space="preserve"> </v>
      </c>
      <c r="Y153" t="str" cm="1">
        <f t="array" ref="Y153">_xlfn.TEXTJOIN(",",TRUE,(_xlfn._xlws.FILTER($A$2:$A$501,($D$2:$D$501&gt;=Z$7)*($D$2:$D$501&lt;Y$7)*($E$2:$E$501&gt;=$H154)*($E$2:$E$501&lt;$H153)," ")))</f>
        <v xml:space="preserve"> </v>
      </c>
      <c r="Z153" t="str" cm="1">
        <f t="array" ref="Z153">_xlfn.TEXTJOIN(",",TRUE,(_xlfn._xlws.FILTER($A$2:$A$501,($D$2:$D$501&gt;=AA$7)*($D$2:$D$501&lt;Z$7)*($E$2:$E$501&gt;=$H154)*($E$2:$E$501&lt;$H153)," ")))</f>
        <v>Lower Moreland Township SD</v>
      </c>
      <c r="AA153" t="str" cm="1">
        <f t="array" ref="AA153">_xlfn.TEXTJOIN(",",TRUE,(_xlfn._xlws.FILTER($A$2:$A$501,($D$2:$D$501&gt;=AB$7)*($D$2:$D$501&lt;AA$7)*($E$2:$E$501&gt;=$H154)*($E$2:$E$501&lt;$H153)," ")))</f>
        <v>New Hope-Solebury SD</v>
      </c>
      <c r="AB153" t="str" cm="1">
        <f t="array" ref="AB153">_xlfn.TEXTJOIN(",",TRUE,(_xlfn._xlws.FILTER($A$2:$A$501,($D$2:$D$501&gt;=AC$7)*($D$2:$D$501&lt;AB$7)*($E$2:$E$501&gt;=$H154)*($E$2:$E$501&lt;$H153)," ")))</f>
        <v xml:space="preserve"> </v>
      </c>
      <c r="AC153" t="str" cm="1">
        <f t="array" ref="AC153">_xlfn.TEXTJOIN(",",TRUE,(_xlfn._xlws.FILTER($A$2:$A$501,($D$2:$D$501&gt;=AD$7)*($D$2:$D$501&lt;AC$7)*($E$2:$E$501&gt;=$H154)*($E$2:$E$501&lt;$H153)," ")))</f>
        <v xml:space="preserve"> </v>
      </c>
      <c r="AD153" t="str" cm="1">
        <f t="array" ref="AD153">_xlfn.TEXTJOIN(",",TRUE,(_xlfn._xlws.FILTER($A$2:$A$501,($D$2:$D$501&gt;=AE$7)*($D$2:$D$501&lt;AD$7)*($E$2:$E$501&gt;=$H154)*($E$2:$E$501&lt;$H153)," ")))</f>
        <v xml:space="preserve"> </v>
      </c>
      <c r="AE153" t="str" cm="1">
        <f t="array" ref="AE153">_xlfn.TEXTJOIN(",",TRUE,(_xlfn._xlws.FILTER($A$2:$A$501,($D$2:$D$501&gt;=AF$7)*($D$2:$D$501&lt;AE$7)*($E$2:$E$501&gt;=$H154)*($E$2:$E$501&lt;$H153)," ")))</f>
        <v xml:space="preserve"> </v>
      </c>
      <c r="AF153" t="str" cm="1">
        <f t="array" ref="AF153">_xlfn.TEXTJOIN(",",TRUE,(_xlfn._xlws.FILTER($A$2:$A$501,($D$2:$D$501&gt;=AG$7)*($D$2:$D$501&lt;AF$7)*($E$2:$E$501&gt;=$H154)*($E$2:$E$501&lt;$H153)," ")))</f>
        <v xml:space="preserve"> </v>
      </c>
      <c r="AG153" t="str" cm="1">
        <f t="array" ref="AG153">_xlfn.TEXTJOIN(",",TRUE,(_xlfn._xlws.FILTER($A$2:$A$501,($D$2:$D$501&gt;=AH$7)*($D$2:$D$501&lt;AG$7)*($E$2:$E$501&gt;=$H154)*($E$2:$E$501&lt;$H153)," ")))</f>
        <v xml:space="preserve"> </v>
      </c>
      <c r="AH153" t="str" cm="1">
        <f t="array" ref="AH153">_xlfn.TEXTJOIN(",",TRUE,(_xlfn._xlws.FILTER($A$2:$A$501,($D$2:$D$501&gt;=AI$7)*($D$2:$D$501&lt;AH$7)*($E$2:$E$501&gt;=$H154)*($E$2:$E$501&lt;$H153)," ")))</f>
        <v xml:space="preserve"> </v>
      </c>
      <c r="AI153" t="str" cm="1">
        <f t="array" ref="AI153">_xlfn.TEXTJOIN(",",TRUE,(_xlfn._xlws.FILTER($A$2:$A$501,($D$2:$D$501&gt;=AJ$7)*($D$2:$D$501&lt;AI$7)*($E$2:$E$501&gt;=$H154)*($E$2:$E$501&lt;$H153)," ")))</f>
        <v xml:space="preserve"> </v>
      </c>
      <c r="AJ153" t="str" cm="1">
        <f t="array" ref="AJ153">_xlfn.TEXTJOIN(",",TRUE,(_xlfn._xlws.FILTER($A$2:$A$501,($D$2:$D$501&gt;=AK$7)*($D$2:$D$501&lt;AJ$7)*($E$2:$E$501&gt;=$H154)*($E$2:$E$501&lt;$H153)," ")))</f>
        <v xml:space="preserve"> </v>
      </c>
      <c r="AK153" t="str" cm="1">
        <f t="array" ref="AK153">_xlfn.TEXTJOIN(",",TRUE,(_xlfn._xlws.FILTER($A$2:$A$501,($D$2:$D$501&gt;=AL$7)*($D$2:$D$501&lt;AK$7)*($E$2:$E$501&gt;=$H154)*($E$2:$E$501&lt;$H153)," ")))</f>
        <v xml:space="preserve"> </v>
      </c>
      <c r="AL153" t="str" cm="1">
        <f t="array" ref="AL153">_xlfn.TEXTJOIN(",",TRUE,(_xlfn._xlws.FILTER($A$2:$A$501,($D$2:$D$501&gt;=AM$7)*($D$2:$D$501&lt;AL$7)*($E$2:$E$501&gt;=$H154)*($E$2:$E$501&lt;$H153)," ")))</f>
        <v xml:space="preserve"> </v>
      </c>
      <c r="AM153" t="str" cm="1">
        <f t="array" ref="AM153">_xlfn.TEXTJOIN(",",TRUE,(_xlfn._xlws.FILTER($A$2:$A$501,($D$2:$D$501&gt;=AN$7)*($D$2:$D$501&lt;AM$7)*($E$2:$E$501&gt;=$H154)*($E$2:$E$501&lt;$H153)," ")))</f>
        <v xml:space="preserve"> </v>
      </c>
      <c r="AN153" t="str" cm="1">
        <f t="array" ref="AN153">_xlfn.TEXTJOIN(",",TRUE,(_xlfn._xlws.FILTER($A$2:$A$501,($D$2:$D$501&gt;=AO$7)*($D$2:$D$501&lt;AN$7)*($E$2:$E$501&gt;=$H154)*($E$2:$E$501&lt;$H153)," ")))</f>
        <v xml:space="preserve"> </v>
      </c>
      <c r="AO153" t="str" cm="1">
        <f t="array" ref="AO153">_xlfn.TEXTJOIN(",",TRUE,(_xlfn._xlws.FILTER($A$2:$A$501,($D$2:$D$501&gt;=AP$7)*($D$2:$D$501&lt;AO$7)*($E$2:$E$501&gt;=$H154)*($E$2:$E$501&lt;$H153)," ")))</f>
        <v xml:space="preserve"> </v>
      </c>
      <c r="AP153" t="str" cm="1">
        <f t="array" ref="AP153">_xlfn.TEXTJOIN(",",TRUE,(_xlfn._xlws.FILTER($A$2:$A$501,($D$2:$D$501&gt;=AQ$7)*($D$2:$D$501&lt;AP$7)*($E$2:$E$501&gt;=$H154)*($E$2:$E$501&lt;$H153)," ")))</f>
        <v xml:space="preserve"> </v>
      </c>
      <c r="AQ153" t="str" cm="1">
        <f t="array" ref="AQ153">_xlfn.TEXTJOIN(",",TRUE,(_xlfn._xlws.FILTER($A$2:$A$501,($D$2:$D$501&gt;=AR$7)*($D$2:$D$501&lt;AQ$7)*($E$2:$E$501&gt;=$H154)*($E$2:$E$501&lt;$H153)," ")))</f>
        <v xml:space="preserve"> </v>
      </c>
      <c r="AR153" t="str" cm="1">
        <f t="array" ref="AR153">_xlfn.TEXTJOIN(",",TRUE,(_xlfn._xlws.FILTER($A$2:$A$501,($D$2:$D$501&gt;=AS$7)*($D$2:$D$501&lt;AR$7)*($E$2:$E$501&gt;=$H154)*($E$2:$E$501&lt;$H153)," ")))</f>
        <v xml:space="preserve"> </v>
      </c>
      <c r="AS153" t="str" cm="1">
        <f t="array" ref="AS153">_xlfn.TEXTJOIN(",",TRUE,(_xlfn._xlws.FILTER($A$2:$A$501,($D$2:$D$501&gt;=AT$7)*($D$2:$D$501&lt;AS$7)*($E$2:$E$501&gt;=$H154)*($E$2:$E$501&lt;$H153)," ")))</f>
        <v xml:space="preserve"> </v>
      </c>
      <c r="AT153" t="str" cm="1">
        <f t="array" ref="AT153">_xlfn.TEXTJOIN(",",TRUE,(_xlfn._xlws.FILTER($A$2:$A$501,($D$2:$D$501&gt;=AU$7)*($D$2:$D$501&lt;AT$7)*($E$2:$E$501&gt;=$H154)*($E$2:$E$501&lt;$H153)," ")))</f>
        <v xml:space="preserve"> </v>
      </c>
      <c r="AU153" t="str" cm="1">
        <f t="array" ref="AU153">_xlfn.TEXTJOIN(",",TRUE,(_xlfn._xlws.FILTER($A$2:$A$501,($D$2:$D$501&gt;=AV$7)*($D$2:$D$501&lt;AU$7)*($E$2:$E$501&gt;=$H154)*($E$2:$E$501&lt;$H153)," ")))</f>
        <v xml:space="preserve"> </v>
      </c>
      <c r="AV153" t="str" cm="1">
        <f t="array" ref="AV153">_xlfn.TEXTJOIN(",",TRUE,(_xlfn._xlws.FILTER($A$2:$A$501,($D$2:$D$501&gt;=AW$7)*($D$2:$D$501&lt;AV$7)*($E$2:$E$501&gt;=$H154)*($E$2:$E$501&lt;$H153)," ")))</f>
        <v xml:space="preserve"> </v>
      </c>
      <c r="AW153" t="str" cm="1">
        <f t="array" ref="AW153">_xlfn.TEXTJOIN(",",TRUE,(_xlfn._xlws.FILTER($A$2:$A$501,($D$2:$D$501&gt;=AX$7)*($D$2:$D$501&lt;AW$7)*($E$2:$E$501&gt;=$H154)*($E$2:$E$501&lt;$H153)," ")))</f>
        <v xml:space="preserve"> </v>
      </c>
      <c r="AX153" t="str" cm="1">
        <f t="array" ref="AX153">_xlfn.TEXTJOIN(",",TRUE,(_xlfn._xlws.FILTER($A$2:$A$501,($D$2:$D$501&gt;=AY$7)*($D$2:$D$501&lt;AX$7)*($E$2:$E$501&gt;=$H154)*($E$2:$E$501&lt;$H153)," ")))</f>
        <v xml:space="preserve"> </v>
      </c>
      <c r="AY153" t="str" cm="1">
        <f t="array" ref="AY153">_xlfn.TEXTJOIN(",",TRUE,(_xlfn._xlws.FILTER($A$2:$A$501,($D$2:$D$501&gt;=AZ$7)*($D$2:$D$501&lt;AY$7)*($E$2:$E$501&gt;=$H154)*($E$2:$E$501&lt;$H153)," ")))</f>
        <v xml:space="preserve"> </v>
      </c>
      <c r="AZ153" t="str" cm="1">
        <f t="array" ref="AZ153">_xlfn.TEXTJOIN(",",TRUE,(_xlfn._xlws.FILTER($A$2:$A$501,($D$2:$D$501&gt;=BA$7)*($D$2:$D$501&lt;AZ$7)*($E$2:$E$501&gt;=$H154)*($E$2:$E$501&lt;$H153)," ")))</f>
        <v xml:space="preserve"> </v>
      </c>
      <c r="BA153" t="str" cm="1">
        <f t="array" ref="BA153">_xlfn.TEXTJOIN(",",TRUE,(_xlfn._xlws.FILTER($A$2:$A$501,($D$2:$D$501&gt;=BB$7)*($D$2:$D$501&lt;BA$7)*($E$2:$E$501&gt;=$H154)*($E$2:$E$501&lt;$H153)," ")))</f>
        <v xml:space="preserve"> </v>
      </c>
      <c r="BB153" t="str" cm="1">
        <f t="array" ref="BB153">_xlfn.TEXTJOIN(",",TRUE,(_xlfn._xlws.FILTER($A$2:$A$501,($D$2:$D$501&gt;=BC$7)*($D$2:$D$501&lt;BB$7)*($E$2:$E$501&gt;=$H154)*($E$2:$E$501&lt;$H153)," ")))</f>
        <v xml:space="preserve"> </v>
      </c>
    </row>
    <row r="154" spans="1:54" x14ac:dyDescent="0.2">
      <c r="A154" s="3" t="s">
        <v>269</v>
      </c>
      <c r="B154" s="3" t="s">
        <v>270</v>
      </c>
      <c r="C154" s="13">
        <v>6356804</v>
      </c>
      <c r="D154" s="15">
        <v>174504700</v>
      </c>
      <c r="E154" s="22">
        <f>TuitionRates3[[#This Row],[Tuition]]/D154</f>
        <v>3.6427695070677182E-2</v>
      </c>
      <c r="F154"/>
      <c r="H154" s="18">
        <v>4.0000000000000001E-3</v>
      </c>
      <c r="I154" t="str" cm="1">
        <f t="array" ref="I154">_xlfn.TEXTJOIN(",",TRUE,(_xlfn._xlws.FILTER($A$2:$A$501,($D$2:$D$501&gt;=J$7)*($D$2:$D$501&lt;I$7)*($E$2:$E$501&gt;=$H155)*($E$2:$E$501&lt;$H154)," ")))</f>
        <v xml:space="preserve"> </v>
      </c>
      <c r="J154" t="str" cm="1">
        <f t="array" ref="J154">_xlfn.TEXTJOIN(",",TRUE,(_xlfn._xlws.FILTER($A$2:$A$501,($D$2:$D$501&gt;=K$7)*($D$2:$D$501&lt;J$7)*($E$2:$E$501&gt;=$H155)*($E$2:$E$501&lt;$H154)," ")))</f>
        <v xml:space="preserve"> </v>
      </c>
      <c r="K154" t="str" cm="1">
        <f t="array" ref="K154">_xlfn.TEXTJOIN(",",TRUE,(_xlfn._xlws.FILTER($A$2:$A$501,($D$2:$D$501&gt;=L$7)*($D$2:$D$501&lt;K$7)*($E$2:$E$501&gt;=$H155)*($E$2:$E$501&lt;$H154)," ")))</f>
        <v xml:space="preserve"> </v>
      </c>
      <c r="L154" t="str" cm="1">
        <f t="array" ref="L154">_xlfn.TEXTJOIN(",",TRUE,(_xlfn._xlws.FILTER($A$2:$A$501,($D$2:$D$501&gt;=M$7)*($D$2:$D$501&lt;L$7)*($E$2:$E$501&gt;=$H155)*($E$2:$E$501&lt;$H154)," ")))</f>
        <v xml:space="preserve"> </v>
      </c>
      <c r="M154" t="str" cm="1">
        <f t="array" ref="M154">_xlfn.TEXTJOIN(",",TRUE,(_xlfn._xlws.FILTER($A$2:$A$501,($D$2:$D$501&gt;=N$7)*($D$2:$D$501&lt;M$7)*($E$2:$E$501&gt;=$H155)*($E$2:$E$501&lt;$H154)," ")))</f>
        <v xml:space="preserve"> </v>
      </c>
      <c r="N154" t="str" cm="1">
        <f t="array" ref="N154">_xlfn.TEXTJOIN(",",TRUE,(_xlfn._xlws.FILTER($A$2:$A$501,($D$2:$D$501&gt;=O$7)*($D$2:$D$501&lt;N$7)*($E$2:$E$501&gt;=$H155)*($E$2:$E$501&lt;$H154)," ")))</f>
        <v xml:space="preserve"> </v>
      </c>
      <c r="O154" t="str" cm="1">
        <f t="array" ref="O154">_xlfn.TEXTJOIN(",",TRUE,(_xlfn._xlws.FILTER($A$2:$A$501,($D$2:$D$501&gt;=P$7)*($D$2:$D$501&lt;O$7)*($E$2:$E$501&gt;=$H155)*($E$2:$E$501&lt;$H154)," ")))</f>
        <v xml:space="preserve"> </v>
      </c>
      <c r="P154" t="str" cm="1">
        <f t="array" ref="P154">_xlfn.TEXTJOIN(",",TRUE,(_xlfn._xlws.FILTER($A$2:$A$501,($D$2:$D$501&gt;=Q$7)*($D$2:$D$501&lt;P$7)*($E$2:$E$501&gt;=$H155)*($E$2:$E$501&lt;$H154)," ")))</f>
        <v xml:space="preserve"> </v>
      </c>
      <c r="Q154" t="str" cm="1">
        <f t="array" ref="Q154">_xlfn.TEXTJOIN(",",TRUE,(_xlfn._xlws.FILTER($A$2:$A$501,($D$2:$D$501&gt;=R$7)*($D$2:$D$501&lt;Q$7)*($E$2:$E$501&gt;=$H155)*($E$2:$E$501&lt;$H154)," ")))</f>
        <v xml:space="preserve"> </v>
      </c>
      <c r="R154" t="str" cm="1">
        <f t="array" ref="R154">_xlfn.TEXTJOIN(",",TRUE,(_xlfn._xlws.FILTER($A$2:$A$501,($D$2:$D$501&gt;=S$7)*($D$2:$D$501&lt;R$7)*($E$2:$E$501&gt;=$H155)*($E$2:$E$501&lt;$H154)," ")))</f>
        <v xml:space="preserve"> </v>
      </c>
      <c r="S154" t="str" cm="1">
        <f t="array" ref="S154">_xlfn.TEXTJOIN(",",TRUE,(_xlfn._xlws.FILTER($A$2:$A$501,($D$2:$D$501&gt;=T$7)*($D$2:$D$501&lt;S$7)*($E$2:$E$501&gt;=$H155)*($E$2:$E$501&lt;$H154)," ")))</f>
        <v xml:space="preserve"> </v>
      </c>
      <c r="T154" t="str" cm="1">
        <f t="array" ref="T154">_xlfn.TEXTJOIN(",",TRUE,(_xlfn._xlws.FILTER($A$2:$A$501,($D$2:$D$501&gt;=U$7)*($D$2:$D$501&lt;T$7)*($E$2:$E$501&gt;=$H155)*($E$2:$E$501&lt;$H154)," ")))</f>
        <v xml:space="preserve"> </v>
      </c>
      <c r="U154" t="str" cm="1">
        <f t="array" ref="U154">_xlfn.TEXTJOIN(",",TRUE,(_xlfn._xlws.FILTER($A$2:$A$501,($D$2:$D$501&gt;=V$7)*($D$2:$D$501&lt;U$7)*($E$2:$E$501&gt;=$H155)*($E$2:$E$501&lt;$H154)," ")))</f>
        <v>Haverford Township SD,Tredyffrin-Easttown SD</v>
      </c>
      <c r="V154" t="str" cm="1">
        <f t="array" ref="V154">_xlfn.TEXTJOIN(",",TRUE,(_xlfn._xlws.FILTER($A$2:$A$501,($D$2:$D$501&gt;=W$7)*($D$2:$D$501&lt;V$7)*($E$2:$E$501&gt;=$H155)*($E$2:$E$501&lt;$H154)," ")))</f>
        <v>Upper St. Clair SD</v>
      </c>
      <c r="W154" t="str" cm="1">
        <f t="array" ref="W154">_xlfn.TEXTJOIN(",",TRUE,(_xlfn._xlws.FILTER($A$2:$A$501,($D$2:$D$501&gt;=X$7)*($D$2:$D$501&lt;W$7)*($E$2:$E$501&gt;=$H155)*($E$2:$E$501&lt;$H154)," ")))</f>
        <v xml:space="preserve"> </v>
      </c>
      <c r="X154" t="str" cm="1">
        <f t="array" ref="X154">_xlfn.TEXTJOIN(",",TRUE,(_xlfn._xlws.FILTER($A$2:$A$501,($D$2:$D$501&gt;=Y$7)*($D$2:$D$501&lt;X$7)*($E$2:$E$501&gt;=$H155)*($E$2:$E$501&lt;$H154)," ")))</f>
        <v xml:space="preserve"> </v>
      </c>
      <c r="Y154" t="str" cm="1">
        <f t="array" ref="Y154">_xlfn.TEXTJOIN(",",TRUE,(_xlfn._xlws.FILTER($A$2:$A$501,($D$2:$D$501&gt;=Z$7)*($D$2:$D$501&lt;Y$7)*($E$2:$E$501&gt;=$H155)*($E$2:$E$501&lt;$H154)," ")))</f>
        <v xml:space="preserve"> </v>
      </c>
      <c r="Z154" t="str" cm="1">
        <f t="array" ref="Z154">_xlfn.TEXTJOIN(",",TRUE,(_xlfn._xlws.FILTER($A$2:$A$501,($D$2:$D$501&gt;=AA$7)*($D$2:$D$501&lt;Z$7)*($E$2:$E$501&gt;=$H155)*($E$2:$E$501&lt;$H154)," ")))</f>
        <v xml:space="preserve"> </v>
      </c>
      <c r="AA154" t="str" cm="1">
        <f t="array" ref="AA154">_xlfn.TEXTJOIN(",",TRUE,(_xlfn._xlws.FILTER($A$2:$A$501,($D$2:$D$501&gt;=AB$7)*($D$2:$D$501&lt;AA$7)*($E$2:$E$501&gt;=$H155)*($E$2:$E$501&lt;$H154)," ")))</f>
        <v xml:space="preserve"> </v>
      </c>
      <c r="AB154" t="str" cm="1">
        <f t="array" ref="AB154">_xlfn.TEXTJOIN(",",TRUE,(_xlfn._xlws.FILTER($A$2:$A$501,($D$2:$D$501&gt;=AC$7)*($D$2:$D$501&lt;AB$7)*($E$2:$E$501&gt;=$H155)*($E$2:$E$501&lt;$H154)," ")))</f>
        <v xml:space="preserve"> </v>
      </c>
      <c r="AC154" t="str" cm="1">
        <f t="array" ref="AC154">_xlfn.TEXTJOIN(",",TRUE,(_xlfn._xlws.FILTER($A$2:$A$501,($D$2:$D$501&gt;=AD$7)*($D$2:$D$501&lt;AC$7)*($E$2:$E$501&gt;=$H155)*($E$2:$E$501&lt;$H154)," ")))</f>
        <v xml:space="preserve"> </v>
      </c>
      <c r="AD154" t="str" cm="1">
        <f t="array" ref="AD154">_xlfn.TEXTJOIN(",",TRUE,(_xlfn._xlws.FILTER($A$2:$A$501,($D$2:$D$501&gt;=AE$7)*($D$2:$D$501&lt;AD$7)*($E$2:$E$501&gt;=$H155)*($E$2:$E$501&lt;$H154)," ")))</f>
        <v>Jenkintown SD</v>
      </c>
      <c r="AE154" t="str" cm="1">
        <f t="array" ref="AE154">_xlfn.TEXTJOIN(",",TRUE,(_xlfn._xlws.FILTER($A$2:$A$501,($D$2:$D$501&gt;=AF$7)*($D$2:$D$501&lt;AE$7)*($E$2:$E$501&gt;=$H155)*($E$2:$E$501&lt;$H154)," ")))</f>
        <v xml:space="preserve"> </v>
      </c>
      <c r="AF154" t="str" cm="1">
        <f t="array" ref="AF154">_xlfn.TEXTJOIN(",",TRUE,(_xlfn._xlws.FILTER($A$2:$A$501,($D$2:$D$501&gt;=AG$7)*($D$2:$D$501&lt;AF$7)*($E$2:$E$501&gt;=$H155)*($E$2:$E$501&lt;$H154)," ")))</f>
        <v xml:space="preserve"> </v>
      </c>
      <c r="AG154" t="str" cm="1">
        <f t="array" ref="AG154">_xlfn.TEXTJOIN(",",TRUE,(_xlfn._xlws.FILTER($A$2:$A$501,($D$2:$D$501&gt;=AH$7)*($D$2:$D$501&lt;AG$7)*($E$2:$E$501&gt;=$H155)*($E$2:$E$501&lt;$H154)," ")))</f>
        <v xml:space="preserve"> </v>
      </c>
      <c r="AH154" t="str" cm="1">
        <f t="array" ref="AH154">_xlfn.TEXTJOIN(",",TRUE,(_xlfn._xlws.FILTER($A$2:$A$501,($D$2:$D$501&gt;=AI$7)*($D$2:$D$501&lt;AH$7)*($E$2:$E$501&gt;=$H155)*($E$2:$E$501&lt;$H154)," ")))</f>
        <v xml:space="preserve"> </v>
      </c>
      <c r="AI154" t="str" cm="1">
        <f t="array" ref="AI154">_xlfn.TEXTJOIN(",",TRUE,(_xlfn._xlws.FILTER($A$2:$A$501,($D$2:$D$501&gt;=AJ$7)*($D$2:$D$501&lt;AI$7)*($E$2:$E$501&gt;=$H155)*($E$2:$E$501&lt;$H154)," ")))</f>
        <v xml:space="preserve"> </v>
      </c>
      <c r="AJ154" t="str" cm="1">
        <f t="array" ref="AJ154">_xlfn.TEXTJOIN(",",TRUE,(_xlfn._xlws.FILTER($A$2:$A$501,($D$2:$D$501&gt;=AK$7)*($D$2:$D$501&lt;AJ$7)*($E$2:$E$501&gt;=$H155)*($E$2:$E$501&lt;$H154)," ")))</f>
        <v xml:space="preserve"> </v>
      </c>
      <c r="AK154" t="str" cm="1">
        <f t="array" ref="AK154">_xlfn.TEXTJOIN(",",TRUE,(_xlfn._xlws.FILTER($A$2:$A$501,($D$2:$D$501&gt;=AL$7)*($D$2:$D$501&lt;AK$7)*($E$2:$E$501&gt;=$H155)*($E$2:$E$501&lt;$H154)," ")))</f>
        <v xml:space="preserve"> </v>
      </c>
      <c r="AL154" t="str" cm="1">
        <f t="array" ref="AL154">_xlfn.TEXTJOIN(",",TRUE,(_xlfn._xlws.FILTER($A$2:$A$501,($D$2:$D$501&gt;=AM$7)*($D$2:$D$501&lt;AL$7)*($E$2:$E$501&gt;=$H155)*($E$2:$E$501&lt;$H154)," ")))</f>
        <v xml:space="preserve"> </v>
      </c>
      <c r="AM154" t="str" cm="1">
        <f t="array" ref="AM154">_xlfn.TEXTJOIN(",",TRUE,(_xlfn._xlws.FILTER($A$2:$A$501,($D$2:$D$501&gt;=AN$7)*($D$2:$D$501&lt;AM$7)*($E$2:$E$501&gt;=$H155)*($E$2:$E$501&lt;$H154)," ")))</f>
        <v xml:space="preserve"> </v>
      </c>
      <c r="AN154" t="str" cm="1">
        <f t="array" ref="AN154">_xlfn.TEXTJOIN(",",TRUE,(_xlfn._xlws.FILTER($A$2:$A$501,($D$2:$D$501&gt;=AO$7)*($D$2:$D$501&lt;AN$7)*($E$2:$E$501&gt;=$H155)*($E$2:$E$501&lt;$H154)," ")))</f>
        <v xml:space="preserve"> </v>
      </c>
      <c r="AO154" t="str" cm="1">
        <f t="array" ref="AO154">_xlfn.TEXTJOIN(",",TRUE,(_xlfn._xlws.FILTER($A$2:$A$501,($D$2:$D$501&gt;=AP$7)*($D$2:$D$501&lt;AO$7)*($E$2:$E$501&gt;=$H155)*($E$2:$E$501&lt;$H154)," ")))</f>
        <v xml:space="preserve"> </v>
      </c>
      <c r="AP154" t="str" cm="1">
        <f t="array" ref="AP154">_xlfn.TEXTJOIN(",",TRUE,(_xlfn._xlws.FILTER($A$2:$A$501,($D$2:$D$501&gt;=AQ$7)*($D$2:$D$501&lt;AP$7)*($E$2:$E$501&gt;=$H155)*($E$2:$E$501&lt;$H154)," ")))</f>
        <v xml:space="preserve"> </v>
      </c>
      <c r="AQ154" t="str" cm="1">
        <f t="array" ref="AQ154">_xlfn.TEXTJOIN(",",TRUE,(_xlfn._xlws.FILTER($A$2:$A$501,($D$2:$D$501&gt;=AR$7)*($D$2:$D$501&lt;AQ$7)*($E$2:$E$501&gt;=$H155)*($E$2:$E$501&lt;$H154)," ")))</f>
        <v xml:space="preserve"> </v>
      </c>
      <c r="AR154" t="str" cm="1">
        <f t="array" ref="AR154">_xlfn.TEXTJOIN(",",TRUE,(_xlfn._xlws.FILTER($A$2:$A$501,($D$2:$D$501&gt;=AS$7)*($D$2:$D$501&lt;AR$7)*($E$2:$E$501&gt;=$H155)*($E$2:$E$501&lt;$H154)," ")))</f>
        <v xml:space="preserve"> </v>
      </c>
      <c r="AS154" t="str" cm="1">
        <f t="array" ref="AS154">_xlfn.TEXTJOIN(",",TRUE,(_xlfn._xlws.FILTER($A$2:$A$501,($D$2:$D$501&gt;=AT$7)*($D$2:$D$501&lt;AS$7)*($E$2:$E$501&gt;=$H155)*($E$2:$E$501&lt;$H154)," ")))</f>
        <v xml:space="preserve"> </v>
      </c>
      <c r="AT154" t="str" cm="1">
        <f t="array" ref="AT154">_xlfn.TEXTJOIN(",",TRUE,(_xlfn._xlws.FILTER($A$2:$A$501,($D$2:$D$501&gt;=AU$7)*($D$2:$D$501&lt;AT$7)*($E$2:$E$501&gt;=$H155)*($E$2:$E$501&lt;$H154)," ")))</f>
        <v xml:space="preserve"> </v>
      </c>
      <c r="AU154" t="str" cm="1">
        <f t="array" ref="AU154">_xlfn.TEXTJOIN(",",TRUE,(_xlfn._xlws.FILTER($A$2:$A$501,($D$2:$D$501&gt;=AV$7)*($D$2:$D$501&lt;AU$7)*($E$2:$E$501&gt;=$H155)*($E$2:$E$501&lt;$H154)," ")))</f>
        <v xml:space="preserve"> </v>
      </c>
      <c r="AV154" t="str" cm="1">
        <f t="array" ref="AV154">_xlfn.TEXTJOIN(",",TRUE,(_xlfn._xlws.FILTER($A$2:$A$501,($D$2:$D$501&gt;=AW$7)*($D$2:$D$501&lt;AV$7)*($E$2:$E$501&gt;=$H155)*($E$2:$E$501&lt;$H154)," ")))</f>
        <v xml:space="preserve"> </v>
      </c>
      <c r="AW154" t="str" cm="1">
        <f t="array" ref="AW154">_xlfn.TEXTJOIN(",",TRUE,(_xlfn._xlws.FILTER($A$2:$A$501,($D$2:$D$501&gt;=AX$7)*($D$2:$D$501&lt;AW$7)*($E$2:$E$501&gt;=$H155)*($E$2:$E$501&lt;$H154)," ")))</f>
        <v xml:space="preserve"> </v>
      </c>
      <c r="AX154" t="str" cm="1">
        <f t="array" ref="AX154">_xlfn.TEXTJOIN(",",TRUE,(_xlfn._xlws.FILTER($A$2:$A$501,($D$2:$D$501&gt;=AY$7)*($D$2:$D$501&lt;AX$7)*($E$2:$E$501&gt;=$H155)*($E$2:$E$501&lt;$H154)," ")))</f>
        <v xml:space="preserve"> </v>
      </c>
      <c r="AY154" t="str" cm="1">
        <f t="array" ref="AY154">_xlfn.TEXTJOIN(",",TRUE,(_xlfn._xlws.FILTER($A$2:$A$501,($D$2:$D$501&gt;=AZ$7)*($D$2:$D$501&lt;AY$7)*($E$2:$E$501&gt;=$H155)*($E$2:$E$501&lt;$H154)," ")))</f>
        <v xml:space="preserve"> </v>
      </c>
      <c r="AZ154" t="str" cm="1">
        <f t="array" ref="AZ154">_xlfn.TEXTJOIN(",",TRUE,(_xlfn._xlws.FILTER($A$2:$A$501,($D$2:$D$501&gt;=BA$7)*($D$2:$D$501&lt;AZ$7)*($E$2:$E$501&gt;=$H155)*($E$2:$E$501&lt;$H154)," ")))</f>
        <v xml:space="preserve"> </v>
      </c>
      <c r="BA154" t="str" cm="1">
        <f t="array" ref="BA154">_xlfn.TEXTJOIN(",",TRUE,(_xlfn._xlws.FILTER($A$2:$A$501,($D$2:$D$501&gt;=BB$7)*($D$2:$D$501&lt;BA$7)*($E$2:$E$501&gt;=$H155)*($E$2:$E$501&lt;$H154)," ")))</f>
        <v xml:space="preserve"> </v>
      </c>
      <c r="BB154" t="str" cm="1">
        <f t="array" ref="BB154">_xlfn.TEXTJOIN(",",TRUE,(_xlfn._xlws.FILTER($A$2:$A$501,($D$2:$D$501&gt;=BC$7)*($D$2:$D$501&lt;BB$7)*($E$2:$E$501&gt;=$H155)*($E$2:$E$501&lt;$H154)," ")))</f>
        <v xml:space="preserve"> </v>
      </c>
    </row>
    <row r="155" spans="1:54" x14ac:dyDescent="0.2">
      <c r="A155" s="3" t="s">
        <v>477</v>
      </c>
      <c r="B155" s="3" t="s">
        <v>476</v>
      </c>
      <c r="C155" s="13">
        <v>1815748.2</v>
      </c>
      <c r="D155" s="15">
        <v>50189561.590000004</v>
      </c>
      <c r="E155" s="22">
        <f>TuitionRates3[[#This Row],[Tuition]]/D155</f>
        <v>3.6177805553132741E-2</v>
      </c>
      <c r="F155"/>
      <c r="H155" s="18">
        <v>3.0000000000000001E-3</v>
      </c>
      <c r="I155" t="str" cm="1">
        <f t="array" ref="I155">_xlfn.TEXTJOIN(",",TRUE,(_xlfn._xlws.FILTER($A$2:$A$501,($D$2:$D$501&gt;=J$7)*($D$2:$D$501&lt;I$7)*($E$2:$E$501&gt;=$H156)*($E$2:$E$501&lt;$H155)," ")))</f>
        <v xml:space="preserve"> </v>
      </c>
      <c r="J155" t="str" cm="1">
        <f t="array" ref="J155">_xlfn.TEXTJOIN(",",TRUE,(_xlfn._xlws.FILTER($A$2:$A$501,($D$2:$D$501&gt;=K$7)*($D$2:$D$501&lt;J$7)*($E$2:$E$501&gt;=$H156)*($E$2:$E$501&lt;$H155)," ")))</f>
        <v xml:space="preserve"> </v>
      </c>
      <c r="K155" t="str" cm="1">
        <f t="array" ref="K155">_xlfn.TEXTJOIN(",",TRUE,(_xlfn._xlws.FILTER($A$2:$A$501,($D$2:$D$501&gt;=L$7)*($D$2:$D$501&lt;K$7)*($E$2:$E$501&gt;=$H156)*($E$2:$E$501&lt;$H155)," ")))</f>
        <v xml:space="preserve"> </v>
      </c>
      <c r="L155" t="str" cm="1">
        <f t="array" ref="L155">_xlfn.TEXTJOIN(",",TRUE,(_xlfn._xlws.FILTER($A$2:$A$501,($D$2:$D$501&gt;=M$7)*($D$2:$D$501&lt;L$7)*($E$2:$E$501&gt;=$H156)*($E$2:$E$501&lt;$H155)," ")))</f>
        <v xml:space="preserve"> </v>
      </c>
      <c r="M155" t="str" cm="1">
        <f t="array" ref="M155">_xlfn.TEXTJOIN(",",TRUE,(_xlfn._xlws.FILTER($A$2:$A$501,($D$2:$D$501&gt;=N$7)*($D$2:$D$501&lt;M$7)*($E$2:$E$501&gt;=$H156)*($E$2:$E$501&lt;$H155)," ")))</f>
        <v xml:space="preserve"> </v>
      </c>
      <c r="N155" t="str" cm="1">
        <f t="array" ref="N155">_xlfn.TEXTJOIN(",",TRUE,(_xlfn._xlws.FILTER($A$2:$A$501,($D$2:$D$501&gt;=O$7)*($D$2:$D$501&lt;N$7)*($E$2:$E$501&gt;=$H156)*($E$2:$E$501&lt;$H155)," ")))</f>
        <v xml:space="preserve"> </v>
      </c>
      <c r="O155" t="str" cm="1">
        <f t="array" ref="O155">_xlfn.TEXTJOIN(",",TRUE,(_xlfn._xlws.FILTER($A$2:$A$501,($D$2:$D$501&gt;=P$7)*($D$2:$D$501&lt;O$7)*($E$2:$E$501&gt;=$H156)*($E$2:$E$501&lt;$H155)," ")))</f>
        <v xml:space="preserve"> </v>
      </c>
      <c r="P155" t="str" cm="1">
        <f t="array" ref="P155">_xlfn.TEXTJOIN(",",TRUE,(_xlfn._xlws.FILTER($A$2:$A$501,($D$2:$D$501&gt;=Q$7)*($D$2:$D$501&lt;P$7)*($E$2:$E$501&gt;=$H156)*($E$2:$E$501&lt;$H155)," ")))</f>
        <v xml:space="preserve"> </v>
      </c>
      <c r="Q155" t="str" cm="1">
        <f t="array" ref="Q155">_xlfn.TEXTJOIN(",",TRUE,(_xlfn._xlws.FILTER($A$2:$A$501,($D$2:$D$501&gt;=R$7)*($D$2:$D$501&lt;Q$7)*($E$2:$E$501&gt;=$H156)*($E$2:$E$501&lt;$H155)," ")))</f>
        <v xml:space="preserve"> </v>
      </c>
      <c r="R155" t="str" cm="1">
        <f t="array" ref="R155">_xlfn.TEXTJOIN(",",TRUE,(_xlfn._xlws.FILTER($A$2:$A$501,($D$2:$D$501&gt;=S$7)*($D$2:$D$501&lt;R$7)*($E$2:$E$501&gt;=$H156)*($E$2:$E$501&lt;$H155)," ")))</f>
        <v xml:space="preserve"> </v>
      </c>
      <c r="S155" t="str" cm="1">
        <f t="array" ref="S155">_xlfn.TEXTJOIN(",",TRUE,(_xlfn._xlws.FILTER($A$2:$A$501,($D$2:$D$501&gt;=T$7)*($D$2:$D$501&lt;S$7)*($E$2:$E$501&gt;=$H156)*($E$2:$E$501&lt;$H155)," ")))</f>
        <v xml:space="preserve"> </v>
      </c>
      <c r="T155" t="str" cm="1">
        <f t="array" ref="T155">_xlfn.TEXTJOIN(",",TRUE,(_xlfn._xlws.FILTER($A$2:$A$501,($D$2:$D$501&gt;=U$7)*($D$2:$D$501&lt;T$7)*($E$2:$E$501&gt;=$H156)*($E$2:$E$501&lt;$H155)," ")))</f>
        <v xml:space="preserve"> </v>
      </c>
      <c r="U155" t="str" cm="1">
        <f t="array" ref="U155">_xlfn.TEXTJOIN(",",TRUE,(_xlfn._xlws.FILTER($A$2:$A$501,($D$2:$D$501&gt;=V$7)*($D$2:$D$501&lt;U$7)*($E$2:$E$501&gt;=$H156)*($E$2:$E$501&lt;$H155)," ")))</f>
        <v>Radnor Township SD</v>
      </c>
      <c r="V155" t="str" cm="1">
        <f t="array" ref="V155">_xlfn.TEXTJOIN(",",TRUE,(_xlfn._xlws.FILTER($A$2:$A$501,($D$2:$D$501&gt;=W$7)*($D$2:$D$501&lt;V$7)*($E$2:$E$501&gt;=$H156)*($E$2:$E$501&lt;$H155)," ")))</f>
        <v xml:space="preserve"> </v>
      </c>
      <c r="W155" t="str" cm="1">
        <f t="array" ref="W155">_xlfn.TEXTJOIN(",",TRUE,(_xlfn._xlws.FILTER($A$2:$A$501,($D$2:$D$501&gt;=X$7)*($D$2:$D$501&lt;W$7)*($E$2:$E$501&gt;=$H156)*($E$2:$E$501&lt;$H155)," ")))</f>
        <v xml:space="preserve"> </v>
      </c>
      <c r="X155" t="str" cm="1">
        <f t="array" ref="X155">_xlfn.TEXTJOIN(",",TRUE,(_xlfn._xlws.FILTER($A$2:$A$501,($D$2:$D$501&gt;=Y$7)*($D$2:$D$501&lt;X$7)*($E$2:$E$501&gt;=$H156)*($E$2:$E$501&lt;$H155)," ")))</f>
        <v xml:space="preserve"> </v>
      </c>
      <c r="Y155" t="str" cm="1">
        <f t="array" ref="Y155">_xlfn.TEXTJOIN(",",TRUE,(_xlfn._xlws.FILTER($A$2:$A$501,($D$2:$D$501&gt;=Z$7)*($D$2:$D$501&lt;Y$7)*($E$2:$E$501&gt;=$H156)*($E$2:$E$501&lt;$H155)," ")))</f>
        <v xml:space="preserve"> </v>
      </c>
      <c r="Z155" t="str" cm="1">
        <f t="array" ref="Z155">_xlfn.TEXTJOIN(",",TRUE,(_xlfn._xlws.FILTER($A$2:$A$501,($D$2:$D$501&gt;=AA$7)*($D$2:$D$501&lt;Z$7)*($E$2:$E$501&gt;=$H156)*($E$2:$E$501&lt;$H155)," ")))</f>
        <v xml:space="preserve"> </v>
      </c>
      <c r="AA155" t="str" cm="1">
        <f t="array" ref="AA155">_xlfn.TEXTJOIN(",",TRUE,(_xlfn._xlws.FILTER($A$2:$A$501,($D$2:$D$501&gt;=AB$7)*($D$2:$D$501&lt;AA$7)*($E$2:$E$501&gt;=$H156)*($E$2:$E$501&lt;$H155)," ")))</f>
        <v xml:space="preserve"> </v>
      </c>
      <c r="AB155" t="str" cm="1">
        <f t="array" ref="AB155">_xlfn.TEXTJOIN(",",TRUE,(_xlfn._xlws.FILTER($A$2:$A$501,($D$2:$D$501&gt;=AC$7)*($D$2:$D$501&lt;AB$7)*($E$2:$E$501&gt;=$H156)*($E$2:$E$501&lt;$H155)," ")))</f>
        <v xml:space="preserve"> </v>
      </c>
      <c r="AC155" t="str" cm="1">
        <f t="array" ref="AC155">_xlfn.TEXTJOIN(",",TRUE,(_xlfn._xlws.FILTER($A$2:$A$501,($D$2:$D$501&gt;=AD$7)*($D$2:$D$501&lt;AC$7)*($E$2:$E$501&gt;=$H156)*($E$2:$E$501&lt;$H155)," ")))</f>
        <v xml:space="preserve"> </v>
      </c>
      <c r="AD155" t="str" cm="1">
        <f t="array" ref="AD155">_xlfn.TEXTJOIN(",",TRUE,(_xlfn._xlws.FILTER($A$2:$A$501,($D$2:$D$501&gt;=AE$7)*($D$2:$D$501&lt;AD$7)*($E$2:$E$501&gt;=$H156)*($E$2:$E$501&lt;$H155)," ")))</f>
        <v xml:space="preserve"> </v>
      </c>
      <c r="AE155" t="str" cm="1">
        <f t="array" ref="AE155">_xlfn.TEXTJOIN(",",TRUE,(_xlfn._xlws.FILTER($A$2:$A$501,($D$2:$D$501&gt;=AF$7)*($D$2:$D$501&lt;AE$7)*($E$2:$E$501&gt;=$H156)*($E$2:$E$501&lt;$H155)," ")))</f>
        <v xml:space="preserve"> </v>
      </c>
      <c r="AF155" t="str" cm="1">
        <f t="array" ref="AF155">_xlfn.TEXTJOIN(",",TRUE,(_xlfn._xlws.FILTER($A$2:$A$501,($D$2:$D$501&gt;=AG$7)*($D$2:$D$501&lt;AF$7)*($E$2:$E$501&gt;=$H156)*($E$2:$E$501&lt;$H155)," ")))</f>
        <v xml:space="preserve"> </v>
      </c>
      <c r="AG155" t="str" cm="1">
        <f t="array" ref="AG155">_xlfn.TEXTJOIN(",",TRUE,(_xlfn._xlws.FILTER($A$2:$A$501,($D$2:$D$501&gt;=AH$7)*($D$2:$D$501&lt;AG$7)*($E$2:$E$501&gt;=$H156)*($E$2:$E$501&lt;$H155)," ")))</f>
        <v xml:space="preserve"> </v>
      </c>
      <c r="AH155" t="str" cm="1">
        <f t="array" ref="AH155">_xlfn.TEXTJOIN(",",TRUE,(_xlfn._xlws.FILTER($A$2:$A$501,($D$2:$D$501&gt;=AI$7)*($D$2:$D$501&lt;AH$7)*($E$2:$E$501&gt;=$H156)*($E$2:$E$501&lt;$H155)," ")))</f>
        <v xml:space="preserve"> </v>
      </c>
      <c r="AI155" t="str" cm="1">
        <f t="array" ref="AI155">_xlfn.TEXTJOIN(",",TRUE,(_xlfn._xlws.FILTER($A$2:$A$501,($D$2:$D$501&gt;=AJ$7)*($D$2:$D$501&lt;AI$7)*($E$2:$E$501&gt;=$H156)*($E$2:$E$501&lt;$H155)," ")))</f>
        <v xml:space="preserve"> </v>
      </c>
      <c r="AJ155" t="str" cm="1">
        <f t="array" ref="AJ155">_xlfn.TEXTJOIN(",",TRUE,(_xlfn._xlws.FILTER($A$2:$A$501,($D$2:$D$501&gt;=AK$7)*($D$2:$D$501&lt;AJ$7)*($E$2:$E$501&gt;=$H156)*($E$2:$E$501&lt;$H155)," ")))</f>
        <v xml:space="preserve"> </v>
      </c>
      <c r="AK155" t="str" cm="1">
        <f t="array" ref="AK155">_xlfn.TEXTJOIN(",",TRUE,(_xlfn._xlws.FILTER($A$2:$A$501,($D$2:$D$501&gt;=AL$7)*($D$2:$D$501&lt;AK$7)*($E$2:$E$501&gt;=$H156)*($E$2:$E$501&lt;$H155)," ")))</f>
        <v xml:space="preserve"> </v>
      </c>
      <c r="AL155" t="str" cm="1">
        <f t="array" ref="AL155">_xlfn.TEXTJOIN(",",TRUE,(_xlfn._xlws.FILTER($A$2:$A$501,($D$2:$D$501&gt;=AM$7)*($D$2:$D$501&lt;AL$7)*($E$2:$E$501&gt;=$H156)*($E$2:$E$501&lt;$H155)," ")))</f>
        <v xml:space="preserve"> </v>
      </c>
      <c r="AM155" t="str" cm="1">
        <f t="array" ref="AM155">_xlfn.TEXTJOIN(",",TRUE,(_xlfn._xlws.FILTER($A$2:$A$501,($D$2:$D$501&gt;=AN$7)*($D$2:$D$501&lt;AM$7)*($E$2:$E$501&gt;=$H156)*($E$2:$E$501&lt;$H155)," ")))</f>
        <v xml:space="preserve"> </v>
      </c>
      <c r="AN155" t="str" cm="1">
        <f t="array" ref="AN155">_xlfn.TEXTJOIN(",",TRUE,(_xlfn._xlws.FILTER($A$2:$A$501,($D$2:$D$501&gt;=AO$7)*($D$2:$D$501&lt;AN$7)*($E$2:$E$501&gt;=$H156)*($E$2:$E$501&lt;$H155)," ")))</f>
        <v xml:space="preserve"> </v>
      </c>
      <c r="AO155" t="str" cm="1">
        <f t="array" ref="AO155">_xlfn.TEXTJOIN(",",TRUE,(_xlfn._xlws.FILTER($A$2:$A$501,($D$2:$D$501&gt;=AP$7)*($D$2:$D$501&lt;AO$7)*($E$2:$E$501&gt;=$H156)*($E$2:$E$501&lt;$H155)," ")))</f>
        <v xml:space="preserve"> </v>
      </c>
      <c r="AP155" t="str" cm="1">
        <f t="array" ref="AP155">_xlfn.TEXTJOIN(",",TRUE,(_xlfn._xlws.FILTER($A$2:$A$501,($D$2:$D$501&gt;=AQ$7)*($D$2:$D$501&lt;AP$7)*($E$2:$E$501&gt;=$H156)*($E$2:$E$501&lt;$H155)," ")))</f>
        <v xml:space="preserve"> </v>
      </c>
      <c r="AQ155" t="str" cm="1">
        <f t="array" ref="AQ155">_xlfn.TEXTJOIN(",",TRUE,(_xlfn._xlws.FILTER($A$2:$A$501,($D$2:$D$501&gt;=AR$7)*($D$2:$D$501&lt;AQ$7)*($E$2:$E$501&gt;=$H156)*($E$2:$E$501&lt;$H155)," ")))</f>
        <v xml:space="preserve"> </v>
      </c>
      <c r="AR155" t="str" cm="1">
        <f t="array" ref="AR155">_xlfn.TEXTJOIN(",",TRUE,(_xlfn._xlws.FILTER($A$2:$A$501,($D$2:$D$501&gt;=AS$7)*($D$2:$D$501&lt;AR$7)*($E$2:$E$501&gt;=$H156)*($E$2:$E$501&lt;$H155)," ")))</f>
        <v xml:space="preserve"> </v>
      </c>
      <c r="AS155" t="str" cm="1">
        <f t="array" ref="AS155">_xlfn.TEXTJOIN(",",TRUE,(_xlfn._xlws.FILTER($A$2:$A$501,($D$2:$D$501&gt;=AT$7)*($D$2:$D$501&lt;AS$7)*($E$2:$E$501&gt;=$H156)*($E$2:$E$501&lt;$H155)," ")))</f>
        <v xml:space="preserve"> </v>
      </c>
      <c r="AT155" t="str" cm="1">
        <f t="array" ref="AT155">_xlfn.TEXTJOIN(",",TRUE,(_xlfn._xlws.FILTER($A$2:$A$501,($D$2:$D$501&gt;=AU$7)*($D$2:$D$501&lt;AT$7)*($E$2:$E$501&gt;=$H156)*($E$2:$E$501&lt;$H155)," ")))</f>
        <v xml:space="preserve"> </v>
      </c>
      <c r="AU155" t="str" cm="1">
        <f t="array" ref="AU155">_xlfn.TEXTJOIN(",",TRUE,(_xlfn._xlws.FILTER($A$2:$A$501,($D$2:$D$501&gt;=AV$7)*($D$2:$D$501&lt;AU$7)*($E$2:$E$501&gt;=$H156)*($E$2:$E$501&lt;$H155)," ")))</f>
        <v xml:space="preserve"> </v>
      </c>
      <c r="AV155" t="str" cm="1">
        <f t="array" ref="AV155">_xlfn.TEXTJOIN(",",TRUE,(_xlfn._xlws.FILTER($A$2:$A$501,($D$2:$D$501&gt;=AW$7)*($D$2:$D$501&lt;AV$7)*($E$2:$E$501&gt;=$H156)*($E$2:$E$501&lt;$H155)," ")))</f>
        <v xml:space="preserve"> </v>
      </c>
      <c r="AW155" t="str" cm="1">
        <f t="array" ref="AW155">_xlfn.TEXTJOIN(",",TRUE,(_xlfn._xlws.FILTER($A$2:$A$501,($D$2:$D$501&gt;=AX$7)*($D$2:$D$501&lt;AW$7)*($E$2:$E$501&gt;=$H156)*($E$2:$E$501&lt;$H155)," ")))</f>
        <v xml:space="preserve"> </v>
      </c>
      <c r="AX155" t="str" cm="1">
        <f t="array" ref="AX155">_xlfn.TEXTJOIN(",",TRUE,(_xlfn._xlws.FILTER($A$2:$A$501,($D$2:$D$501&gt;=AY$7)*($D$2:$D$501&lt;AX$7)*($E$2:$E$501&gt;=$H156)*($E$2:$E$501&lt;$H155)," ")))</f>
        <v xml:space="preserve"> </v>
      </c>
      <c r="AY155" t="str" cm="1">
        <f t="array" ref="AY155">_xlfn.TEXTJOIN(",",TRUE,(_xlfn._xlws.FILTER($A$2:$A$501,($D$2:$D$501&gt;=AZ$7)*($D$2:$D$501&lt;AY$7)*($E$2:$E$501&gt;=$H156)*($E$2:$E$501&lt;$H155)," ")))</f>
        <v xml:space="preserve"> </v>
      </c>
      <c r="AZ155" t="str" cm="1">
        <f t="array" ref="AZ155">_xlfn.TEXTJOIN(",",TRUE,(_xlfn._xlws.FILTER($A$2:$A$501,($D$2:$D$501&gt;=BA$7)*($D$2:$D$501&lt;AZ$7)*($E$2:$E$501&gt;=$H156)*($E$2:$E$501&lt;$H155)," ")))</f>
        <v xml:space="preserve"> </v>
      </c>
      <c r="BA155" t="str" cm="1">
        <f t="array" ref="BA155">_xlfn.TEXTJOIN(",",TRUE,(_xlfn._xlws.FILTER($A$2:$A$501,($D$2:$D$501&gt;=BB$7)*($D$2:$D$501&lt;BA$7)*($E$2:$E$501&gt;=$H156)*($E$2:$E$501&lt;$H155)," ")))</f>
        <v xml:space="preserve"> </v>
      </c>
      <c r="BB155" t="str" cm="1">
        <f t="array" ref="BB155">_xlfn.TEXTJOIN(",",TRUE,(_xlfn._xlws.FILTER($A$2:$A$501,($D$2:$D$501&gt;=BC$7)*($D$2:$D$501&lt;BB$7)*($E$2:$E$501&gt;=$H156)*($E$2:$E$501&lt;$H155)," ")))</f>
        <v xml:space="preserve"> </v>
      </c>
    </row>
    <row r="156" spans="1:54" x14ac:dyDescent="0.2">
      <c r="A156" s="3" t="s">
        <v>442</v>
      </c>
      <c r="B156" s="3" t="s">
        <v>440</v>
      </c>
      <c r="C156" s="13">
        <v>822103.3</v>
      </c>
      <c r="D156" s="15">
        <v>22832850.100000001</v>
      </c>
      <c r="E156" s="22">
        <f>TuitionRates3[[#This Row],[Tuition]]/D156</f>
        <v>3.6005286085594716E-2</v>
      </c>
      <c r="F156"/>
      <c r="H156" s="18">
        <v>2E-3</v>
      </c>
      <c r="I156" t="str" cm="1">
        <f t="array" ref="I156">_xlfn.TEXTJOIN(",",TRUE,(_xlfn._xlws.FILTER($A$2:$A$501,($D$2:$D$501&gt;=J$7)*($D$2:$D$501&lt;I$7)*($E$2:$E$501&gt;=$H157)*($E$2:$E$501&lt;$H156)," ")))</f>
        <v xml:space="preserve"> </v>
      </c>
      <c r="J156" t="str" cm="1">
        <f t="array" ref="J156">_xlfn.TEXTJOIN(",",TRUE,(_xlfn._xlws.FILTER($A$2:$A$501,($D$2:$D$501&gt;=K$7)*($D$2:$D$501&lt;J$7)*($E$2:$E$501&gt;=$H157)*($E$2:$E$501&lt;$H156)," ")))</f>
        <v xml:space="preserve"> </v>
      </c>
      <c r="K156" t="str" cm="1">
        <f t="array" ref="K156">_xlfn.TEXTJOIN(",",TRUE,(_xlfn._xlws.FILTER($A$2:$A$501,($D$2:$D$501&gt;=L$7)*($D$2:$D$501&lt;K$7)*($E$2:$E$501&gt;=$H157)*($E$2:$E$501&lt;$H156)," ")))</f>
        <v xml:space="preserve"> </v>
      </c>
      <c r="L156" t="str" cm="1">
        <f t="array" ref="L156">_xlfn.TEXTJOIN(",",TRUE,(_xlfn._xlws.FILTER($A$2:$A$501,($D$2:$D$501&gt;=M$7)*($D$2:$D$501&lt;L$7)*($E$2:$E$501&gt;=$H157)*($E$2:$E$501&lt;$H156)," ")))</f>
        <v xml:space="preserve"> </v>
      </c>
      <c r="M156" t="str" cm="1">
        <f t="array" ref="M156">_xlfn.TEXTJOIN(",",TRUE,(_xlfn._xlws.FILTER($A$2:$A$501,($D$2:$D$501&gt;=N$7)*($D$2:$D$501&lt;M$7)*($E$2:$E$501&gt;=$H157)*($E$2:$E$501&lt;$H156)," ")))</f>
        <v xml:space="preserve"> </v>
      </c>
      <c r="N156" t="str" cm="1">
        <f t="array" ref="N156">_xlfn.TEXTJOIN(",",TRUE,(_xlfn._xlws.FILTER($A$2:$A$501,($D$2:$D$501&gt;=O$7)*($D$2:$D$501&lt;N$7)*($E$2:$E$501&gt;=$H157)*($E$2:$E$501&lt;$H156)," ")))</f>
        <v xml:space="preserve"> </v>
      </c>
      <c r="O156" t="str" cm="1">
        <f t="array" ref="O156">_xlfn.TEXTJOIN(",",TRUE,(_xlfn._xlws.FILTER($A$2:$A$501,($D$2:$D$501&gt;=P$7)*($D$2:$D$501&lt;O$7)*($E$2:$E$501&gt;=$H157)*($E$2:$E$501&lt;$H156)," ")))</f>
        <v xml:space="preserve"> </v>
      </c>
      <c r="P156" t="str" cm="1">
        <f t="array" ref="P156">_xlfn.TEXTJOIN(",",TRUE,(_xlfn._xlws.FILTER($A$2:$A$501,($D$2:$D$501&gt;=Q$7)*($D$2:$D$501&lt;P$7)*($E$2:$E$501&gt;=$H157)*($E$2:$E$501&lt;$H156)," ")))</f>
        <v xml:space="preserve"> </v>
      </c>
      <c r="Q156" t="str" cm="1">
        <f t="array" ref="Q156">_xlfn.TEXTJOIN(",",TRUE,(_xlfn._xlws.FILTER($A$2:$A$501,($D$2:$D$501&gt;=R$7)*($D$2:$D$501&lt;Q$7)*($E$2:$E$501&gt;=$H157)*($E$2:$E$501&lt;$H156)," ")))</f>
        <v xml:space="preserve"> </v>
      </c>
      <c r="R156" t="str" cm="1">
        <f t="array" ref="R156">_xlfn.TEXTJOIN(",",TRUE,(_xlfn._xlws.FILTER($A$2:$A$501,($D$2:$D$501&gt;=S$7)*($D$2:$D$501&lt;R$7)*($E$2:$E$501&gt;=$H157)*($E$2:$E$501&lt;$H156)," ")))</f>
        <v xml:space="preserve"> </v>
      </c>
      <c r="S156" t="str" cm="1">
        <f t="array" ref="S156">_xlfn.TEXTJOIN(",",TRUE,(_xlfn._xlws.FILTER($A$2:$A$501,($D$2:$D$501&gt;=T$7)*($D$2:$D$501&lt;S$7)*($E$2:$E$501&gt;=$H157)*($E$2:$E$501&lt;$H156)," ")))</f>
        <v xml:space="preserve"> </v>
      </c>
      <c r="T156" t="str" cm="1">
        <f t="array" ref="T156">_xlfn.TEXTJOIN(",",TRUE,(_xlfn._xlws.FILTER($A$2:$A$501,($D$2:$D$501&gt;=U$7)*($D$2:$D$501&lt;T$7)*($E$2:$E$501&gt;=$H157)*($E$2:$E$501&lt;$H156)," ")))</f>
        <v xml:space="preserve"> </v>
      </c>
      <c r="U156" t="str" cm="1">
        <f t="array" ref="U156">_xlfn.TEXTJOIN(",",TRUE,(_xlfn._xlws.FILTER($A$2:$A$501,($D$2:$D$501&gt;=V$7)*($D$2:$D$501&lt;U$7)*($E$2:$E$501&gt;=$H157)*($E$2:$E$501&lt;$H156)," ")))</f>
        <v xml:space="preserve"> </v>
      </c>
      <c r="V156" t="str" cm="1">
        <f t="array" ref="V156">_xlfn.TEXTJOIN(",",TRUE,(_xlfn._xlws.FILTER($A$2:$A$501,($D$2:$D$501&gt;=W$7)*($D$2:$D$501&lt;V$7)*($E$2:$E$501&gt;=$H157)*($E$2:$E$501&lt;$H156)," ")))</f>
        <v xml:space="preserve"> </v>
      </c>
      <c r="W156" t="str" cm="1">
        <f t="array" ref="W156">_xlfn.TEXTJOIN(",",TRUE,(_xlfn._xlws.FILTER($A$2:$A$501,($D$2:$D$501&gt;=X$7)*($D$2:$D$501&lt;W$7)*($E$2:$E$501&gt;=$H157)*($E$2:$E$501&lt;$H156)," ")))</f>
        <v xml:space="preserve"> </v>
      </c>
      <c r="X156" t="str" cm="1">
        <f t="array" ref="X156">_xlfn.TEXTJOIN(",",TRUE,(_xlfn._xlws.FILTER($A$2:$A$501,($D$2:$D$501&gt;=Y$7)*($D$2:$D$501&lt;X$7)*($E$2:$E$501&gt;=$H157)*($E$2:$E$501&lt;$H156)," ")))</f>
        <v xml:space="preserve"> </v>
      </c>
      <c r="Y156" t="str" cm="1">
        <f t="array" ref="Y156">_xlfn.TEXTJOIN(",",TRUE,(_xlfn._xlws.FILTER($A$2:$A$501,($D$2:$D$501&gt;=Z$7)*($D$2:$D$501&lt;Y$7)*($E$2:$E$501&gt;=$H157)*($E$2:$E$501&lt;$H156)," ")))</f>
        <v xml:space="preserve"> </v>
      </c>
      <c r="Z156" t="str" cm="1">
        <f t="array" ref="Z156">_xlfn.TEXTJOIN(",",TRUE,(_xlfn._xlws.FILTER($A$2:$A$501,($D$2:$D$501&gt;=AA$7)*($D$2:$D$501&lt;Z$7)*($E$2:$E$501&gt;=$H157)*($E$2:$E$501&lt;$H156)," ")))</f>
        <v xml:space="preserve"> </v>
      </c>
      <c r="AA156" t="str" cm="1">
        <f t="array" ref="AA156">_xlfn.TEXTJOIN(",",TRUE,(_xlfn._xlws.FILTER($A$2:$A$501,($D$2:$D$501&gt;=AB$7)*($D$2:$D$501&lt;AA$7)*($E$2:$E$501&gt;=$H157)*($E$2:$E$501&lt;$H156)," ")))</f>
        <v>Blackhawk SD</v>
      </c>
      <c r="AB156" t="str" cm="1">
        <f t="array" ref="AB156">_xlfn.TEXTJOIN(",",TRUE,(_xlfn._xlws.FILTER($A$2:$A$501,($D$2:$D$501&gt;=AC$7)*($D$2:$D$501&lt;AB$7)*($E$2:$E$501&gt;=$H157)*($E$2:$E$501&lt;$H156)," ")))</f>
        <v xml:space="preserve"> </v>
      </c>
      <c r="AC156" t="str" cm="1">
        <f t="array" ref="AC156">_xlfn.TEXTJOIN(",",TRUE,(_xlfn._xlws.FILTER($A$2:$A$501,($D$2:$D$501&gt;=AD$7)*($D$2:$D$501&lt;AC$7)*($E$2:$E$501&gt;=$H157)*($E$2:$E$501&lt;$H156)," ")))</f>
        <v xml:space="preserve"> </v>
      </c>
      <c r="AD156" t="str" cm="1">
        <f t="array" ref="AD156">_xlfn.TEXTJOIN(",",TRUE,(_xlfn._xlws.FILTER($A$2:$A$501,($D$2:$D$501&gt;=AE$7)*($D$2:$D$501&lt;AD$7)*($E$2:$E$501&gt;=$H157)*($E$2:$E$501&lt;$H156)," ")))</f>
        <v xml:space="preserve"> </v>
      </c>
      <c r="AE156" t="str" cm="1">
        <f t="array" ref="AE156">_xlfn.TEXTJOIN(",",TRUE,(_xlfn._xlws.FILTER($A$2:$A$501,($D$2:$D$501&gt;=AF$7)*($D$2:$D$501&lt;AE$7)*($E$2:$E$501&gt;=$H157)*($E$2:$E$501&lt;$H156)," ")))</f>
        <v xml:space="preserve"> </v>
      </c>
      <c r="AF156" t="str" cm="1">
        <f t="array" ref="AF156">_xlfn.TEXTJOIN(",",TRUE,(_xlfn._xlws.FILTER($A$2:$A$501,($D$2:$D$501&gt;=AG$7)*($D$2:$D$501&lt;AF$7)*($E$2:$E$501&gt;=$H157)*($E$2:$E$501&lt;$H156)," ")))</f>
        <v xml:space="preserve"> </v>
      </c>
      <c r="AG156" t="str" cm="1">
        <f t="array" ref="AG156">_xlfn.TEXTJOIN(",",TRUE,(_xlfn._xlws.FILTER($A$2:$A$501,($D$2:$D$501&gt;=AH$7)*($D$2:$D$501&lt;AG$7)*($E$2:$E$501&gt;=$H157)*($E$2:$E$501&lt;$H156)," ")))</f>
        <v xml:space="preserve"> </v>
      </c>
      <c r="AH156" t="str" cm="1">
        <f t="array" ref="AH156">_xlfn.TEXTJOIN(",",TRUE,(_xlfn._xlws.FILTER($A$2:$A$501,($D$2:$D$501&gt;=AI$7)*($D$2:$D$501&lt;AH$7)*($E$2:$E$501&gt;=$H157)*($E$2:$E$501&lt;$H156)," ")))</f>
        <v xml:space="preserve"> </v>
      </c>
      <c r="AI156" t="str" cm="1">
        <f t="array" ref="AI156">_xlfn.TEXTJOIN(",",TRUE,(_xlfn._xlws.FILTER($A$2:$A$501,($D$2:$D$501&gt;=AJ$7)*($D$2:$D$501&lt;AI$7)*($E$2:$E$501&gt;=$H157)*($E$2:$E$501&lt;$H156)," ")))</f>
        <v xml:space="preserve"> </v>
      </c>
      <c r="AJ156" t="str" cm="1">
        <f t="array" ref="AJ156">_xlfn.TEXTJOIN(",",TRUE,(_xlfn._xlws.FILTER($A$2:$A$501,($D$2:$D$501&gt;=AK$7)*($D$2:$D$501&lt;AJ$7)*($E$2:$E$501&gt;=$H157)*($E$2:$E$501&lt;$H156)," ")))</f>
        <v xml:space="preserve"> </v>
      </c>
      <c r="AK156" t="str" cm="1">
        <f t="array" ref="AK156">_xlfn.TEXTJOIN(",",TRUE,(_xlfn._xlws.FILTER($A$2:$A$501,($D$2:$D$501&gt;=AL$7)*($D$2:$D$501&lt;AK$7)*($E$2:$E$501&gt;=$H157)*($E$2:$E$501&lt;$H156)," ")))</f>
        <v xml:space="preserve"> </v>
      </c>
      <c r="AL156" t="str" cm="1">
        <f t="array" ref="AL156">_xlfn.TEXTJOIN(",",TRUE,(_xlfn._xlws.FILTER($A$2:$A$501,($D$2:$D$501&gt;=AM$7)*($D$2:$D$501&lt;AL$7)*($E$2:$E$501&gt;=$H157)*($E$2:$E$501&lt;$H156)," ")))</f>
        <v xml:space="preserve"> </v>
      </c>
      <c r="AM156" t="str" cm="1">
        <f t="array" ref="AM156">_xlfn.TEXTJOIN(",",TRUE,(_xlfn._xlws.FILTER($A$2:$A$501,($D$2:$D$501&gt;=AN$7)*($D$2:$D$501&lt;AM$7)*($E$2:$E$501&gt;=$H157)*($E$2:$E$501&lt;$H156)," ")))</f>
        <v xml:space="preserve"> </v>
      </c>
      <c r="AN156" t="str" cm="1">
        <f t="array" ref="AN156">_xlfn.TEXTJOIN(",",TRUE,(_xlfn._xlws.FILTER($A$2:$A$501,($D$2:$D$501&gt;=AO$7)*($D$2:$D$501&lt;AN$7)*($E$2:$E$501&gt;=$H157)*($E$2:$E$501&lt;$H156)," ")))</f>
        <v xml:space="preserve"> </v>
      </c>
      <c r="AO156" t="str" cm="1">
        <f t="array" ref="AO156">_xlfn.TEXTJOIN(",",TRUE,(_xlfn._xlws.FILTER($A$2:$A$501,($D$2:$D$501&gt;=AP$7)*($D$2:$D$501&lt;AO$7)*($E$2:$E$501&gt;=$H157)*($E$2:$E$501&lt;$H156)," ")))</f>
        <v xml:space="preserve"> </v>
      </c>
      <c r="AP156" t="str" cm="1">
        <f t="array" ref="AP156">_xlfn.TEXTJOIN(",",TRUE,(_xlfn._xlws.FILTER($A$2:$A$501,($D$2:$D$501&gt;=AQ$7)*($D$2:$D$501&lt;AP$7)*($E$2:$E$501&gt;=$H157)*($E$2:$E$501&lt;$H156)," ")))</f>
        <v xml:space="preserve"> </v>
      </c>
      <c r="AQ156" t="str" cm="1">
        <f t="array" ref="AQ156">_xlfn.TEXTJOIN(",",TRUE,(_xlfn._xlws.FILTER($A$2:$A$501,($D$2:$D$501&gt;=AR$7)*($D$2:$D$501&lt;AQ$7)*($E$2:$E$501&gt;=$H157)*($E$2:$E$501&lt;$H156)," ")))</f>
        <v xml:space="preserve"> </v>
      </c>
      <c r="AR156" t="str" cm="1">
        <f t="array" ref="AR156">_xlfn.TEXTJOIN(",",TRUE,(_xlfn._xlws.FILTER($A$2:$A$501,($D$2:$D$501&gt;=AS$7)*($D$2:$D$501&lt;AR$7)*($E$2:$E$501&gt;=$H157)*($E$2:$E$501&lt;$H156)," ")))</f>
        <v xml:space="preserve"> </v>
      </c>
      <c r="AS156" t="str" cm="1">
        <f t="array" ref="AS156">_xlfn.TEXTJOIN(",",TRUE,(_xlfn._xlws.FILTER($A$2:$A$501,($D$2:$D$501&gt;=AT$7)*($D$2:$D$501&lt;AS$7)*($E$2:$E$501&gt;=$H157)*($E$2:$E$501&lt;$H156)," ")))</f>
        <v xml:space="preserve"> </v>
      </c>
      <c r="AT156" t="str" cm="1">
        <f t="array" ref="AT156">_xlfn.TEXTJOIN(",",TRUE,(_xlfn._xlws.FILTER($A$2:$A$501,($D$2:$D$501&gt;=AU$7)*($D$2:$D$501&lt;AT$7)*($E$2:$E$501&gt;=$H157)*($E$2:$E$501&lt;$H156)," ")))</f>
        <v xml:space="preserve"> </v>
      </c>
      <c r="AU156" t="str" cm="1">
        <f t="array" ref="AU156">_xlfn.TEXTJOIN(",",TRUE,(_xlfn._xlws.FILTER($A$2:$A$501,($D$2:$D$501&gt;=AV$7)*($D$2:$D$501&lt;AU$7)*($E$2:$E$501&gt;=$H157)*($E$2:$E$501&lt;$H156)," ")))</f>
        <v xml:space="preserve"> </v>
      </c>
      <c r="AV156" t="str" cm="1">
        <f t="array" ref="AV156">_xlfn.TEXTJOIN(",",TRUE,(_xlfn._xlws.FILTER($A$2:$A$501,($D$2:$D$501&gt;=AW$7)*($D$2:$D$501&lt;AV$7)*($E$2:$E$501&gt;=$H157)*($E$2:$E$501&lt;$H156)," ")))</f>
        <v xml:space="preserve"> </v>
      </c>
      <c r="AW156" t="str" cm="1">
        <f t="array" ref="AW156">_xlfn.TEXTJOIN(",",TRUE,(_xlfn._xlws.FILTER($A$2:$A$501,($D$2:$D$501&gt;=AX$7)*($D$2:$D$501&lt;AW$7)*($E$2:$E$501&gt;=$H157)*($E$2:$E$501&lt;$H156)," ")))</f>
        <v xml:space="preserve"> </v>
      </c>
      <c r="AX156" t="str" cm="1">
        <f t="array" ref="AX156">_xlfn.TEXTJOIN(",",TRUE,(_xlfn._xlws.FILTER($A$2:$A$501,($D$2:$D$501&gt;=AY$7)*($D$2:$D$501&lt;AX$7)*($E$2:$E$501&gt;=$H157)*($E$2:$E$501&lt;$H156)," ")))</f>
        <v xml:space="preserve"> </v>
      </c>
      <c r="AY156" t="str" cm="1">
        <f t="array" ref="AY156">_xlfn.TEXTJOIN(",",TRUE,(_xlfn._xlws.FILTER($A$2:$A$501,($D$2:$D$501&gt;=AZ$7)*($D$2:$D$501&lt;AY$7)*($E$2:$E$501&gt;=$H157)*($E$2:$E$501&lt;$H156)," ")))</f>
        <v xml:space="preserve"> </v>
      </c>
      <c r="AZ156" t="str" cm="1">
        <f t="array" ref="AZ156">_xlfn.TEXTJOIN(",",TRUE,(_xlfn._xlws.FILTER($A$2:$A$501,($D$2:$D$501&gt;=BA$7)*($D$2:$D$501&lt;AZ$7)*($E$2:$E$501&gt;=$H157)*($E$2:$E$501&lt;$H156)," ")))</f>
        <v xml:space="preserve"> </v>
      </c>
      <c r="BA156" t="str" cm="1">
        <f t="array" ref="BA156">_xlfn.TEXTJOIN(",",TRUE,(_xlfn._xlws.FILTER($A$2:$A$501,($D$2:$D$501&gt;=BB$7)*($D$2:$D$501&lt;BA$7)*($E$2:$E$501&gt;=$H157)*($E$2:$E$501&lt;$H156)," ")))</f>
        <v xml:space="preserve"> </v>
      </c>
      <c r="BB156" t="str" cm="1">
        <f t="array" ref="BB156">_xlfn.TEXTJOIN(",",TRUE,(_xlfn._xlws.FILTER($A$2:$A$501,($D$2:$D$501&gt;=BC$7)*($D$2:$D$501&lt;BB$7)*($E$2:$E$501&gt;=$H157)*($E$2:$E$501&lt;$H156)," ")))</f>
        <v xml:space="preserve"> </v>
      </c>
    </row>
    <row r="157" spans="1:54" x14ac:dyDescent="0.2">
      <c r="A157" s="3" t="s">
        <v>469</v>
      </c>
      <c r="B157" s="3" t="s">
        <v>463</v>
      </c>
      <c r="C157" s="13">
        <v>517285.02</v>
      </c>
      <c r="D157" s="15">
        <v>14386825.439999999</v>
      </c>
      <c r="E157" s="22">
        <f>TuitionRates3[[#This Row],[Tuition]]/D157</f>
        <v>3.5955466489624693E-2</v>
      </c>
      <c r="F157"/>
      <c r="H157" s="18">
        <v>1E-3</v>
      </c>
      <c r="I157" t="str" cm="1">
        <f t="array" ref="I157">_xlfn.TEXTJOIN(",",TRUE,(_xlfn._xlws.FILTER($A$2:$A$501,($D$2:$D$501&gt;=J$7)*($D$2:$D$501&lt;I$7)*($E$2:$E$501&gt;=$H158)*($E$2:$E$501&lt;$H157)," ")))</f>
        <v xml:space="preserve"> </v>
      </c>
      <c r="J157" t="str" cm="1">
        <f t="array" ref="J157">_xlfn.TEXTJOIN(",",TRUE,(_xlfn._xlws.FILTER($A$2:$A$501,($D$2:$D$501&gt;=K$7)*($D$2:$D$501&lt;J$7)*($E$2:$E$501&gt;=$H158)*($E$2:$E$501&lt;$H157)," ")))</f>
        <v xml:space="preserve"> </v>
      </c>
      <c r="K157" t="str" cm="1">
        <f t="array" ref="K157">_xlfn.TEXTJOIN(",",TRUE,(_xlfn._xlws.FILTER($A$2:$A$501,($D$2:$D$501&gt;=L$7)*($D$2:$D$501&lt;K$7)*($E$2:$E$501&gt;=$H158)*($E$2:$E$501&lt;$H157)," ")))</f>
        <v xml:space="preserve"> </v>
      </c>
      <c r="L157" t="str" cm="1">
        <f t="array" ref="L157">_xlfn.TEXTJOIN(",",TRUE,(_xlfn._xlws.FILTER($A$2:$A$501,($D$2:$D$501&gt;=M$7)*($D$2:$D$501&lt;L$7)*($E$2:$E$501&gt;=$H158)*($E$2:$E$501&lt;$H157)," ")))</f>
        <v xml:space="preserve"> </v>
      </c>
      <c r="M157" t="str" cm="1">
        <f t="array" ref="M157">_xlfn.TEXTJOIN(",",TRUE,(_xlfn._xlws.FILTER($A$2:$A$501,($D$2:$D$501&gt;=N$7)*($D$2:$D$501&lt;M$7)*($E$2:$E$501&gt;=$H158)*($E$2:$E$501&lt;$H157)," ")))</f>
        <v xml:space="preserve"> </v>
      </c>
      <c r="N157" t="str" cm="1">
        <f t="array" ref="N157">_xlfn.TEXTJOIN(",",TRUE,(_xlfn._xlws.FILTER($A$2:$A$501,($D$2:$D$501&gt;=O$7)*($D$2:$D$501&lt;N$7)*($E$2:$E$501&gt;=$H158)*($E$2:$E$501&lt;$H157)," ")))</f>
        <v xml:space="preserve"> </v>
      </c>
      <c r="O157" t="str" cm="1">
        <f t="array" ref="O157">_xlfn.TEXTJOIN(",",TRUE,(_xlfn._xlws.FILTER($A$2:$A$501,($D$2:$D$501&gt;=P$7)*($D$2:$D$501&lt;O$7)*($E$2:$E$501&gt;=$H158)*($E$2:$E$501&lt;$H157)," ")))</f>
        <v xml:space="preserve"> </v>
      </c>
      <c r="P157" t="str" cm="1">
        <f t="array" ref="P157">_xlfn.TEXTJOIN(",",TRUE,(_xlfn._xlws.FILTER($A$2:$A$501,($D$2:$D$501&gt;=Q$7)*($D$2:$D$501&lt;P$7)*($E$2:$E$501&gt;=$H158)*($E$2:$E$501&lt;$H157)," ")))</f>
        <v xml:space="preserve"> </v>
      </c>
      <c r="Q157" t="str" cm="1">
        <f t="array" ref="Q157">_xlfn.TEXTJOIN(",",TRUE,(_xlfn._xlws.FILTER($A$2:$A$501,($D$2:$D$501&gt;=R$7)*($D$2:$D$501&lt;Q$7)*($E$2:$E$501&gt;=$H158)*($E$2:$E$501&lt;$H157)," ")))</f>
        <v xml:space="preserve"> </v>
      </c>
      <c r="R157" t="str" cm="1">
        <f t="array" ref="R157">_xlfn.TEXTJOIN(",",TRUE,(_xlfn._xlws.FILTER($A$2:$A$501,($D$2:$D$501&gt;=S$7)*($D$2:$D$501&lt;R$7)*($E$2:$E$501&gt;=$H158)*($E$2:$E$501&lt;$H157)," ")))</f>
        <v xml:space="preserve"> </v>
      </c>
      <c r="S157" t="str" cm="1">
        <f t="array" ref="S157">_xlfn.TEXTJOIN(",",TRUE,(_xlfn._xlws.FILTER($A$2:$A$501,($D$2:$D$501&gt;=T$7)*($D$2:$D$501&lt;S$7)*($E$2:$E$501&gt;=$H158)*($E$2:$E$501&lt;$H157)," ")))</f>
        <v xml:space="preserve"> </v>
      </c>
      <c r="T157" t="str" cm="1">
        <f t="array" ref="T157">_xlfn.TEXTJOIN(",",TRUE,(_xlfn._xlws.FILTER($A$2:$A$501,($D$2:$D$501&gt;=U$7)*($D$2:$D$501&lt;T$7)*($E$2:$E$501&gt;=$H158)*($E$2:$E$501&lt;$H157)," ")))</f>
        <v xml:space="preserve"> </v>
      </c>
      <c r="U157" t="str" cm="1">
        <f t="array" ref="U157">_xlfn.TEXTJOIN(",",TRUE,(_xlfn._xlws.FILTER($A$2:$A$501,($D$2:$D$501&gt;=V$7)*($D$2:$D$501&lt;U$7)*($E$2:$E$501&gt;=$H158)*($E$2:$E$501&lt;$H157)," ")))</f>
        <v xml:space="preserve"> </v>
      </c>
      <c r="V157" t="str" cm="1">
        <f t="array" ref="V157">_xlfn.TEXTJOIN(",",TRUE,(_xlfn._xlws.FILTER($A$2:$A$501,($D$2:$D$501&gt;=W$7)*($D$2:$D$501&lt;V$7)*($E$2:$E$501&gt;=$H158)*($E$2:$E$501&lt;$H157)," ")))</f>
        <v xml:space="preserve"> </v>
      </c>
      <c r="W157" t="str" cm="1">
        <f t="array" ref="W157">_xlfn.TEXTJOIN(",",TRUE,(_xlfn._xlws.FILTER($A$2:$A$501,($D$2:$D$501&gt;=X$7)*($D$2:$D$501&lt;W$7)*($E$2:$E$501&gt;=$H158)*($E$2:$E$501&lt;$H157)," ")))</f>
        <v xml:space="preserve"> </v>
      </c>
      <c r="X157" t="str" cm="1">
        <f t="array" ref="X157">_xlfn.TEXTJOIN(",",TRUE,(_xlfn._xlws.FILTER($A$2:$A$501,($D$2:$D$501&gt;=Y$7)*($D$2:$D$501&lt;X$7)*($E$2:$E$501&gt;=$H158)*($E$2:$E$501&lt;$H157)," ")))</f>
        <v xml:space="preserve"> </v>
      </c>
      <c r="Y157" t="str" cm="1">
        <f t="array" ref="Y157">_xlfn.TEXTJOIN(",",TRUE,(_xlfn._xlws.FILTER($A$2:$A$501,($D$2:$D$501&gt;=Z$7)*($D$2:$D$501&lt;Y$7)*($E$2:$E$501&gt;=$H158)*($E$2:$E$501&lt;$H157)," ")))</f>
        <v xml:space="preserve"> </v>
      </c>
      <c r="Z157" t="str" cm="1">
        <f t="array" ref="Z157">_xlfn.TEXTJOIN(",",TRUE,(_xlfn._xlws.FILTER($A$2:$A$501,($D$2:$D$501&gt;=AA$7)*($D$2:$D$501&lt;Z$7)*($E$2:$E$501&gt;=$H158)*($E$2:$E$501&lt;$H157)," ")))</f>
        <v xml:space="preserve"> </v>
      </c>
      <c r="AA157" t="str" cm="1">
        <f t="array" ref="AA157">_xlfn.TEXTJOIN(",",TRUE,(_xlfn._xlws.FILTER($A$2:$A$501,($D$2:$D$501&gt;=AB$7)*($D$2:$D$501&lt;AA$7)*($E$2:$E$501&gt;=$H158)*($E$2:$E$501&lt;$H157)," ")))</f>
        <v xml:space="preserve"> </v>
      </c>
      <c r="AB157" t="str" cm="1">
        <f t="array" ref="AB157">_xlfn.TEXTJOIN(",",TRUE,(_xlfn._xlws.FILTER($A$2:$A$501,($D$2:$D$501&gt;=AC$7)*($D$2:$D$501&lt;AB$7)*($E$2:$E$501&gt;=$H158)*($E$2:$E$501&lt;$H157)," ")))</f>
        <v xml:space="preserve"> </v>
      </c>
      <c r="AC157" t="str" cm="1">
        <f t="array" ref="AC157">_xlfn.TEXTJOIN(",",TRUE,(_xlfn._xlws.FILTER($A$2:$A$501,($D$2:$D$501&gt;=AD$7)*($D$2:$D$501&lt;AC$7)*($E$2:$E$501&gt;=$H158)*($E$2:$E$501&lt;$H157)," ")))</f>
        <v xml:space="preserve"> </v>
      </c>
      <c r="AD157" t="str" cm="1">
        <f t="array" ref="AD157">_xlfn.TEXTJOIN(",",TRUE,(_xlfn._xlws.FILTER($A$2:$A$501,($D$2:$D$501&gt;=AE$7)*($D$2:$D$501&lt;AD$7)*($E$2:$E$501&gt;=$H158)*($E$2:$E$501&lt;$H157)," ")))</f>
        <v xml:space="preserve"> </v>
      </c>
      <c r="AE157" t="str" cm="1">
        <f t="array" ref="AE157">_xlfn.TEXTJOIN(",",TRUE,(_xlfn._xlws.FILTER($A$2:$A$501,($D$2:$D$501&gt;=AF$7)*($D$2:$D$501&lt;AE$7)*($E$2:$E$501&gt;=$H158)*($E$2:$E$501&lt;$H157)," ")))</f>
        <v xml:space="preserve"> </v>
      </c>
      <c r="AF157" t="str" cm="1">
        <f t="array" ref="AF157">_xlfn.TEXTJOIN(",",TRUE,(_xlfn._xlws.FILTER($A$2:$A$501,($D$2:$D$501&gt;=AG$7)*($D$2:$D$501&lt;AF$7)*($E$2:$E$501&gt;=$H158)*($E$2:$E$501&lt;$H157)," ")))</f>
        <v xml:space="preserve"> </v>
      </c>
      <c r="AG157" t="str" cm="1">
        <f t="array" ref="AG157">_xlfn.TEXTJOIN(",",TRUE,(_xlfn._xlws.FILTER($A$2:$A$501,($D$2:$D$501&gt;=AH$7)*($D$2:$D$501&lt;AG$7)*($E$2:$E$501&gt;=$H158)*($E$2:$E$501&lt;$H157)," ")))</f>
        <v xml:space="preserve"> </v>
      </c>
      <c r="AH157" t="str" cm="1">
        <f t="array" ref="AH157">_xlfn.TEXTJOIN(",",TRUE,(_xlfn._xlws.FILTER($A$2:$A$501,($D$2:$D$501&gt;=AI$7)*($D$2:$D$501&lt;AH$7)*($E$2:$E$501&gt;=$H158)*($E$2:$E$501&lt;$H157)," ")))</f>
        <v xml:space="preserve"> </v>
      </c>
      <c r="AI157" t="str" cm="1">
        <f t="array" ref="AI157">_xlfn.TEXTJOIN(",",TRUE,(_xlfn._xlws.FILTER($A$2:$A$501,($D$2:$D$501&gt;=AJ$7)*($D$2:$D$501&lt;AI$7)*($E$2:$E$501&gt;=$H158)*($E$2:$E$501&lt;$H157)," ")))</f>
        <v xml:space="preserve"> </v>
      </c>
      <c r="AJ157" t="str" cm="1">
        <f t="array" ref="AJ157">_xlfn.TEXTJOIN(",",TRUE,(_xlfn._xlws.FILTER($A$2:$A$501,($D$2:$D$501&gt;=AK$7)*($D$2:$D$501&lt;AJ$7)*($E$2:$E$501&gt;=$H158)*($E$2:$E$501&lt;$H157)," ")))</f>
        <v>Austin Area SD</v>
      </c>
      <c r="AK157" t="str" cm="1">
        <f t="array" ref="AK157">_xlfn.TEXTJOIN(",",TRUE,(_xlfn._xlws.FILTER($A$2:$A$501,($D$2:$D$501&gt;=AL$7)*($D$2:$D$501&lt;AK$7)*($E$2:$E$501&gt;=$H158)*($E$2:$E$501&lt;$H157)," ")))</f>
        <v xml:space="preserve"> </v>
      </c>
      <c r="AL157" t="str" cm="1">
        <f t="array" ref="AL157">_xlfn.TEXTJOIN(",",TRUE,(_xlfn._xlws.FILTER($A$2:$A$501,($D$2:$D$501&gt;=AM$7)*($D$2:$D$501&lt;AL$7)*($E$2:$E$501&gt;=$H158)*($E$2:$E$501&lt;$H157)," ")))</f>
        <v xml:space="preserve"> </v>
      </c>
      <c r="AM157" t="str" cm="1">
        <f t="array" ref="AM157">_xlfn.TEXTJOIN(",",TRUE,(_xlfn._xlws.FILTER($A$2:$A$501,($D$2:$D$501&gt;=AN$7)*($D$2:$D$501&lt;AM$7)*($E$2:$E$501&gt;=$H158)*($E$2:$E$501&lt;$H157)," ")))</f>
        <v xml:space="preserve"> </v>
      </c>
      <c r="AN157" t="str" cm="1">
        <f t="array" ref="AN157">_xlfn.TEXTJOIN(",",TRUE,(_xlfn._xlws.FILTER($A$2:$A$501,($D$2:$D$501&gt;=AO$7)*($D$2:$D$501&lt;AN$7)*($E$2:$E$501&gt;=$H158)*($E$2:$E$501&lt;$H157)," ")))</f>
        <v xml:space="preserve"> </v>
      </c>
      <c r="AO157" t="str" cm="1">
        <f t="array" ref="AO157">_xlfn.TEXTJOIN(",",TRUE,(_xlfn._xlws.FILTER($A$2:$A$501,($D$2:$D$501&gt;=AP$7)*($D$2:$D$501&lt;AO$7)*($E$2:$E$501&gt;=$H158)*($E$2:$E$501&lt;$H157)," ")))</f>
        <v xml:space="preserve"> </v>
      </c>
      <c r="AP157" t="str" cm="1">
        <f t="array" ref="AP157">_xlfn.TEXTJOIN(",",TRUE,(_xlfn._xlws.FILTER($A$2:$A$501,($D$2:$D$501&gt;=AQ$7)*($D$2:$D$501&lt;AP$7)*($E$2:$E$501&gt;=$H158)*($E$2:$E$501&lt;$H157)," ")))</f>
        <v xml:space="preserve"> </v>
      </c>
      <c r="AQ157" t="str" cm="1">
        <f t="array" ref="AQ157">_xlfn.TEXTJOIN(",",TRUE,(_xlfn._xlws.FILTER($A$2:$A$501,($D$2:$D$501&gt;=AR$7)*($D$2:$D$501&lt;AQ$7)*($E$2:$E$501&gt;=$H158)*($E$2:$E$501&lt;$H157)," ")))</f>
        <v xml:space="preserve"> </v>
      </c>
      <c r="AR157" t="str" cm="1">
        <f t="array" ref="AR157">_xlfn.TEXTJOIN(",",TRUE,(_xlfn._xlws.FILTER($A$2:$A$501,($D$2:$D$501&gt;=AS$7)*($D$2:$D$501&lt;AR$7)*($E$2:$E$501&gt;=$H158)*($E$2:$E$501&lt;$H157)," ")))</f>
        <v xml:space="preserve"> </v>
      </c>
      <c r="AS157" t="str" cm="1">
        <f t="array" ref="AS157">_xlfn.TEXTJOIN(",",TRUE,(_xlfn._xlws.FILTER($A$2:$A$501,($D$2:$D$501&gt;=AT$7)*($D$2:$D$501&lt;AS$7)*($E$2:$E$501&gt;=$H158)*($E$2:$E$501&lt;$H157)," ")))</f>
        <v xml:space="preserve"> </v>
      </c>
      <c r="AT157" t="str" cm="1">
        <f t="array" ref="AT157">_xlfn.TEXTJOIN(",",TRUE,(_xlfn._xlws.FILTER($A$2:$A$501,($D$2:$D$501&gt;=AU$7)*($D$2:$D$501&lt;AT$7)*($E$2:$E$501&gt;=$H158)*($E$2:$E$501&lt;$H157)," ")))</f>
        <v xml:space="preserve"> </v>
      </c>
      <c r="AU157" t="str" cm="1">
        <f t="array" ref="AU157">_xlfn.TEXTJOIN(",",TRUE,(_xlfn._xlws.FILTER($A$2:$A$501,($D$2:$D$501&gt;=AV$7)*($D$2:$D$501&lt;AU$7)*($E$2:$E$501&gt;=$H158)*($E$2:$E$501&lt;$H157)," ")))</f>
        <v xml:space="preserve"> </v>
      </c>
      <c r="AV157" t="str" cm="1">
        <f t="array" ref="AV157">_xlfn.TEXTJOIN(",",TRUE,(_xlfn._xlws.FILTER($A$2:$A$501,($D$2:$D$501&gt;=AW$7)*($D$2:$D$501&lt;AV$7)*($E$2:$E$501&gt;=$H158)*($E$2:$E$501&lt;$H157)," ")))</f>
        <v xml:space="preserve"> </v>
      </c>
      <c r="AW157" t="str" cm="1">
        <f t="array" ref="AW157">_xlfn.TEXTJOIN(",",TRUE,(_xlfn._xlws.FILTER($A$2:$A$501,($D$2:$D$501&gt;=AX$7)*($D$2:$D$501&lt;AW$7)*($E$2:$E$501&gt;=$H158)*($E$2:$E$501&lt;$H157)," ")))</f>
        <v xml:space="preserve"> </v>
      </c>
      <c r="AX157" t="str" cm="1">
        <f t="array" ref="AX157">_xlfn.TEXTJOIN(",",TRUE,(_xlfn._xlws.FILTER($A$2:$A$501,($D$2:$D$501&gt;=AY$7)*($D$2:$D$501&lt;AX$7)*($E$2:$E$501&gt;=$H158)*($E$2:$E$501&lt;$H157)," ")))</f>
        <v xml:space="preserve"> </v>
      </c>
      <c r="AY157" t="str" cm="1">
        <f t="array" ref="AY157">_xlfn.TEXTJOIN(",",TRUE,(_xlfn._xlws.FILTER($A$2:$A$501,($D$2:$D$501&gt;=AZ$7)*($D$2:$D$501&lt;AY$7)*($E$2:$E$501&gt;=$H158)*($E$2:$E$501&lt;$H157)," ")))</f>
        <v xml:space="preserve"> </v>
      </c>
      <c r="AZ157" t="str" cm="1">
        <f t="array" ref="AZ157">_xlfn.TEXTJOIN(",",TRUE,(_xlfn._xlws.FILTER($A$2:$A$501,($D$2:$D$501&gt;=BA$7)*($D$2:$D$501&lt;AZ$7)*($E$2:$E$501&gt;=$H158)*($E$2:$E$501&lt;$H157)," ")))</f>
        <v xml:space="preserve"> </v>
      </c>
      <c r="BA157" t="str" cm="1">
        <f t="array" ref="BA157">_xlfn.TEXTJOIN(",",TRUE,(_xlfn._xlws.FILTER($A$2:$A$501,($D$2:$D$501&gt;=BB$7)*($D$2:$D$501&lt;BA$7)*($E$2:$E$501&gt;=$H158)*($E$2:$E$501&lt;$H157)," ")))</f>
        <v xml:space="preserve"> </v>
      </c>
      <c r="BB157" t="str" cm="1">
        <f t="array" ref="BB157">_xlfn.TEXTJOIN(",",TRUE,(_xlfn._xlws.FILTER($A$2:$A$501,($D$2:$D$501&gt;=BC$7)*($D$2:$D$501&lt;BB$7)*($E$2:$E$501&gt;=$H158)*($E$2:$E$501&lt;$H157)," ")))</f>
        <v xml:space="preserve"> </v>
      </c>
    </row>
    <row r="158" spans="1:54" x14ac:dyDescent="0.2">
      <c r="A158" s="3" t="s">
        <v>149</v>
      </c>
      <c r="B158" s="3" t="s">
        <v>138</v>
      </c>
      <c r="C158" s="13">
        <v>1039706.95</v>
      </c>
      <c r="D158" s="15">
        <v>28963163.699999999</v>
      </c>
      <c r="E158" s="22">
        <f>TuitionRates3[[#This Row],[Tuition]]/D158</f>
        <v>3.5897561494637409E-2</v>
      </c>
      <c r="F158"/>
      <c r="H158" s="18">
        <v>0</v>
      </c>
      <c r="I158" t="str" cm="1">
        <f t="array" ref="I158">_xlfn.TEXTJOIN(",",TRUE,(_xlfn._xlws.FILTER($A$2:$A$501,($D$2:$D$501&gt;=J$7)*($D$2:$D$501&lt;I$7)*($E$2:$E$501&gt;=$H159)*($E$2:$E$501&lt;$H158)," ")))</f>
        <v xml:space="preserve"> </v>
      </c>
      <c r="J158" t="str" cm="1">
        <f t="array" ref="J158">_xlfn.TEXTJOIN(",",TRUE,(_xlfn._xlws.FILTER($A$2:$A$501,($D$2:$D$501&gt;=K$7)*($D$2:$D$501&lt;J$7)*($E$2:$E$501&gt;=$H159)*($E$2:$E$501&lt;$H158)," ")))</f>
        <v xml:space="preserve"> </v>
      </c>
      <c r="K158" t="str" cm="1">
        <f t="array" ref="K158">_xlfn.TEXTJOIN(",",TRUE,(_xlfn._xlws.FILTER($A$2:$A$501,($D$2:$D$501&gt;=L$7)*($D$2:$D$501&lt;K$7)*($E$2:$E$501&gt;=$H159)*($E$2:$E$501&lt;$H158)," ")))</f>
        <v xml:space="preserve"> </v>
      </c>
      <c r="L158" t="str" cm="1">
        <f t="array" ref="L158">_xlfn.TEXTJOIN(",",TRUE,(_xlfn._xlws.FILTER($A$2:$A$501,($D$2:$D$501&gt;=M$7)*($D$2:$D$501&lt;L$7)*($E$2:$E$501&gt;=$H159)*($E$2:$E$501&lt;$H158)," ")))</f>
        <v xml:space="preserve"> </v>
      </c>
      <c r="M158" t="str" cm="1">
        <f t="array" ref="M158">_xlfn.TEXTJOIN(",",TRUE,(_xlfn._xlws.FILTER($A$2:$A$501,($D$2:$D$501&gt;=N$7)*($D$2:$D$501&lt;M$7)*($E$2:$E$501&gt;=$H159)*($E$2:$E$501&lt;$H158)," ")))</f>
        <v xml:space="preserve"> </v>
      </c>
      <c r="N158" t="str" cm="1">
        <f t="array" ref="N158">_xlfn.TEXTJOIN(",",TRUE,(_xlfn._xlws.FILTER($A$2:$A$501,($D$2:$D$501&gt;=O$7)*($D$2:$D$501&lt;N$7)*($E$2:$E$501&gt;=$H159)*($E$2:$E$501&lt;$H158)," ")))</f>
        <v xml:space="preserve"> </v>
      </c>
      <c r="O158" t="str" cm="1">
        <f t="array" ref="O158">_xlfn.TEXTJOIN(",",TRUE,(_xlfn._xlws.FILTER($A$2:$A$501,($D$2:$D$501&gt;=P$7)*($D$2:$D$501&lt;O$7)*($E$2:$E$501&gt;=$H159)*($E$2:$E$501&lt;$H158)," ")))</f>
        <v xml:space="preserve"> </v>
      </c>
      <c r="P158" t="str" cm="1">
        <f t="array" ref="P158">_xlfn.TEXTJOIN(",",TRUE,(_xlfn._xlws.FILTER($A$2:$A$501,($D$2:$D$501&gt;=Q$7)*($D$2:$D$501&lt;P$7)*($E$2:$E$501&gt;=$H159)*($E$2:$E$501&lt;$H158)," ")))</f>
        <v xml:space="preserve"> </v>
      </c>
      <c r="Q158" t="str" cm="1">
        <f t="array" ref="Q158">_xlfn.TEXTJOIN(",",TRUE,(_xlfn._xlws.FILTER($A$2:$A$501,($D$2:$D$501&gt;=R$7)*($D$2:$D$501&lt;Q$7)*($E$2:$E$501&gt;=$H159)*($E$2:$E$501&lt;$H158)," ")))</f>
        <v xml:space="preserve"> </v>
      </c>
      <c r="R158" t="str" cm="1">
        <f t="array" ref="R158">_xlfn.TEXTJOIN(",",TRUE,(_xlfn._xlws.FILTER($A$2:$A$501,($D$2:$D$501&gt;=S$7)*($D$2:$D$501&lt;R$7)*($E$2:$E$501&gt;=$H159)*($E$2:$E$501&lt;$H158)," ")))</f>
        <v xml:space="preserve"> </v>
      </c>
      <c r="S158" t="str" cm="1">
        <f t="array" ref="S158">_xlfn.TEXTJOIN(",",TRUE,(_xlfn._xlws.FILTER($A$2:$A$501,($D$2:$D$501&gt;=T$7)*($D$2:$D$501&lt;S$7)*($E$2:$E$501&gt;=$H159)*($E$2:$E$501&lt;$H158)," ")))</f>
        <v xml:space="preserve"> </v>
      </c>
      <c r="T158" t="str" cm="1">
        <f t="array" ref="T158">_xlfn.TEXTJOIN(",",TRUE,(_xlfn._xlws.FILTER($A$2:$A$501,($D$2:$D$501&gt;=U$7)*($D$2:$D$501&lt;T$7)*($E$2:$E$501&gt;=$H159)*($E$2:$E$501&lt;$H158)," ")))</f>
        <v xml:space="preserve"> </v>
      </c>
      <c r="U158" t="str" cm="1">
        <f t="array" ref="U158">_xlfn.TEXTJOIN(",",TRUE,(_xlfn._xlws.FILTER($A$2:$A$501,($D$2:$D$501&gt;=V$7)*($D$2:$D$501&lt;U$7)*($E$2:$E$501&gt;=$H159)*($E$2:$E$501&lt;$H158)," ")))</f>
        <v xml:space="preserve"> </v>
      </c>
      <c r="V158" t="str" cm="1">
        <f t="array" ref="V158">_xlfn.TEXTJOIN(",",TRUE,(_xlfn._xlws.FILTER($A$2:$A$501,($D$2:$D$501&gt;=W$7)*($D$2:$D$501&lt;V$7)*($E$2:$E$501&gt;=$H159)*($E$2:$E$501&lt;$H158)," ")))</f>
        <v xml:space="preserve"> </v>
      </c>
      <c r="W158" t="str" cm="1">
        <f t="array" ref="W158">_xlfn.TEXTJOIN(",",TRUE,(_xlfn._xlws.FILTER($A$2:$A$501,($D$2:$D$501&gt;=X$7)*($D$2:$D$501&lt;W$7)*($E$2:$E$501&gt;=$H159)*($E$2:$E$501&lt;$H158)," ")))</f>
        <v xml:space="preserve"> </v>
      </c>
      <c r="X158" t="str" cm="1">
        <f t="array" ref="X158">_xlfn.TEXTJOIN(",",TRUE,(_xlfn._xlws.FILTER($A$2:$A$501,($D$2:$D$501&gt;=Y$7)*($D$2:$D$501&lt;X$7)*($E$2:$E$501&gt;=$H159)*($E$2:$E$501&lt;$H158)," ")))</f>
        <v xml:space="preserve"> </v>
      </c>
      <c r="Y158" t="str" cm="1">
        <f t="array" ref="Y158">_xlfn.TEXTJOIN(",",TRUE,(_xlfn._xlws.FILTER($A$2:$A$501,($D$2:$D$501&gt;=Z$7)*($D$2:$D$501&lt;Y$7)*($E$2:$E$501&gt;=$H159)*($E$2:$E$501&lt;$H158)," ")))</f>
        <v xml:space="preserve"> </v>
      </c>
      <c r="Z158" t="str" cm="1">
        <f t="array" ref="Z158">_xlfn.TEXTJOIN(",",TRUE,(_xlfn._xlws.FILTER($A$2:$A$501,($D$2:$D$501&gt;=AA$7)*($D$2:$D$501&lt;Z$7)*($E$2:$E$501&gt;=$H159)*($E$2:$E$501&lt;$H158)," ")))</f>
        <v xml:space="preserve"> </v>
      </c>
      <c r="AA158" t="str" cm="1">
        <f t="array" ref="AA158">_xlfn.TEXTJOIN(",",TRUE,(_xlfn._xlws.FILTER($A$2:$A$501,($D$2:$D$501&gt;=AB$7)*($D$2:$D$501&lt;AA$7)*($E$2:$E$501&gt;=$H159)*($E$2:$E$501&lt;$H158)," ")))</f>
        <v xml:space="preserve"> </v>
      </c>
      <c r="AB158" t="str" cm="1">
        <f t="array" ref="AB158">_xlfn.TEXTJOIN(",",TRUE,(_xlfn._xlws.FILTER($A$2:$A$501,($D$2:$D$501&gt;=AC$7)*($D$2:$D$501&lt;AB$7)*($E$2:$E$501&gt;=$H159)*($E$2:$E$501&lt;$H158)," ")))</f>
        <v xml:space="preserve"> </v>
      </c>
      <c r="AC158" t="str" cm="1">
        <f t="array" ref="AC158">_xlfn.TEXTJOIN(",",TRUE,(_xlfn._xlws.FILTER($A$2:$A$501,($D$2:$D$501&gt;=AD$7)*($D$2:$D$501&lt;AC$7)*($E$2:$E$501&gt;=$H159)*($E$2:$E$501&lt;$H158)," ")))</f>
        <v xml:space="preserve"> </v>
      </c>
      <c r="AD158" t="str" cm="1">
        <f t="array" ref="AD158">_xlfn.TEXTJOIN(",",TRUE,(_xlfn._xlws.FILTER($A$2:$A$501,($D$2:$D$501&gt;=AE$7)*($D$2:$D$501&lt;AD$7)*($E$2:$E$501&gt;=$H159)*($E$2:$E$501&lt;$H158)," ")))</f>
        <v xml:space="preserve"> </v>
      </c>
      <c r="AE158" t="str" cm="1">
        <f t="array" ref="AE158">_xlfn.TEXTJOIN(",",TRUE,(_xlfn._xlws.FILTER($A$2:$A$501,($D$2:$D$501&gt;=AF$7)*($D$2:$D$501&lt;AE$7)*($E$2:$E$501&gt;=$H159)*($E$2:$E$501&lt;$H158)," ")))</f>
        <v xml:space="preserve"> </v>
      </c>
      <c r="AF158" t="str" cm="1">
        <f t="array" ref="AF158">_xlfn.TEXTJOIN(",",TRUE,(_xlfn._xlws.FILTER($A$2:$A$501,($D$2:$D$501&gt;=AG$7)*($D$2:$D$501&lt;AF$7)*($E$2:$E$501&gt;=$H159)*($E$2:$E$501&lt;$H158)," ")))</f>
        <v xml:space="preserve"> </v>
      </c>
      <c r="AG158" t="str" cm="1">
        <f t="array" ref="AG158">_xlfn.TEXTJOIN(",",TRUE,(_xlfn._xlws.FILTER($A$2:$A$501,($D$2:$D$501&gt;=AH$7)*($D$2:$D$501&lt;AG$7)*($E$2:$E$501&gt;=$H159)*($E$2:$E$501&lt;$H158)," ")))</f>
        <v xml:space="preserve"> </v>
      </c>
      <c r="AH158" t="str" cm="1">
        <f t="array" ref="AH158">_xlfn.TEXTJOIN(",",TRUE,(_xlfn._xlws.FILTER($A$2:$A$501,($D$2:$D$501&gt;=AI$7)*($D$2:$D$501&lt;AH$7)*($E$2:$E$501&gt;=$H159)*($E$2:$E$501&lt;$H158)," ")))</f>
        <v xml:space="preserve"> </v>
      </c>
      <c r="AI158" t="str" cm="1">
        <f t="array" ref="AI158">_xlfn.TEXTJOIN(",",TRUE,(_xlfn._xlws.FILTER($A$2:$A$501,($D$2:$D$501&gt;=AJ$7)*($D$2:$D$501&lt;AI$7)*($E$2:$E$501&gt;=$H159)*($E$2:$E$501&lt;$H158)," ")))</f>
        <v xml:space="preserve"> </v>
      </c>
      <c r="AJ158" t="str" cm="1">
        <f t="array" ref="AJ158">_xlfn.TEXTJOIN(",",TRUE,(_xlfn._xlws.FILTER($A$2:$A$501,($D$2:$D$501&gt;=AK$7)*($D$2:$D$501&lt;AJ$7)*($E$2:$E$501&gt;=$H159)*($E$2:$E$501&lt;$H158)," ")))</f>
        <v xml:space="preserve"> </v>
      </c>
      <c r="AK158" t="str" cm="1">
        <f t="array" ref="AK158">_xlfn.TEXTJOIN(",",TRUE,(_xlfn._xlws.FILTER($A$2:$A$501,($D$2:$D$501&gt;=AL$7)*($D$2:$D$501&lt;AK$7)*($E$2:$E$501&gt;=$H159)*($E$2:$E$501&lt;$H158)," ")))</f>
        <v xml:space="preserve"> </v>
      </c>
      <c r="AL158" t="str" cm="1">
        <f t="array" ref="AL158">_xlfn.TEXTJOIN(",",TRUE,(_xlfn._xlws.FILTER($A$2:$A$501,($D$2:$D$501&gt;=AM$7)*($D$2:$D$501&lt;AL$7)*($E$2:$E$501&gt;=$H159)*($E$2:$E$501&lt;$H158)," ")))</f>
        <v xml:space="preserve"> </v>
      </c>
      <c r="AM158" t="str" cm="1">
        <f t="array" ref="AM158">_xlfn.TEXTJOIN(",",TRUE,(_xlfn._xlws.FILTER($A$2:$A$501,($D$2:$D$501&gt;=AN$7)*($D$2:$D$501&lt;AM$7)*($E$2:$E$501&gt;=$H159)*($E$2:$E$501&lt;$H158)," ")))</f>
        <v xml:space="preserve"> </v>
      </c>
      <c r="AN158" t="str" cm="1">
        <f t="array" ref="AN158">_xlfn.TEXTJOIN(",",TRUE,(_xlfn._xlws.FILTER($A$2:$A$501,($D$2:$D$501&gt;=AO$7)*($D$2:$D$501&lt;AN$7)*($E$2:$E$501&gt;=$H159)*($E$2:$E$501&lt;$H158)," ")))</f>
        <v xml:space="preserve"> </v>
      </c>
      <c r="AO158" t="str" cm="1">
        <f t="array" ref="AO158">_xlfn.TEXTJOIN(",",TRUE,(_xlfn._xlws.FILTER($A$2:$A$501,($D$2:$D$501&gt;=AP$7)*($D$2:$D$501&lt;AO$7)*($E$2:$E$501&gt;=$H159)*($E$2:$E$501&lt;$H158)," ")))</f>
        <v xml:space="preserve"> </v>
      </c>
      <c r="AP158" t="str" cm="1">
        <f t="array" ref="AP158">_xlfn.TEXTJOIN(",",TRUE,(_xlfn._xlws.FILTER($A$2:$A$501,($D$2:$D$501&gt;=AQ$7)*($D$2:$D$501&lt;AP$7)*($E$2:$E$501&gt;=$H159)*($E$2:$E$501&lt;$H158)," ")))</f>
        <v xml:space="preserve"> </v>
      </c>
      <c r="AQ158" t="str" cm="1">
        <f t="array" ref="AQ158">_xlfn.TEXTJOIN(",",TRUE,(_xlfn._xlws.FILTER($A$2:$A$501,($D$2:$D$501&gt;=AR$7)*($D$2:$D$501&lt;AQ$7)*($E$2:$E$501&gt;=$H159)*($E$2:$E$501&lt;$H158)," ")))</f>
        <v xml:space="preserve"> </v>
      </c>
      <c r="AR158" t="str" cm="1">
        <f t="array" ref="AR158">_xlfn.TEXTJOIN(",",TRUE,(_xlfn._xlws.FILTER($A$2:$A$501,($D$2:$D$501&gt;=AS$7)*($D$2:$D$501&lt;AR$7)*($E$2:$E$501&gt;=$H159)*($E$2:$E$501&lt;$H158)," ")))</f>
        <v xml:space="preserve"> </v>
      </c>
      <c r="AS158" t="str" cm="1">
        <f t="array" ref="AS158">_xlfn.TEXTJOIN(",",TRUE,(_xlfn._xlws.FILTER($A$2:$A$501,($D$2:$D$501&gt;=AT$7)*($D$2:$D$501&lt;AS$7)*($E$2:$E$501&gt;=$H159)*($E$2:$E$501&lt;$H158)," ")))</f>
        <v xml:space="preserve"> </v>
      </c>
      <c r="AT158" t="str" cm="1">
        <f t="array" ref="AT158">_xlfn.TEXTJOIN(",",TRUE,(_xlfn._xlws.FILTER($A$2:$A$501,($D$2:$D$501&gt;=AU$7)*($D$2:$D$501&lt;AT$7)*($E$2:$E$501&gt;=$H159)*($E$2:$E$501&lt;$H158)," ")))</f>
        <v xml:space="preserve"> </v>
      </c>
      <c r="AU158" t="str" cm="1">
        <f t="array" ref="AU158">_xlfn.TEXTJOIN(",",TRUE,(_xlfn._xlws.FILTER($A$2:$A$501,($D$2:$D$501&gt;=AV$7)*($D$2:$D$501&lt;AU$7)*($E$2:$E$501&gt;=$H159)*($E$2:$E$501&lt;$H158)," ")))</f>
        <v xml:space="preserve"> </v>
      </c>
      <c r="AV158" t="str" cm="1">
        <f t="array" ref="AV158">_xlfn.TEXTJOIN(",",TRUE,(_xlfn._xlws.FILTER($A$2:$A$501,($D$2:$D$501&gt;=AW$7)*($D$2:$D$501&lt;AV$7)*($E$2:$E$501&gt;=$H159)*($E$2:$E$501&lt;$H158)," ")))</f>
        <v xml:space="preserve"> </v>
      </c>
      <c r="AW158" t="str" cm="1">
        <f t="array" ref="AW158">_xlfn.TEXTJOIN(",",TRUE,(_xlfn._xlws.FILTER($A$2:$A$501,($D$2:$D$501&gt;=AX$7)*($D$2:$D$501&lt;AW$7)*($E$2:$E$501&gt;=$H159)*($E$2:$E$501&lt;$H158)," ")))</f>
        <v xml:space="preserve"> </v>
      </c>
      <c r="AX158" t="str" cm="1">
        <f t="array" ref="AX158">_xlfn.TEXTJOIN(",",TRUE,(_xlfn._xlws.FILTER($A$2:$A$501,($D$2:$D$501&gt;=AY$7)*($D$2:$D$501&lt;AX$7)*($E$2:$E$501&gt;=$H159)*($E$2:$E$501&lt;$H158)," ")))</f>
        <v xml:space="preserve"> </v>
      </c>
      <c r="AY158" t="str" cm="1">
        <f t="array" ref="AY158">_xlfn.TEXTJOIN(",",TRUE,(_xlfn._xlws.FILTER($A$2:$A$501,($D$2:$D$501&gt;=AZ$7)*($D$2:$D$501&lt;AY$7)*($E$2:$E$501&gt;=$H159)*($E$2:$E$501&lt;$H158)," ")))</f>
        <v xml:space="preserve"> </v>
      </c>
      <c r="AZ158" t="str" cm="1">
        <f t="array" ref="AZ158">_xlfn.TEXTJOIN(",",TRUE,(_xlfn._xlws.FILTER($A$2:$A$501,($D$2:$D$501&gt;=BA$7)*($D$2:$D$501&lt;AZ$7)*($E$2:$E$501&gt;=$H159)*($E$2:$E$501&lt;$H158)," ")))</f>
        <v xml:space="preserve"> </v>
      </c>
      <c r="BA158" t="str" cm="1">
        <f t="array" ref="BA158">_xlfn.TEXTJOIN(",",TRUE,(_xlfn._xlws.FILTER($A$2:$A$501,($D$2:$D$501&gt;=BB$7)*($D$2:$D$501&lt;BA$7)*($E$2:$E$501&gt;=$H159)*($E$2:$E$501&lt;$H158)," ")))</f>
        <v xml:space="preserve"> </v>
      </c>
      <c r="BB158" t="str" cm="1">
        <f t="array" ref="BB158">_xlfn.TEXTJOIN(",",TRUE,(_xlfn._xlws.FILTER($A$2:$A$501,($D$2:$D$501&gt;=BC$7)*($D$2:$D$501&lt;BB$7)*($E$2:$E$501&gt;=$H159)*($E$2:$E$501&lt;$H158)," ")))</f>
        <v xml:space="preserve"> </v>
      </c>
    </row>
    <row r="159" spans="1:54" x14ac:dyDescent="0.2">
      <c r="A159" s="3" t="s">
        <v>485</v>
      </c>
      <c r="B159" s="3" t="s">
        <v>479</v>
      </c>
      <c r="C159" s="13">
        <v>325413.21000000002</v>
      </c>
      <c r="D159" s="15">
        <v>9067019.3800000008</v>
      </c>
      <c r="E159" s="22">
        <f>TuitionRates3[[#This Row],[Tuition]]/D159</f>
        <v>3.5889766676554739E-2</v>
      </c>
      <c r="F159"/>
    </row>
    <row r="160" spans="1:54" x14ac:dyDescent="0.2">
      <c r="A160" s="3" t="s">
        <v>265</v>
      </c>
      <c r="B160" s="3" t="s">
        <v>261</v>
      </c>
      <c r="C160" s="13">
        <v>2178541.54</v>
      </c>
      <c r="D160" s="15">
        <v>61057678.780000001</v>
      </c>
      <c r="E160" s="22">
        <f>TuitionRates3[[#This Row],[Tuition]]/D160</f>
        <v>3.5680058324025266E-2</v>
      </c>
      <c r="F160"/>
    </row>
    <row r="161" spans="1:6" x14ac:dyDescent="0.2">
      <c r="A161" s="3" t="s">
        <v>505</v>
      </c>
      <c r="B161" s="3" t="s">
        <v>504</v>
      </c>
      <c r="C161" s="13">
        <v>1311571.31</v>
      </c>
      <c r="D161" s="15">
        <v>36867634.159999996</v>
      </c>
      <c r="E161" s="22">
        <f>TuitionRates3[[#This Row],[Tuition]]/D161</f>
        <v>3.5575141716660673E-2</v>
      </c>
      <c r="F161"/>
    </row>
    <row r="162" spans="1:6" x14ac:dyDescent="0.2">
      <c r="A162" s="3" t="s">
        <v>27</v>
      </c>
      <c r="B162" s="3" t="s">
        <v>11</v>
      </c>
      <c r="C162" s="13">
        <v>1652682</v>
      </c>
      <c r="D162" s="15">
        <v>46573513</v>
      </c>
      <c r="E162" s="22">
        <f>TuitionRates3[[#This Row],[Tuition]]/D162</f>
        <v>3.5485448563865048E-2</v>
      </c>
      <c r="F162"/>
    </row>
    <row r="163" spans="1:6" x14ac:dyDescent="0.2">
      <c r="A163" s="3" t="s">
        <v>180</v>
      </c>
      <c r="B163" s="3" t="s">
        <v>177</v>
      </c>
      <c r="C163" s="13">
        <v>635821.65</v>
      </c>
      <c r="D163" s="15">
        <v>18004892.18</v>
      </c>
      <c r="E163" s="22">
        <f>TuitionRates3[[#This Row],[Tuition]]/D163</f>
        <v>3.531382713339859E-2</v>
      </c>
      <c r="F163"/>
    </row>
    <row r="164" spans="1:6" x14ac:dyDescent="0.2">
      <c r="A164" s="3" t="s">
        <v>260</v>
      </c>
      <c r="B164" s="3" t="s">
        <v>261</v>
      </c>
      <c r="C164" s="13">
        <v>2169314.33</v>
      </c>
      <c r="D164" s="15">
        <v>61450613.329999998</v>
      </c>
      <c r="E164" s="22">
        <f>TuitionRates3[[#This Row],[Tuition]]/D164</f>
        <v>3.5301752292534849E-2</v>
      </c>
      <c r="F164"/>
    </row>
    <row r="165" spans="1:6" x14ac:dyDescent="0.2">
      <c r="A165" s="3" t="s">
        <v>498</v>
      </c>
      <c r="B165" s="3" t="s">
        <v>493</v>
      </c>
      <c r="C165" s="13">
        <v>620254</v>
      </c>
      <c r="D165" s="15">
        <v>17649513.449999999</v>
      </c>
      <c r="E165" s="22">
        <f>TuitionRates3[[#This Row],[Tuition]]/D165</f>
        <v>3.5142838455980215E-2</v>
      </c>
      <c r="F165"/>
    </row>
    <row r="166" spans="1:6" x14ac:dyDescent="0.2">
      <c r="A166" s="3" t="s">
        <v>296</v>
      </c>
      <c r="B166" s="3" t="s">
        <v>291</v>
      </c>
      <c r="C166" s="13">
        <v>1228919.47</v>
      </c>
      <c r="D166" s="15">
        <v>35022544.689999998</v>
      </c>
      <c r="E166" s="22">
        <f>TuitionRates3[[#This Row],[Tuition]]/D166</f>
        <v>3.5089382592775845E-2</v>
      </c>
      <c r="F166"/>
    </row>
    <row r="167" spans="1:6" x14ac:dyDescent="0.2">
      <c r="A167" s="3" t="s">
        <v>561</v>
      </c>
      <c r="B167" s="3" t="s">
        <v>554</v>
      </c>
      <c r="C167" s="13">
        <v>3465706</v>
      </c>
      <c r="D167" s="15">
        <v>98924656</v>
      </c>
      <c r="E167" s="22">
        <f>TuitionRates3[[#This Row],[Tuition]]/D167</f>
        <v>3.5033793799596334E-2</v>
      </c>
      <c r="F167"/>
    </row>
    <row r="168" spans="1:6" x14ac:dyDescent="0.2">
      <c r="A168" s="3" t="s">
        <v>466</v>
      </c>
      <c r="B168" s="3" t="s">
        <v>463</v>
      </c>
      <c r="C168" s="13">
        <v>1297976.51</v>
      </c>
      <c r="D168" s="15">
        <v>37252254.960000001</v>
      </c>
      <c r="E168" s="22">
        <f>TuitionRates3[[#This Row],[Tuition]]/D168</f>
        <v>3.4842897735820715E-2</v>
      </c>
      <c r="F168"/>
    </row>
    <row r="169" spans="1:6" x14ac:dyDescent="0.2">
      <c r="A169" s="3" t="s">
        <v>188</v>
      </c>
      <c r="B169" s="3" t="s">
        <v>185</v>
      </c>
      <c r="C169" s="13">
        <v>586317.26</v>
      </c>
      <c r="D169" s="15">
        <v>16878780.25</v>
      </c>
      <c r="E169" s="22">
        <f>TuitionRates3[[#This Row],[Tuition]]/D169</f>
        <v>3.473694492823319E-2</v>
      </c>
      <c r="F169"/>
    </row>
    <row r="170" spans="1:6" x14ac:dyDescent="0.2">
      <c r="A170" s="3" t="s">
        <v>202</v>
      </c>
      <c r="B170" s="3" t="s">
        <v>203</v>
      </c>
      <c r="C170" s="13">
        <v>1455822</v>
      </c>
      <c r="D170" s="15">
        <v>41941532.509999998</v>
      </c>
      <c r="E170" s="22">
        <f>TuitionRates3[[#This Row],[Tuition]]/D170</f>
        <v>3.4710748818081283E-2</v>
      </c>
      <c r="F170"/>
    </row>
    <row r="171" spans="1:6" x14ac:dyDescent="0.2">
      <c r="A171" s="3" t="s">
        <v>3</v>
      </c>
      <c r="B171" s="3" t="s">
        <v>4</v>
      </c>
      <c r="C171" s="13">
        <v>1208350.78</v>
      </c>
      <c r="D171" s="15">
        <v>35133686.850000001</v>
      </c>
      <c r="E171" s="22">
        <f>TuitionRates3[[#This Row],[Tuition]]/D171</f>
        <v>3.4392939891533185E-2</v>
      </c>
      <c r="F171"/>
    </row>
    <row r="172" spans="1:6" x14ac:dyDescent="0.2">
      <c r="A172" s="3" t="s">
        <v>283</v>
      </c>
      <c r="B172" s="3" t="s">
        <v>280</v>
      </c>
      <c r="C172" s="13">
        <v>477718.41</v>
      </c>
      <c r="D172" s="15">
        <v>13890947.949999999</v>
      </c>
      <c r="E172" s="22">
        <f>TuitionRates3[[#This Row],[Tuition]]/D172</f>
        <v>3.4390627027005745E-2</v>
      </c>
      <c r="F172"/>
    </row>
    <row r="173" spans="1:6" x14ac:dyDescent="0.2">
      <c r="A173" s="3" t="s">
        <v>281</v>
      </c>
      <c r="B173" s="3" t="s">
        <v>280</v>
      </c>
      <c r="C173" s="13">
        <v>1266509.69</v>
      </c>
      <c r="D173" s="15">
        <v>36872074.289999999</v>
      </c>
      <c r="E173" s="22">
        <f>TuitionRates3[[#This Row],[Tuition]]/D173</f>
        <v>3.4348750765657021E-2</v>
      </c>
      <c r="F173"/>
    </row>
    <row r="174" spans="1:6" x14ac:dyDescent="0.2">
      <c r="A174" s="3" t="s">
        <v>193</v>
      </c>
      <c r="B174" s="3" t="s">
        <v>194</v>
      </c>
      <c r="C174" s="13">
        <v>2892492.11</v>
      </c>
      <c r="D174" s="15">
        <v>84250202.629999995</v>
      </c>
      <c r="E174" s="22">
        <f>TuitionRates3[[#This Row],[Tuition]]/D174</f>
        <v>3.4332167991368547E-2</v>
      </c>
      <c r="F174"/>
    </row>
    <row r="175" spans="1:6" x14ac:dyDescent="0.2">
      <c r="A175" s="3" t="s">
        <v>8</v>
      </c>
      <c r="B175" s="3" t="s">
        <v>4</v>
      </c>
      <c r="C175" s="13">
        <v>1339277.1299999999</v>
      </c>
      <c r="D175" s="15">
        <v>39059777.030000001</v>
      </c>
      <c r="E175" s="22">
        <f>TuitionRates3[[#This Row],[Tuition]]/D175</f>
        <v>3.428788466896171E-2</v>
      </c>
      <c r="F175"/>
    </row>
    <row r="176" spans="1:6" x14ac:dyDescent="0.2">
      <c r="A176" s="3" t="s">
        <v>402</v>
      </c>
      <c r="B176" s="3" t="s">
        <v>401</v>
      </c>
      <c r="C176" s="13">
        <v>3475481.73</v>
      </c>
      <c r="D176" s="15">
        <v>101649543.98999999</v>
      </c>
      <c r="E176" s="22">
        <f>TuitionRates3[[#This Row],[Tuition]]/D176</f>
        <v>3.419082460755464E-2</v>
      </c>
      <c r="F176"/>
    </row>
    <row r="177" spans="1:6" x14ac:dyDescent="0.2">
      <c r="A177" s="3" t="s">
        <v>289</v>
      </c>
      <c r="B177" s="3" t="s">
        <v>286</v>
      </c>
      <c r="C177" s="13">
        <v>709701.2</v>
      </c>
      <c r="D177" s="15">
        <v>20780731.579999998</v>
      </c>
      <c r="E177" s="22">
        <f>TuitionRates3[[#This Row],[Tuition]]/D177</f>
        <v>3.4151887158921666E-2</v>
      </c>
      <c r="F177"/>
    </row>
    <row r="178" spans="1:6" x14ac:dyDescent="0.2">
      <c r="A178" s="3" t="s">
        <v>509</v>
      </c>
      <c r="B178" s="3" t="s">
        <v>507</v>
      </c>
      <c r="C178" s="13">
        <v>1307389.32</v>
      </c>
      <c r="D178" s="15">
        <v>38318216.5</v>
      </c>
      <c r="E178" s="22">
        <f>TuitionRates3[[#This Row],[Tuition]]/D178</f>
        <v>3.4119263353501857E-2</v>
      </c>
      <c r="F178"/>
    </row>
    <row r="179" spans="1:6" x14ac:dyDescent="0.2">
      <c r="A179" s="3" t="s">
        <v>310</v>
      </c>
      <c r="B179" s="3" t="s">
        <v>305</v>
      </c>
      <c r="C179" s="13">
        <v>2203594.0299999998</v>
      </c>
      <c r="D179" s="15">
        <v>64682993.939999998</v>
      </c>
      <c r="E179" s="22">
        <f>TuitionRates3[[#This Row],[Tuition]]/D179</f>
        <v>3.4067594830938956E-2</v>
      </c>
      <c r="F179"/>
    </row>
    <row r="180" spans="1:6" x14ac:dyDescent="0.2">
      <c r="A180" s="3" t="s">
        <v>257</v>
      </c>
      <c r="B180" s="3" t="s">
        <v>247</v>
      </c>
      <c r="C180" s="13">
        <v>915723.84</v>
      </c>
      <c r="D180" s="15">
        <v>26906925.629999999</v>
      </c>
      <c r="E180" s="22">
        <f>TuitionRates3[[#This Row],[Tuition]]/D180</f>
        <v>3.4033016353938614E-2</v>
      </c>
      <c r="F180"/>
    </row>
    <row r="181" spans="1:6" x14ac:dyDescent="0.2">
      <c r="A181" s="3" t="s">
        <v>184</v>
      </c>
      <c r="B181" s="3" t="s">
        <v>185</v>
      </c>
      <c r="C181" s="13">
        <v>1510871.62</v>
      </c>
      <c r="D181" s="15">
        <v>44676573.340000004</v>
      </c>
      <c r="E181" s="22">
        <f>TuitionRates3[[#This Row],[Tuition]]/D181</f>
        <v>3.3817983498910839E-2</v>
      </c>
      <c r="F181"/>
    </row>
    <row r="182" spans="1:6" x14ac:dyDescent="0.2">
      <c r="A182" s="3" t="s">
        <v>117</v>
      </c>
      <c r="B182" s="3" t="s">
        <v>116</v>
      </c>
      <c r="C182" s="13">
        <v>994262.54</v>
      </c>
      <c r="D182" s="15">
        <v>29418979.739999998</v>
      </c>
      <c r="E182" s="22">
        <f>TuitionRates3[[#This Row],[Tuition]]/D182</f>
        <v>3.3796635668100164E-2</v>
      </c>
      <c r="F182"/>
    </row>
    <row r="183" spans="1:6" x14ac:dyDescent="0.2">
      <c r="A183" s="3" t="s">
        <v>393</v>
      </c>
      <c r="B183" s="3" t="s">
        <v>386</v>
      </c>
      <c r="C183" s="13">
        <v>726784.97</v>
      </c>
      <c r="D183" s="15">
        <v>21520772.359999999</v>
      </c>
      <c r="E183" s="22">
        <f>TuitionRates3[[#This Row],[Tuition]]/D183</f>
        <v>3.3771323716562003E-2</v>
      </c>
      <c r="F183"/>
    </row>
    <row r="184" spans="1:6" x14ac:dyDescent="0.2">
      <c r="A184" s="3" t="s">
        <v>470</v>
      </c>
      <c r="B184" s="3" t="s">
        <v>463</v>
      </c>
      <c r="C184" s="13">
        <v>796771.34</v>
      </c>
      <c r="D184" s="15">
        <v>23605882.280000001</v>
      </c>
      <c r="E184" s="22">
        <f>TuitionRates3[[#This Row],[Tuition]]/D184</f>
        <v>3.3753084529912346E-2</v>
      </c>
      <c r="F184"/>
    </row>
    <row r="185" spans="1:6" x14ac:dyDescent="0.2">
      <c r="A185" s="3" t="s">
        <v>89</v>
      </c>
      <c r="B185" s="3" t="s">
        <v>81</v>
      </c>
      <c r="C185" s="13">
        <v>1595131.22</v>
      </c>
      <c r="D185" s="15">
        <v>47443959.18</v>
      </c>
      <c r="E185" s="22">
        <f>TuitionRates3[[#This Row],[Tuition]]/D185</f>
        <v>3.3621376621376646E-2</v>
      </c>
      <c r="F185"/>
    </row>
    <row r="186" spans="1:6" x14ac:dyDescent="0.2">
      <c r="A186" s="3" t="s">
        <v>19</v>
      </c>
      <c r="B186" s="3" t="s">
        <v>11</v>
      </c>
      <c r="C186" s="13">
        <v>577606</v>
      </c>
      <c r="D186" s="15">
        <v>17262492</v>
      </c>
      <c r="E186" s="22">
        <f>TuitionRates3[[#This Row],[Tuition]]/D186</f>
        <v>3.3460174811377176E-2</v>
      </c>
      <c r="F186"/>
    </row>
    <row r="187" spans="1:6" x14ac:dyDescent="0.2">
      <c r="A187" s="3" t="s">
        <v>499</v>
      </c>
      <c r="B187" s="3" t="s">
        <v>500</v>
      </c>
      <c r="C187" s="13">
        <v>1366846.85</v>
      </c>
      <c r="D187" s="15">
        <v>40940996.420000002</v>
      </c>
      <c r="E187" s="22">
        <f>TuitionRates3[[#This Row],[Tuition]]/D187</f>
        <v>3.33857739068677E-2</v>
      </c>
      <c r="F187"/>
    </row>
    <row r="188" spans="1:6" x14ac:dyDescent="0.2">
      <c r="A188" s="3" t="s">
        <v>242</v>
      </c>
      <c r="B188" s="3" t="s">
        <v>243</v>
      </c>
      <c r="C188" s="13">
        <v>419606.1</v>
      </c>
      <c r="D188" s="15">
        <v>12713365.689999999</v>
      </c>
      <c r="E188" s="22">
        <f>TuitionRates3[[#This Row],[Tuition]]/D188</f>
        <v>3.30051152646424E-2</v>
      </c>
      <c r="F188"/>
    </row>
    <row r="189" spans="1:6" x14ac:dyDescent="0.2">
      <c r="A189" s="3" t="s">
        <v>502</v>
      </c>
      <c r="B189" s="3" t="s">
        <v>500</v>
      </c>
      <c r="C189" s="13">
        <v>953059.82</v>
      </c>
      <c r="D189" s="15">
        <v>28953190.57</v>
      </c>
      <c r="E189" s="22">
        <f>TuitionRates3[[#This Row],[Tuition]]/D189</f>
        <v>3.291726408168355E-2</v>
      </c>
      <c r="F189"/>
    </row>
    <row r="190" spans="1:6" x14ac:dyDescent="0.2">
      <c r="A190" s="3" t="s">
        <v>22</v>
      </c>
      <c r="B190" s="3" t="s">
        <v>11</v>
      </c>
      <c r="C190" s="13">
        <v>1357474.93</v>
      </c>
      <c r="D190" s="15">
        <v>41305275.729999997</v>
      </c>
      <c r="E190" s="22">
        <f>TuitionRates3[[#This Row],[Tuition]]/D190</f>
        <v>3.2864444214666423E-2</v>
      </c>
      <c r="F190"/>
    </row>
    <row r="191" spans="1:6" x14ac:dyDescent="0.2">
      <c r="A191" s="3" t="s">
        <v>43</v>
      </c>
      <c r="B191" s="3" t="s">
        <v>11</v>
      </c>
      <c r="C191" s="13">
        <v>1020692.24</v>
      </c>
      <c r="D191" s="15">
        <v>31085509.649999999</v>
      </c>
      <c r="E191" s="22">
        <f>TuitionRates3[[#This Row],[Tuition]]/D191</f>
        <v>3.2834984901075927E-2</v>
      </c>
      <c r="F191"/>
    </row>
    <row r="192" spans="1:6" x14ac:dyDescent="0.2">
      <c r="A192" s="3" t="s">
        <v>437</v>
      </c>
      <c r="B192" s="3" t="s">
        <v>431</v>
      </c>
      <c r="C192" s="13">
        <v>1698272.02</v>
      </c>
      <c r="D192" s="15">
        <v>52036460.43</v>
      </c>
      <c r="E192" s="22">
        <f>TuitionRates3[[#This Row],[Tuition]]/D192</f>
        <v>3.2636194044837724E-2</v>
      </c>
      <c r="F192"/>
    </row>
    <row r="193" spans="1:6" x14ac:dyDescent="0.2">
      <c r="A193" s="3" t="s">
        <v>460</v>
      </c>
      <c r="B193" s="3" t="s">
        <v>457</v>
      </c>
      <c r="C193" s="13">
        <v>384870.26</v>
      </c>
      <c r="D193" s="15">
        <v>11854265.76</v>
      </c>
      <c r="E193" s="22">
        <f>TuitionRates3[[#This Row],[Tuition]]/D193</f>
        <v>3.2466815557541544E-2</v>
      </c>
      <c r="F193"/>
    </row>
    <row r="194" spans="1:6" x14ac:dyDescent="0.2">
      <c r="A194" s="3" t="s">
        <v>132</v>
      </c>
      <c r="B194" s="3" t="s">
        <v>130</v>
      </c>
      <c r="C194" s="13">
        <v>1215674.71</v>
      </c>
      <c r="D194" s="15">
        <v>37549956.350000001</v>
      </c>
      <c r="E194" s="22">
        <f>TuitionRates3[[#This Row],[Tuition]]/D194</f>
        <v>3.2374863466385892E-2</v>
      </c>
      <c r="F194"/>
    </row>
    <row r="195" spans="1:6" x14ac:dyDescent="0.2">
      <c r="A195" s="3" t="s">
        <v>15</v>
      </c>
      <c r="B195" s="3" t="s">
        <v>11</v>
      </c>
      <c r="C195" s="13">
        <v>938650.04</v>
      </c>
      <c r="D195" s="15">
        <v>29072931.309999999</v>
      </c>
      <c r="E195" s="22">
        <f>TuitionRates3[[#This Row],[Tuition]]/D195</f>
        <v>3.2286047457386578E-2</v>
      </c>
      <c r="F195"/>
    </row>
    <row r="196" spans="1:6" x14ac:dyDescent="0.2">
      <c r="A196" s="3" t="s">
        <v>279</v>
      </c>
      <c r="B196" s="3" t="s">
        <v>280</v>
      </c>
      <c r="C196" s="13">
        <v>675242.64</v>
      </c>
      <c r="D196" s="15">
        <v>21016874.699999999</v>
      </c>
      <c r="E196" s="22">
        <f>TuitionRates3[[#This Row],[Tuition]]/D196</f>
        <v>3.2128594267158098E-2</v>
      </c>
      <c r="F196"/>
    </row>
    <row r="197" spans="1:6" x14ac:dyDescent="0.2">
      <c r="A197" s="3" t="s">
        <v>556</v>
      </c>
      <c r="B197" s="3" t="s">
        <v>554</v>
      </c>
      <c r="C197" s="13">
        <v>2262355.14</v>
      </c>
      <c r="D197" s="15">
        <v>70969373</v>
      </c>
      <c r="E197" s="22">
        <f>TuitionRates3[[#This Row],[Tuition]]/D197</f>
        <v>3.1877907953336435E-2</v>
      </c>
      <c r="F197"/>
    </row>
    <row r="198" spans="1:6" x14ac:dyDescent="0.2">
      <c r="A198" s="3" t="s">
        <v>394</v>
      </c>
      <c r="B198" s="3" t="s">
        <v>386</v>
      </c>
      <c r="C198" s="13">
        <v>750590.29</v>
      </c>
      <c r="D198" s="15">
        <v>23671429.710000001</v>
      </c>
      <c r="E198" s="22">
        <f>TuitionRates3[[#This Row],[Tuition]]/D198</f>
        <v>3.1708701130245334E-2</v>
      </c>
      <c r="F198"/>
    </row>
    <row r="199" spans="1:6" x14ac:dyDescent="0.2">
      <c r="A199" s="3" t="s">
        <v>541</v>
      </c>
      <c r="B199" s="3" t="s">
        <v>533</v>
      </c>
      <c r="C199" s="13">
        <v>2081317.84</v>
      </c>
      <c r="D199" s="15">
        <v>65673609.060000002</v>
      </c>
      <c r="E199" s="22">
        <f>TuitionRates3[[#This Row],[Tuition]]/D199</f>
        <v>3.1691845016443197E-2</v>
      </c>
      <c r="F199"/>
    </row>
    <row r="200" spans="1:6" x14ac:dyDescent="0.2">
      <c r="A200" s="3" t="s">
        <v>519</v>
      </c>
      <c r="B200" s="3" t="s">
        <v>515</v>
      </c>
      <c r="C200" s="13">
        <v>575882.37</v>
      </c>
      <c r="D200" s="15">
        <v>18317342.280000001</v>
      </c>
      <c r="E200" s="22">
        <f>TuitionRates3[[#This Row],[Tuition]]/D200</f>
        <v>3.1439188130954115E-2</v>
      </c>
      <c r="F200"/>
    </row>
    <row r="201" spans="1:6" x14ac:dyDescent="0.2">
      <c r="A201" s="3" t="s">
        <v>228</v>
      </c>
      <c r="B201" s="3" t="s">
        <v>227</v>
      </c>
      <c r="C201" s="13">
        <v>2885728.67</v>
      </c>
      <c r="D201" s="15">
        <v>91962684.549999997</v>
      </c>
      <c r="E201" s="22">
        <f>TuitionRates3[[#This Row],[Tuition]]/D201</f>
        <v>3.1379343525264669E-2</v>
      </c>
      <c r="F201"/>
    </row>
    <row r="202" spans="1:6" x14ac:dyDescent="0.2">
      <c r="A202" s="3" t="s">
        <v>526</v>
      </c>
      <c r="B202" s="3" t="s">
        <v>515</v>
      </c>
      <c r="C202" s="13">
        <v>1703967.97</v>
      </c>
      <c r="D202" s="15">
        <v>54443876.939999998</v>
      </c>
      <c r="E202" s="22">
        <f>TuitionRates3[[#This Row],[Tuition]]/D202</f>
        <v>3.1297697110693676E-2</v>
      </c>
      <c r="F202"/>
    </row>
    <row r="203" spans="1:6" x14ac:dyDescent="0.2">
      <c r="A203" s="3" t="s">
        <v>73</v>
      </c>
      <c r="B203" s="3" t="s">
        <v>60</v>
      </c>
      <c r="C203" s="13">
        <v>507586.1</v>
      </c>
      <c r="D203" s="15">
        <v>16230264.279999999</v>
      </c>
      <c r="E203" s="22">
        <f>TuitionRates3[[#This Row],[Tuition]]/D203</f>
        <v>3.1274050209119574E-2</v>
      </c>
      <c r="F203"/>
    </row>
    <row r="204" spans="1:6" x14ac:dyDescent="0.2">
      <c r="A204" s="3" t="s">
        <v>455</v>
      </c>
      <c r="B204" s="3" t="s">
        <v>454</v>
      </c>
      <c r="C204" s="13">
        <v>2759332.76</v>
      </c>
      <c r="D204" s="15">
        <v>88316701.25</v>
      </c>
      <c r="E204" s="22">
        <f>TuitionRates3[[#This Row],[Tuition]]/D204</f>
        <v>3.1243612147481559E-2</v>
      </c>
      <c r="F204"/>
    </row>
    <row r="205" spans="1:6" x14ac:dyDescent="0.2">
      <c r="A205" s="3" t="s">
        <v>90</v>
      </c>
      <c r="B205" s="3" t="s">
        <v>81</v>
      </c>
      <c r="C205" s="13">
        <v>1170159.6399999999</v>
      </c>
      <c r="D205" s="15">
        <v>37477343.329999998</v>
      </c>
      <c r="E205" s="22">
        <f>TuitionRates3[[#This Row],[Tuition]]/D205</f>
        <v>3.1223121385536054E-2</v>
      </c>
      <c r="F205"/>
    </row>
    <row r="206" spans="1:6" x14ac:dyDescent="0.2">
      <c r="A206" s="3" t="s">
        <v>501</v>
      </c>
      <c r="B206" s="3" t="s">
        <v>500</v>
      </c>
      <c r="C206" s="13">
        <v>1197714.19</v>
      </c>
      <c r="D206" s="15">
        <v>38363803.030000001</v>
      </c>
      <c r="E206" s="22">
        <f>TuitionRates3[[#This Row],[Tuition]]/D206</f>
        <v>3.1219902496720745E-2</v>
      </c>
      <c r="F206"/>
    </row>
    <row r="207" spans="1:6" x14ac:dyDescent="0.2">
      <c r="A207" s="3" t="s">
        <v>514</v>
      </c>
      <c r="B207" s="3" t="s">
        <v>515</v>
      </c>
      <c r="C207" s="13">
        <v>369543.19</v>
      </c>
      <c r="D207" s="15">
        <v>11880277.52</v>
      </c>
      <c r="E207" s="22">
        <f>TuitionRates3[[#This Row],[Tuition]]/D207</f>
        <v>3.110560248932636E-2</v>
      </c>
      <c r="F207"/>
    </row>
    <row r="208" spans="1:6" x14ac:dyDescent="0.2">
      <c r="A208" s="3" t="s">
        <v>76</v>
      </c>
      <c r="B208" s="3" t="s">
        <v>75</v>
      </c>
      <c r="C208" s="13">
        <v>745892.48</v>
      </c>
      <c r="D208" s="15">
        <v>24021826.59</v>
      </c>
      <c r="E208" s="22">
        <f>TuitionRates3[[#This Row],[Tuition]]/D208</f>
        <v>3.1050614623556818E-2</v>
      </c>
      <c r="F208"/>
    </row>
    <row r="209" spans="1:6" x14ac:dyDescent="0.2">
      <c r="A209" s="3" t="s">
        <v>278</v>
      </c>
      <c r="B209" s="3" t="s">
        <v>276</v>
      </c>
      <c r="C209" s="13">
        <v>590991.75</v>
      </c>
      <c r="D209" s="15">
        <v>19065543.579999998</v>
      </c>
      <c r="E209" s="22">
        <f>TuitionRates3[[#This Row],[Tuition]]/D209</f>
        <v>3.0997896677855963E-2</v>
      </c>
      <c r="F209"/>
    </row>
    <row r="210" spans="1:6" x14ac:dyDescent="0.2">
      <c r="A210" s="3" t="s">
        <v>295</v>
      </c>
      <c r="B210" s="3" t="s">
        <v>291</v>
      </c>
      <c r="C210" s="13">
        <v>668835</v>
      </c>
      <c r="D210" s="15">
        <v>21612471.32</v>
      </c>
      <c r="E210" s="22">
        <f>TuitionRates3[[#This Row],[Tuition]]/D210</f>
        <v>3.0946715444848998E-2</v>
      </c>
      <c r="F210"/>
    </row>
    <row r="211" spans="1:6" x14ac:dyDescent="0.2">
      <c r="A211" s="3" t="s">
        <v>508</v>
      </c>
      <c r="B211" s="3" t="s">
        <v>507</v>
      </c>
      <c r="C211" s="13">
        <v>1275035.4099999999</v>
      </c>
      <c r="D211" s="15">
        <v>41743642.509999998</v>
      </c>
      <c r="E211" s="22">
        <f>TuitionRates3[[#This Row],[Tuition]]/D211</f>
        <v>3.0544421457580177E-2</v>
      </c>
      <c r="F211"/>
    </row>
    <row r="212" spans="1:6" x14ac:dyDescent="0.2">
      <c r="A212" s="3" t="s">
        <v>96</v>
      </c>
      <c r="B212" s="3" t="s">
        <v>81</v>
      </c>
      <c r="C212" s="13">
        <v>2118953.23</v>
      </c>
      <c r="D212" s="15">
        <v>69539565.879999995</v>
      </c>
      <c r="E212" s="22">
        <f>TuitionRates3[[#This Row],[Tuition]]/D212</f>
        <v>3.0471188641823601E-2</v>
      </c>
      <c r="F212"/>
    </row>
    <row r="213" spans="1:6" x14ac:dyDescent="0.2">
      <c r="A213" s="3" t="s">
        <v>532</v>
      </c>
      <c r="B213" s="3" t="s">
        <v>533</v>
      </c>
      <c r="C213" s="13">
        <v>1378946</v>
      </c>
      <c r="D213" s="15">
        <v>45282001.649999999</v>
      </c>
      <c r="E213" s="22">
        <f>TuitionRates3[[#This Row],[Tuition]]/D213</f>
        <v>3.0452408236242359E-2</v>
      </c>
      <c r="F213"/>
    </row>
    <row r="214" spans="1:6" x14ac:dyDescent="0.2">
      <c r="A214" s="3" t="s">
        <v>95</v>
      </c>
      <c r="B214" s="3" t="s">
        <v>81</v>
      </c>
      <c r="C214" s="13">
        <v>1199126.32</v>
      </c>
      <c r="D214" s="15">
        <v>39501383.719999999</v>
      </c>
      <c r="E214" s="22">
        <f>TuitionRates3[[#This Row],[Tuition]]/D214</f>
        <v>3.0356564937062416E-2</v>
      </c>
      <c r="F214"/>
    </row>
    <row r="215" spans="1:6" x14ac:dyDescent="0.2">
      <c r="A215" s="3" t="s">
        <v>85</v>
      </c>
      <c r="B215" s="3" t="s">
        <v>81</v>
      </c>
      <c r="C215" s="13">
        <v>1925556.94</v>
      </c>
      <c r="D215" s="15">
        <v>63445914.219999999</v>
      </c>
      <c r="E215" s="22">
        <f>TuitionRates3[[#This Row],[Tuition]]/D215</f>
        <v>3.0349581429673974E-2</v>
      </c>
      <c r="F215"/>
    </row>
    <row r="216" spans="1:6" x14ac:dyDescent="0.2">
      <c r="A216" s="3" t="s">
        <v>111</v>
      </c>
      <c r="B216" s="3" t="s">
        <v>108</v>
      </c>
      <c r="C216" s="13">
        <v>721619.46</v>
      </c>
      <c r="D216" s="15">
        <v>23833076.800000001</v>
      </c>
      <c r="E216" s="22">
        <f>TuitionRates3[[#This Row],[Tuition]]/D216</f>
        <v>3.0278065482506226E-2</v>
      </c>
      <c r="F216"/>
    </row>
    <row r="217" spans="1:6" x14ac:dyDescent="0.2">
      <c r="A217" s="3" t="s">
        <v>125</v>
      </c>
      <c r="B217" s="3" t="s">
        <v>116</v>
      </c>
      <c r="C217" s="13">
        <v>1375656.3</v>
      </c>
      <c r="D217" s="15">
        <v>45505538.590000004</v>
      </c>
      <c r="E217" s="22">
        <f>TuitionRates3[[#This Row],[Tuition]]/D217</f>
        <v>3.0230524516905843E-2</v>
      </c>
      <c r="F217"/>
    </row>
    <row r="218" spans="1:6" x14ac:dyDescent="0.2">
      <c r="A218" s="3" t="s">
        <v>347</v>
      </c>
      <c r="B218" s="3" t="s">
        <v>342</v>
      </c>
      <c r="C218" s="13">
        <v>1858159</v>
      </c>
      <c r="D218" s="15">
        <v>61810895.859999999</v>
      </c>
      <c r="E218" s="22">
        <f>TuitionRates3[[#This Row],[Tuition]]/D218</f>
        <v>3.0061997551510653E-2</v>
      </c>
      <c r="F218"/>
    </row>
    <row r="219" spans="1:6" x14ac:dyDescent="0.2">
      <c r="A219" s="3" t="s">
        <v>210</v>
      </c>
      <c r="B219" s="3" t="s">
        <v>207</v>
      </c>
      <c r="C219" s="13">
        <v>5235529</v>
      </c>
      <c r="D219" s="15">
        <v>174492699</v>
      </c>
      <c r="E219" s="22">
        <f>TuitionRates3[[#This Row],[Tuition]]/D219</f>
        <v>3.0004286884232331E-2</v>
      </c>
      <c r="F219"/>
    </row>
    <row r="220" spans="1:6" x14ac:dyDescent="0.2">
      <c r="A220" s="3" t="s">
        <v>178</v>
      </c>
      <c r="B220" s="3" t="s">
        <v>177</v>
      </c>
      <c r="C220" s="13">
        <v>494360.65</v>
      </c>
      <c r="D220" s="15">
        <v>16496344.75</v>
      </c>
      <c r="E220" s="22">
        <f>TuitionRates3[[#This Row],[Tuition]]/D220</f>
        <v>2.9967890310973286E-2</v>
      </c>
      <c r="F220"/>
    </row>
    <row r="221" spans="1:6" x14ac:dyDescent="0.2">
      <c r="A221" s="3" t="s">
        <v>521</v>
      </c>
      <c r="B221" s="3" t="s">
        <v>515</v>
      </c>
      <c r="C221" s="13">
        <v>894340.67</v>
      </c>
      <c r="D221" s="15">
        <v>30418863.059999999</v>
      </c>
      <c r="E221" s="22">
        <f>TuitionRates3[[#This Row],[Tuition]]/D221</f>
        <v>2.9400857889920102E-2</v>
      </c>
      <c r="F221"/>
    </row>
    <row r="222" spans="1:6" x14ac:dyDescent="0.2">
      <c r="A222" s="3" t="s">
        <v>398</v>
      </c>
      <c r="B222" s="3" t="s">
        <v>399</v>
      </c>
      <c r="C222" s="13">
        <v>2662589.23</v>
      </c>
      <c r="D222" s="15">
        <v>90716320.870000005</v>
      </c>
      <c r="E222" s="22">
        <f>TuitionRates3[[#This Row],[Tuition]]/D222</f>
        <v>2.9350718861444934E-2</v>
      </c>
      <c r="F222"/>
    </row>
    <row r="223" spans="1:6" x14ac:dyDescent="0.2">
      <c r="A223" s="3" t="s">
        <v>66</v>
      </c>
      <c r="B223" s="3" t="s">
        <v>60</v>
      </c>
      <c r="C223" s="13">
        <v>802791.87</v>
      </c>
      <c r="D223" s="15">
        <v>27397836.219999999</v>
      </c>
      <c r="E223" s="22">
        <f>TuitionRates3[[#This Row],[Tuition]]/D223</f>
        <v>2.9301287282459711E-2</v>
      </c>
      <c r="F223"/>
    </row>
    <row r="224" spans="1:6" x14ac:dyDescent="0.2">
      <c r="A224" s="3" t="s">
        <v>248</v>
      </c>
      <c r="B224" s="3" t="s">
        <v>247</v>
      </c>
      <c r="C224" s="13">
        <v>8172603.1900000004</v>
      </c>
      <c r="D224" s="15">
        <v>279220710.05000001</v>
      </c>
      <c r="E224" s="22">
        <f>TuitionRates3[[#This Row],[Tuition]]/D224</f>
        <v>2.9269330303388075E-2</v>
      </c>
      <c r="F224"/>
    </row>
    <row r="225" spans="1:6" x14ac:dyDescent="0.2">
      <c r="A225" s="3" t="s">
        <v>364</v>
      </c>
      <c r="B225" s="3" t="s">
        <v>359</v>
      </c>
      <c r="C225" s="13">
        <v>1028668.22</v>
      </c>
      <c r="D225" s="15">
        <v>35158624.049999997</v>
      </c>
      <c r="E225" s="22">
        <f>TuitionRates3[[#This Row],[Tuition]]/D225</f>
        <v>2.9257920291109914E-2</v>
      </c>
      <c r="F225"/>
    </row>
    <row r="226" spans="1:6" x14ac:dyDescent="0.2">
      <c r="A226" s="3" t="s">
        <v>141</v>
      </c>
      <c r="B226" s="3" t="s">
        <v>138</v>
      </c>
      <c r="C226" s="13">
        <v>493270.75</v>
      </c>
      <c r="D226" s="15">
        <v>16863580.5</v>
      </c>
      <c r="E226" s="22">
        <f>TuitionRates3[[#This Row],[Tuition]]/D226</f>
        <v>2.9250653501490979E-2</v>
      </c>
      <c r="F226"/>
    </row>
    <row r="227" spans="1:6" x14ac:dyDescent="0.2">
      <c r="A227" s="3" t="s">
        <v>384</v>
      </c>
      <c r="B227" s="3" t="s">
        <v>380</v>
      </c>
      <c r="C227" s="13">
        <v>502357.38</v>
      </c>
      <c r="D227" s="15">
        <v>17207510.73</v>
      </c>
      <c r="E227" s="22">
        <f>TuitionRates3[[#This Row],[Tuition]]/D227</f>
        <v>2.9194076231152812E-2</v>
      </c>
      <c r="F227"/>
    </row>
    <row r="228" spans="1:6" x14ac:dyDescent="0.2">
      <c r="A228" s="3" t="s">
        <v>107</v>
      </c>
      <c r="B228" s="3" t="s">
        <v>108</v>
      </c>
      <c r="C228" s="13">
        <v>1371135.12</v>
      </c>
      <c r="D228" s="15">
        <v>46977241.630000003</v>
      </c>
      <c r="E228" s="22">
        <f>TuitionRates3[[#This Row],[Tuition]]/D228</f>
        <v>2.9187220714218847E-2</v>
      </c>
      <c r="F228"/>
    </row>
    <row r="229" spans="1:6" x14ac:dyDescent="0.2">
      <c r="A229" s="3" t="s">
        <v>128</v>
      </c>
      <c r="B229" s="3" t="s">
        <v>116</v>
      </c>
      <c r="C229" s="13">
        <v>3457330.9</v>
      </c>
      <c r="D229" s="15">
        <v>118744479.41</v>
      </c>
      <c r="E229" s="22">
        <f>TuitionRates3[[#This Row],[Tuition]]/D229</f>
        <v>2.9115719039556821E-2</v>
      </c>
      <c r="F229"/>
    </row>
    <row r="230" spans="1:6" x14ac:dyDescent="0.2">
      <c r="A230" s="3" t="s">
        <v>382</v>
      </c>
      <c r="B230" s="3" t="s">
        <v>380</v>
      </c>
      <c r="C230" s="13">
        <v>352967.99</v>
      </c>
      <c r="D230" s="15">
        <v>12153985.18</v>
      </c>
      <c r="E230" s="22">
        <f>TuitionRates3[[#This Row],[Tuition]]/D230</f>
        <v>2.9041337863471049E-2</v>
      </c>
      <c r="F230"/>
    </row>
    <row r="231" spans="1:6" x14ac:dyDescent="0.2">
      <c r="A231" s="3" t="s">
        <v>385</v>
      </c>
      <c r="B231" s="3" t="s">
        <v>386</v>
      </c>
      <c r="C231" s="13">
        <v>340066.17</v>
      </c>
      <c r="D231" s="15">
        <v>11730222.32</v>
      </c>
      <c r="E231" s="22">
        <f>TuitionRates3[[#This Row],[Tuition]]/D231</f>
        <v>2.8990598875537763E-2</v>
      </c>
      <c r="F231"/>
    </row>
    <row r="232" spans="1:6" x14ac:dyDescent="0.2">
      <c r="A232" s="3" t="s">
        <v>549</v>
      </c>
      <c r="B232" s="3" t="s">
        <v>533</v>
      </c>
      <c r="C232" s="13">
        <v>1059497.6000000001</v>
      </c>
      <c r="D232" s="15">
        <v>36658931.630000003</v>
      </c>
      <c r="E232" s="22">
        <f>TuitionRates3[[#This Row],[Tuition]]/D232</f>
        <v>2.8901486019656815E-2</v>
      </c>
      <c r="F232"/>
    </row>
    <row r="233" spans="1:6" x14ac:dyDescent="0.2">
      <c r="A233" s="3" t="s">
        <v>438</v>
      </c>
      <c r="B233" s="3" t="s">
        <v>431</v>
      </c>
      <c r="C233" s="13">
        <v>1334980.33</v>
      </c>
      <c r="D233" s="15">
        <v>46191076.200000003</v>
      </c>
      <c r="E233" s="22">
        <f>TuitionRates3[[#This Row],[Tuition]]/D233</f>
        <v>2.8901260585913777E-2</v>
      </c>
      <c r="F233"/>
    </row>
    <row r="234" spans="1:6" x14ac:dyDescent="0.2">
      <c r="A234" s="3" t="s">
        <v>547</v>
      </c>
      <c r="B234" s="3" t="s">
        <v>533</v>
      </c>
      <c r="C234" s="13">
        <v>1938481.15</v>
      </c>
      <c r="D234" s="15">
        <v>67120723.879999995</v>
      </c>
      <c r="E234" s="22">
        <f>TuitionRates3[[#This Row],[Tuition]]/D234</f>
        <v>2.8880516149761167E-2</v>
      </c>
      <c r="F234"/>
    </row>
    <row r="235" spans="1:6" x14ac:dyDescent="0.2">
      <c r="A235" s="3" t="s">
        <v>319</v>
      </c>
      <c r="B235" s="3" t="s">
        <v>316</v>
      </c>
      <c r="C235" s="13">
        <v>1692943.11</v>
      </c>
      <c r="D235" s="15">
        <v>58856630.659999996</v>
      </c>
      <c r="E235" s="22">
        <f>TuitionRates3[[#This Row],[Tuition]]/D235</f>
        <v>2.876384684301261E-2</v>
      </c>
      <c r="F235"/>
    </row>
    <row r="236" spans="1:6" x14ac:dyDescent="0.2">
      <c r="A236" s="3" t="s">
        <v>539</v>
      </c>
      <c r="B236" s="3" t="s">
        <v>533</v>
      </c>
      <c r="C236" s="13">
        <v>3006012.37</v>
      </c>
      <c r="D236" s="15">
        <v>104744948.17</v>
      </c>
      <c r="E236" s="22">
        <f>TuitionRates3[[#This Row],[Tuition]]/D236</f>
        <v>2.8698399517285283E-2</v>
      </c>
      <c r="F236"/>
    </row>
    <row r="237" spans="1:6" x14ac:dyDescent="0.2">
      <c r="A237" s="3" t="s">
        <v>104</v>
      </c>
      <c r="B237" s="3" t="s">
        <v>100</v>
      </c>
      <c r="C237" s="13">
        <v>846115.79</v>
      </c>
      <c r="D237" s="15">
        <v>29483449.359999999</v>
      </c>
      <c r="E237" s="22">
        <f>TuitionRates3[[#This Row],[Tuition]]/D237</f>
        <v>2.8697991868886268E-2</v>
      </c>
      <c r="F237"/>
    </row>
    <row r="238" spans="1:6" x14ac:dyDescent="0.2">
      <c r="A238" s="3" t="s">
        <v>5</v>
      </c>
      <c r="B238" s="3" t="s">
        <v>4</v>
      </c>
      <c r="C238" s="13">
        <v>2106451.84</v>
      </c>
      <c r="D238" s="15">
        <v>73538519.769999996</v>
      </c>
      <c r="E238" s="22">
        <f>TuitionRates3[[#This Row],[Tuition]]/D238</f>
        <v>2.8644196899640696E-2</v>
      </c>
      <c r="F238"/>
    </row>
    <row r="239" spans="1:6" x14ac:dyDescent="0.2">
      <c r="A239" s="3" t="s">
        <v>35</v>
      </c>
      <c r="B239" s="3" t="s">
        <v>11</v>
      </c>
      <c r="C239" s="13">
        <v>813949.49</v>
      </c>
      <c r="D239" s="15">
        <v>28479662.309999999</v>
      </c>
      <c r="E239" s="22">
        <f>TuitionRates3[[#This Row],[Tuition]]/D239</f>
        <v>2.8580026024894255E-2</v>
      </c>
      <c r="F239"/>
    </row>
    <row r="240" spans="1:6" x14ac:dyDescent="0.2">
      <c r="A240" s="3" t="s">
        <v>292</v>
      </c>
      <c r="B240" s="3" t="s">
        <v>291</v>
      </c>
      <c r="C240" s="13">
        <v>1709716.71</v>
      </c>
      <c r="D240" s="15">
        <v>60027610.189999998</v>
      </c>
      <c r="E240" s="22">
        <f>TuitionRates3[[#This Row],[Tuition]]/D240</f>
        <v>2.8482171863720502E-2</v>
      </c>
      <c r="F240"/>
    </row>
    <row r="241" spans="1:6" x14ac:dyDescent="0.2">
      <c r="A241" s="3" t="s">
        <v>251</v>
      </c>
      <c r="B241" s="3" t="s">
        <v>247</v>
      </c>
      <c r="C241" s="13">
        <v>1141863.8500000001</v>
      </c>
      <c r="D241" s="15">
        <v>40182143.539999999</v>
      </c>
      <c r="E241" s="22">
        <f>TuitionRates3[[#This Row],[Tuition]]/D241</f>
        <v>2.8417196032942151E-2</v>
      </c>
      <c r="F241"/>
    </row>
    <row r="242" spans="1:6" x14ac:dyDescent="0.2">
      <c r="A242" s="3" t="s">
        <v>99</v>
      </c>
      <c r="B242" s="3" t="s">
        <v>100</v>
      </c>
      <c r="C242" s="13">
        <v>3496607.96</v>
      </c>
      <c r="D242" s="15">
        <v>123185631.93000001</v>
      </c>
      <c r="E242" s="22">
        <f>TuitionRates3[[#This Row],[Tuition]]/D242</f>
        <v>2.838486847221712E-2</v>
      </c>
      <c r="F242"/>
    </row>
    <row r="243" spans="1:6" x14ac:dyDescent="0.2">
      <c r="A243" s="3" t="s">
        <v>418</v>
      </c>
      <c r="B243" s="3" t="s">
        <v>406</v>
      </c>
      <c r="C243" s="13">
        <v>2051465</v>
      </c>
      <c r="D243" s="15">
        <v>72685653</v>
      </c>
      <c r="E243" s="22">
        <f>TuitionRates3[[#This Row],[Tuition]]/D243</f>
        <v>2.8223795416682851E-2</v>
      </c>
      <c r="F243"/>
    </row>
    <row r="244" spans="1:6" x14ac:dyDescent="0.2">
      <c r="A244" s="3" t="s">
        <v>361</v>
      </c>
      <c r="B244" s="3" t="s">
        <v>359</v>
      </c>
      <c r="C244" s="13">
        <v>1022798.02</v>
      </c>
      <c r="D244" s="15">
        <v>36361996.960000001</v>
      </c>
      <c r="E244" s="22">
        <f>TuitionRates3[[#This Row],[Tuition]]/D244</f>
        <v>2.8128213671133863E-2</v>
      </c>
      <c r="F244"/>
    </row>
    <row r="245" spans="1:6" x14ac:dyDescent="0.2">
      <c r="A245" s="3" t="s">
        <v>114</v>
      </c>
      <c r="B245" s="3" t="s">
        <v>108</v>
      </c>
      <c r="C245" s="13">
        <v>768534.18</v>
      </c>
      <c r="D245" s="15">
        <v>27513404.77</v>
      </c>
      <c r="E245" s="22">
        <f>TuitionRates3[[#This Row],[Tuition]]/D245</f>
        <v>2.7933081580582587E-2</v>
      </c>
      <c r="F245"/>
    </row>
    <row r="246" spans="1:6" x14ac:dyDescent="0.2">
      <c r="A246" s="3" t="s">
        <v>77</v>
      </c>
      <c r="B246" s="3" t="s">
        <v>75</v>
      </c>
      <c r="C246" s="13">
        <v>697854.58</v>
      </c>
      <c r="D246" s="15">
        <v>25139093.170000002</v>
      </c>
      <c r="E246" s="22">
        <f>TuitionRates3[[#This Row],[Tuition]]/D246</f>
        <v>2.7759735614997918E-2</v>
      </c>
      <c r="F246"/>
    </row>
    <row r="247" spans="1:6" x14ac:dyDescent="0.2">
      <c r="A247" s="3" t="s">
        <v>171</v>
      </c>
      <c r="B247" s="3" t="s">
        <v>164</v>
      </c>
      <c r="C247" s="13">
        <v>2241643.7599999998</v>
      </c>
      <c r="D247" s="15">
        <v>81182573.109999999</v>
      </c>
      <c r="E247" s="22">
        <f>TuitionRates3[[#This Row],[Tuition]]/D247</f>
        <v>2.761237632813927E-2</v>
      </c>
      <c r="F247"/>
    </row>
    <row r="248" spans="1:6" x14ac:dyDescent="0.2">
      <c r="A248" s="3" t="s">
        <v>433</v>
      </c>
      <c r="B248" s="3" t="s">
        <v>431</v>
      </c>
      <c r="C248" s="13">
        <v>5612993.1900000004</v>
      </c>
      <c r="D248" s="15">
        <v>203922642</v>
      </c>
      <c r="E248" s="22">
        <f>TuitionRates3[[#This Row],[Tuition]]/D248</f>
        <v>2.7525110183694072E-2</v>
      </c>
      <c r="F248"/>
    </row>
    <row r="249" spans="1:6" x14ac:dyDescent="0.2">
      <c r="A249" s="3" t="s">
        <v>326</v>
      </c>
      <c r="B249" s="3" t="s">
        <v>316</v>
      </c>
      <c r="C249" s="13">
        <v>1846230.58</v>
      </c>
      <c r="D249" s="15">
        <v>67203750.519999996</v>
      </c>
      <c r="E249" s="22">
        <f>TuitionRates3[[#This Row],[Tuition]]/D249</f>
        <v>2.7472136089347534E-2</v>
      </c>
      <c r="F249"/>
    </row>
    <row r="250" spans="1:6" x14ac:dyDescent="0.2">
      <c r="A250" s="3" t="s">
        <v>332</v>
      </c>
      <c r="B250" s="3" t="s">
        <v>333</v>
      </c>
      <c r="C250" s="13">
        <v>892580.01</v>
      </c>
      <c r="D250" s="15">
        <v>32573311.57</v>
      </c>
      <c r="E250" s="22">
        <f>TuitionRates3[[#This Row],[Tuition]]/D250</f>
        <v>2.7402188079091894E-2</v>
      </c>
      <c r="F250"/>
    </row>
    <row r="251" spans="1:6" x14ac:dyDescent="0.2">
      <c r="A251" s="3" t="s">
        <v>67</v>
      </c>
      <c r="B251" s="3" t="s">
        <v>60</v>
      </c>
      <c r="C251" s="13">
        <v>1236005.68</v>
      </c>
      <c r="D251" s="15">
        <v>45241535.090000004</v>
      </c>
      <c r="E251" s="22">
        <f>TuitionRates3[[#This Row],[Tuition]]/D251</f>
        <v>2.7320153428507368E-2</v>
      </c>
      <c r="F251"/>
    </row>
    <row r="252" spans="1:6" x14ac:dyDescent="0.2">
      <c r="A252" s="3" t="s">
        <v>263</v>
      </c>
      <c r="B252" s="3" t="s">
        <v>261</v>
      </c>
      <c r="C252" s="13">
        <v>2264925.16</v>
      </c>
      <c r="D252" s="15">
        <v>82933008.969999999</v>
      </c>
      <c r="E252" s="22">
        <f>TuitionRates3[[#This Row],[Tuition]]/D252</f>
        <v>2.7310297650231276E-2</v>
      </c>
      <c r="F252"/>
    </row>
    <row r="253" spans="1:6" x14ac:dyDescent="0.2">
      <c r="A253" s="3" t="s">
        <v>205</v>
      </c>
      <c r="B253" s="3" t="s">
        <v>203</v>
      </c>
      <c r="C253" s="13">
        <v>1672392.73</v>
      </c>
      <c r="D253" s="15">
        <v>61516922.950000003</v>
      </c>
      <c r="E253" s="22">
        <f>TuitionRates3[[#This Row],[Tuition]]/D253</f>
        <v>2.7185896982514793E-2</v>
      </c>
      <c r="F253"/>
    </row>
    <row r="254" spans="1:6" x14ac:dyDescent="0.2">
      <c r="A254" s="3" t="s">
        <v>522</v>
      </c>
      <c r="B254" s="3" t="s">
        <v>515</v>
      </c>
      <c r="C254" s="13">
        <v>651889.91</v>
      </c>
      <c r="D254" s="15">
        <v>24029912.940000001</v>
      </c>
      <c r="E254" s="22">
        <f>TuitionRates3[[#This Row],[Tuition]]/D254</f>
        <v>2.7128267656553566E-2</v>
      </c>
      <c r="F254"/>
    </row>
    <row r="255" spans="1:6" x14ac:dyDescent="0.2">
      <c r="A255" s="3" t="s">
        <v>147</v>
      </c>
      <c r="B255" s="3" t="s">
        <v>138</v>
      </c>
      <c r="C255" s="13">
        <v>391694.75</v>
      </c>
      <c r="D255" s="15">
        <v>14455411.09</v>
      </c>
      <c r="E255" s="22">
        <f>TuitionRates3[[#This Row],[Tuition]]/D255</f>
        <v>2.709675619470743E-2</v>
      </c>
      <c r="F255"/>
    </row>
    <row r="256" spans="1:6" x14ac:dyDescent="0.2">
      <c r="A256" s="3" t="s">
        <v>256</v>
      </c>
      <c r="B256" s="3" t="s">
        <v>247</v>
      </c>
      <c r="C256" s="13">
        <v>805189.02</v>
      </c>
      <c r="D256" s="15">
        <v>29765774.809999999</v>
      </c>
      <c r="E256" s="22">
        <f>TuitionRates3[[#This Row],[Tuition]]/D256</f>
        <v>2.7050833554297122E-2</v>
      </c>
      <c r="F256"/>
    </row>
    <row r="257" spans="1:6" x14ac:dyDescent="0.2">
      <c r="A257" s="3" t="s">
        <v>370</v>
      </c>
      <c r="B257" s="3" t="s">
        <v>371</v>
      </c>
      <c r="C257" s="13">
        <v>778497.38</v>
      </c>
      <c r="D257" s="15">
        <v>28846507.079999998</v>
      </c>
      <c r="E257" s="22">
        <f>TuitionRates3[[#This Row],[Tuition]]/D257</f>
        <v>2.6987578698557637E-2</v>
      </c>
      <c r="F257"/>
    </row>
    <row r="258" spans="1:6" x14ac:dyDescent="0.2">
      <c r="A258" s="3" t="s">
        <v>520</v>
      </c>
      <c r="B258" s="3" t="s">
        <v>515</v>
      </c>
      <c r="C258" s="13">
        <v>2858993.13</v>
      </c>
      <c r="D258" s="15">
        <v>106272685.98999999</v>
      </c>
      <c r="E258" s="22">
        <f>TuitionRates3[[#This Row],[Tuition]]/D258</f>
        <v>2.6902426558307036E-2</v>
      </c>
      <c r="F258"/>
    </row>
    <row r="259" spans="1:6" x14ac:dyDescent="0.2">
      <c r="A259" s="3" t="s">
        <v>339</v>
      </c>
      <c r="B259" s="3" t="s">
        <v>333</v>
      </c>
      <c r="C259" s="13">
        <v>403149</v>
      </c>
      <c r="D259" s="15">
        <v>15013371</v>
      </c>
      <c r="E259" s="22">
        <f>TuitionRates3[[#This Row],[Tuition]]/D259</f>
        <v>2.6852663535724255E-2</v>
      </c>
      <c r="F259"/>
    </row>
    <row r="260" spans="1:6" x14ac:dyDescent="0.2">
      <c r="A260" s="3" t="s">
        <v>344</v>
      </c>
      <c r="B260" s="3" t="s">
        <v>342</v>
      </c>
      <c r="C260" s="13">
        <v>1429860.45</v>
      </c>
      <c r="D260" s="15">
        <v>53384335.350000001</v>
      </c>
      <c r="E260" s="22">
        <f>TuitionRates3[[#This Row],[Tuition]]/D260</f>
        <v>2.6784269966564262E-2</v>
      </c>
      <c r="F260"/>
    </row>
    <row r="261" spans="1:6" x14ac:dyDescent="0.2">
      <c r="A261" s="3" t="s">
        <v>61</v>
      </c>
      <c r="B261" s="3" t="s">
        <v>60</v>
      </c>
      <c r="C261" s="13">
        <v>1329880.25</v>
      </c>
      <c r="D261" s="15">
        <v>49856028.619999997</v>
      </c>
      <c r="E261" s="22">
        <f>TuitionRates3[[#This Row],[Tuition]]/D261</f>
        <v>2.6674412038236672E-2</v>
      </c>
      <c r="F261"/>
    </row>
    <row r="262" spans="1:6" x14ac:dyDescent="0.2">
      <c r="A262" s="3" t="s">
        <v>21</v>
      </c>
      <c r="B262" s="3" t="s">
        <v>11</v>
      </c>
      <c r="C262" s="13">
        <v>589750</v>
      </c>
      <c r="D262" s="15">
        <v>22215586</v>
      </c>
      <c r="E262" s="22">
        <f>TuitionRates3[[#This Row],[Tuition]]/D262</f>
        <v>2.6546677634341945E-2</v>
      </c>
      <c r="F262"/>
    </row>
    <row r="263" spans="1:6" x14ac:dyDescent="0.2">
      <c r="A263" s="3" t="s">
        <v>321</v>
      </c>
      <c r="B263" s="3" t="s">
        <v>316</v>
      </c>
      <c r="C263" s="13">
        <v>1975248.79</v>
      </c>
      <c r="D263" s="15">
        <v>74442540.159999996</v>
      </c>
      <c r="E263" s="22">
        <f>TuitionRates3[[#This Row],[Tuition]]/D263</f>
        <v>2.653387143633977E-2</v>
      </c>
      <c r="F263"/>
    </row>
    <row r="264" spans="1:6" x14ac:dyDescent="0.2">
      <c r="A264" s="3" t="s">
        <v>56</v>
      </c>
      <c r="B264" s="3" t="s">
        <v>55</v>
      </c>
      <c r="C264" s="13">
        <v>2855638.7</v>
      </c>
      <c r="D264" s="15">
        <v>107846556.95</v>
      </c>
      <c r="E264" s="22">
        <f>TuitionRates3[[#This Row],[Tuition]]/D264</f>
        <v>2.6478719217006955E-2</v>
      </c>
      <c r="F264"/>
    </row>
    <row r="265" spans="1:6" x14ac:dyDescent="0.2">
      <c r="A265" s="3" t="s">
        <v>293</v>
      </c>
      <c r="B265" s="3" t="s">
        <v>291</v>
      </c>
      <c r="C265" s="13">
        <v>793553.67</v>
      </c>
      <c r="D265" s="15">
        <v>30084067.989999998</v>
      </c>
      <c r="E265" s="22">
        <f>TuitionRates3[[#This Row],[Tuition]]/D265</f>
        <v>2.6377871179648273E-2</v>
      </c>
      <c r="F265"/>
    </row>
    <row r="266" spans="1:6" x14ac:dyDescent="0.2">
      <c r="A266" s="3" t="s">
        <v>563</v>
      </c>
      <c r="B266" s="3" t="s">
        <v>554</v>
      </c>
      <c r="C266" s="13">
        <v>2229708.35</v>
      </c>
      <c r="D266" s="15">
        <v>84587414.290000007</v>
      </c>
      <c r="E266" s="22">
        <f>TuitionRates3[[#This Row],[Tuition]]/D266</f>
        <v>2.6359812138903482E-2</v>
      </c>
      <c r="F266"/>
    </row>
    <row r="267" spans="1:6" x14ac:dyDescent="0.2">
      <c r="A267" s="3" t="s">
        <v>109</v>
      </c>
      <c r="B267" s="3" t="s">
        <v>108</v>
      </c>
      <c r="C267" s="13">
        <v>496309.11</v>
      </c>
      <c r="D267" s="15">
        <v>18844644.210000001</v>
      </c>
      <c r="E267" s="22">
        <f>TuitionRates3[[#This Row],[Tuition]]/D267</f>
        <v>2.6336878768803244E-2</v>
      </c>
      <c r="F267"/>
    </row>
    <row r="268" spans="1:6" x14ac:dyDescent="0.2">
      <c r="A268" s="3" t="s">
        <v>285</v>
      </c>
      <c r="B268" s="3" t="s">
        <v>286</v>
      </c>
      <c r="C268" s="13">
        <v>944262.98</v>
      </c>
      <c r="D268" s="15">
        <v>35941329.060000002</v>
      </c>
      <c r="E268" s="22">
        <f>TuitionRates3[[#This Row],[Tuition]]/D268</f>
        <v>2.6272344531935901E-2</v>
      </c>
      <c r="F268"/>
    </row>
    <row r="269" spans="1:6" x14ac:dyDescent="0.2">
      <c r="A269" s="3" t="s">
        <v>134</v>
      </c>
      <c r="B269" s="3" t="s">
        <v>130</v>
      </c>
      <c r="C269" s="13">
        <v>601889.82999999996</v>
      </c>
      <c r="D269" s="15">
        <v>22960230.390000001</v>
      </c>
      <c r="E269" s="22">
        <f>TuitionRates3[[#This Row],[Tuition]]/D269</f>
        <v>2.6214450803688123E-2</v>
      </c>
      <c r="F269"/>
    </row>
    <row r="270" spans="1:6" x14ac:dyDescent="0.2">
      <c r="A270" s="3" t="s">
        <v>161</v>
      </c>
      <c r="B270" s="3" t="s">
        <v>159</v>
      </c>
      <c r="C270" s="13">
        <v>798851.41</v>
      </c>
      <c r="D270" s="15">
        <v>30487113.390000001</v>
      </c>
      <c r="E270" s="22">
        <f>TuitionRates3[[#This Row],[Tuition]]/D270</f>
        <v>2.6202920551410068E-2</v>
      </c>
      <c r="F270"/>
    </row>
    <row r="271" spans="1:6" x14ac:dyDescent="0.2">
      <c r="A271" s="3" t="s">
        <v>340</v>
      </c>
      <c r="B271" s="3" t="s">
        <v>333</v>
      </c>
      <c r="C271" s="13">
        <v>625631.73</v>
      </c>
      <c r="D271" s="15">
        <v>23949970</v>
      </c>
      <c r="E271" s="22">
        <f>TuitionRates3[[#This Row],[Tuition]]/D271</f>
        <v>2.6122443159636525E-2</v>
      </c>
      <c r="F271"/>
    </row>
    <row r="272" spans="1:6" x14ac:dyDescent="0.2">
      <c r="A272" s="3" t="s">
        <v>381</v>
      </c>
      <c r="B272" s="3" t="s">
        <v>380</v>
      </c>
      <c r="C272" s="13">
        <v>569794.56999999995</v>
      </c>
      <c r="D272" s="15">
        <v>21892368.550000001</v>
      </c>
      <c r="E272" s="22">
        <f>TuitionRates3[[#This Row],[Tuition]]/D272</f>
        <v>2.6027086502707353E-2</v>
      </c>
      <c r="F272"/>
    </row>
    <row r="273" spans="1:6" x14ac:dyDescent="0.2">
      <c r="A273" s="3" t="s">
        <v>565</v>
      </c>
      <c r="B273" s="3" t="s">
        <v>554</v>
      </c>
      <c r="C273" s="13">
        <v>2203190.7000000002</v>
      </c>
      <c r="D273" s="15">
        <v>84814610.170000002</v>
      </c>
      <c r="E273" s="22">
        <f>TuitionRates3[[#This Row],[Tuition]]/D273</f>
        <v>2.5976546913131913E-2</v>
      </c>
      <c r="F273"/>
    </row>
    <row r="274" spans="1:6" x14ac:dyDescent="0.2">
      <c r="A274" s="3" t="s">
        <v>512</v>
      </c>
      <c r="B274" s="3" t="s">
        <v>513</v>
      </c>
      <c r="C274" s="13">
        <v>2399519.54</v>
      </c>
      <c r="D274" s="15">
        <v>92446342.519999996</v>
      </c>
      <c r="E274" s="22">
        <f>TuitionRates3[[#This Row],[Tuition]]/D274</f>
        <v>2.5955808251482571E-2</v>
      </c>
      <c r="F274"/>
    </row>
    <row r="275" spans="1:6" x14ac:dyDescent="0.2">
      <c r="A275" s="3" t="s">
        <v>307</v>
      </c>
      <c r="B275" s="3" t="s">
        <v>305</v>
      </c>
      <c r="C275" s="13">
        <v>666314.78</v>
      </c>
      <c r="D275" s="15">
        <v>26056817.940000001</v>
      </c>
      <c r="E275" s="22">
        <f>TuitionRates3[[#This Row],[Tuition]]/D275</f>
        <v>2.5571609761955452E-2</v>
      </c>
      <c r="F275"/>
    </row>
    <row r="276" spans="1:6" x14ac:dyDescent="0.2">
      <c r="A276" s="3" t="s">
        <v>391</v>
      </c>
      <c r="B276" s="3" t="s">
        <v>386</v>
      </c>
      <c r="C276" s="13">
        <v>258926.57</v>
      </c>
      <c r="D276" s="15">
        <v>10142480.720000001</v>
      </c>
      <c r="E276" s="22">
        <f>TuitionRates3[[#This Row],[Tuition]]/D276</f>
        <v>2.5528919122263807E-2</v>
      </c>
      <c r="F276"/>
    </row>
    <row r="277" spans="1:6" x14ac:dyDescent="0.2">
      <c r="A277" s="3" t="s">
        <v>220</v>
      </c>
      <c r="B277" s="3" t="s">
        <v>216</v>
      </c>
      <c r="C277" s="13">
        <v>1799250.2</v>
      </c>
      <c r="D277" s="15">
        <v>70603796.739999995</v>
      </c>
      <c r="E277" s="22">
        <f>TuitionRates3[[#This Row],[Tuition]]/D277</f>
        <v>2.5483759841213323E-2</v>
      </c>
      <c r="F277"/>
    </row>
    <row r="278" spans="1:6" x14ac:dyDescent="0.2">
      <c r="A278" s="3" t="s">
        <v>6</v>
      </c>
      <c r="B278" s="3" t="s">
        <v>4</v>
      </c>
      <c r="C278" s="13">
        <v>498618.14</v>
      </c>
      <c r="D278" s="15">
        <v>19740927.98</v>
      </c>
      <c r="E278" s="22">
        <f>TuitionRates3[[#This Row],[Tuition]]/D278</f>
        <v>2.5258090222767735E-2</v>
      </c>
      <c r="F278"/>
    </row>
    <row r="279" spans="1:6" x14ac:dyDescent="0.2">
      <c r="A279" s="3" t="s">
        <v>165</v>
      </c>
      <c r="B279" s="3" t="s">
        <v>164</v>
      </c>
      <c r="C279" s="13">
        <v>5135851.04</v>
      </c>
      <c r="D279" s="15">
        <v>203801400.37</v>
      </c>
      <c r="E279" s="22">
        <f>TuitionRates3[[#This Row],[Tuition]]/D279</f>
        <v>2.5200273553939761E-2</v>
      </c>
      <c r="F279"/>
    </row>
    <row r="280" spans="1:6" x14ac:dyDescent="0.2">
      <c r="A280" s="3" t="s">
        <v>379</v>
      </c>
      <c r="B280" s="3" t="s">
        <v>380</v>
      </c>
      <c r="C280" s="13">
        <v>1178527.73</v>
      </c>
      <c r="D280" s="15">
        <v>46818845.280000001</v>
      </c>
      <c r="E280" s="22">
        <f>TuitionRates3[[#This Row],[Tuition]]/D280</f>
        <v>2.5172080237174103E-2</v>
      </c>
      <c r="F280"/>
    </row>
    <row r="281" spans="1:6" x14ac:dyDescent="0.2">
      <c r="A281" s="3" t="s">
        <v>191</v>
      </c>
      <c r="B281" s="3" t="s">
        <v>185</v>
      </c>
      <c r="C281" s="13">
        <v>924834.45</v>
      </c>
      <c r="D281" s="15">
        <v>36807610.850000001</v>
      </c>
      <c r="E281" s="22">
        <f>TuitionRates3[[#This Row],[Tuition]]/D281</f>
        <v>2.5126174414550461E-2</v>
      </c>
      <c r="F281"/>
    </row>
    <row r="282" spans="1:6" x14ac:dyDescent="0.2">
      <c r="A282" s="3" t="s">
        <v>113</v>
      </c>
      <c r="B282" s="3" t="s">
        <v>108</v>
      </c>
      <c r="C282" s="13">
        <v>678442.88</v>
      </c>
      <c r="D282" s="15">
        <v>27086555.079999998</v>
      </c>
      <c r="E282" s="22">
        <f>TuitionRates3[[#This Row],[Tuition]]/D282</f>
        <v>2.504721910911973E-2</v>
      </c>
      <c r="F282"/>
    </row>
    <row r="283" spans="1:6" x14ac:dyDescent="0.2">
      <c r="A283" s="3" t="s">
        <v>198</v>
      </c>
      <c r="B283" s="3" t="s">
        <v>196</v>
      </c>
      <c r="C283" s="13">
        <v>734162.26</v>
      </c>
      <c r="D283" s="15">
        <v>29503234.02</v>
      </c>
      <c r="E283" s="22">
        <f>TuitionRates3[[#This Row],[Tuition]]/D283</f>
        <v>2.4884128279032646E-2</v>
      </c>
      <c r="F283"/>
    </row>
    <row r="284" spans="1:6" x14ac:dyDescent="0.2">
      <c r="A284" s="3" t="s">
        <v>187</v>
      </c>
      <c r="B284" s="3" t="s">
        <v>185</v>
      </c>
      <c r="C284" s="13">
        <v>1607682.84</v>
      </c>
      <c r="D284" s="15">
        <v>64714986.229999997</v>
      </c>
      <c r="E284" s="22">
        <f>TuitionRates3[[#This Row],[Tuition]]/D284</f>
        <v>2.4842512278164169E-2</v>
      </c>
      <c r="F284"/>
    </row>
    <row r="285" spans="1:6" x14ac:dyDescent="0.2">
      <c r="A285" s="3" t="s">
        <v>523</v>
      </c>
      <c r="B285" s="3" t="s">
        <v>515</v>
      </c>
      <c r="C285" s="13">
        <v>509760.65</v>
      </c>
      <c r="D285" s="15">
        <v>20688886.920000002</v>
      </c>
      <c r="E285" s="22">
        <f>TuitionRates3[[#This Row],[Tuition]]/D285</f>
        <v>2.4639346329802452E-2</v>
      </c>
      <c r="F285"/>
    </row>
    <row r="286" spans="1:6" x14ac:dyDescent="0.2">
      <c r="A286" s="3" t="s">
        <v>79</v>
      </c>
      <c r="B286" s="3" t="s">
        <v>75</v>
      </c>
      <c r="C286" s="13">
        <v>470378.63</v>
      </c>
      <c r="D286" s="15">
        <v>19158803.77</v>
      </c>
      <c r="E286" s="22">
        <f>TuitionRates3[[#This Row],[Tuition]]/D286</f>
        <v>2.4551565726485855E-2</v>
      </c>
      <c r="F286"/>
    </row>
    <row r="287" spans="1:6" x14ac:dyDescent="0.2">
      <c r="A287" s="3" t="s">
        <v>217</v>
      </c>
      <c r="B287" s="3" t="s">
        <v>216</v>
      </c>
      <c r="C287" s="13">
        <v>1710083.82</v>
      </c>
      <c r="D287" s="15">
        <v>69698009.969999999</v>
      </c>
      <c r="E287" s="22">
        <f>TuitionRates3[[#This Row],[Tuition]]/D287</f>
        <v>2.4535619033256025E-2</v>
      </c>
      <c r="F287"/>
    </row>
    <row r="288" spans="1:6" x14ac:dyDescent="0.2">
      <c r="A288" s="3" t="s">
        <v>348</v>
      </c>
      <c r="B288" s="3" t="s">
        <v>349</v>
      </c>
      <c r="C288" s="13">
        <v>10071970</v>
      </c>
      <c r="D288" s="15">
        <v>410594030</v>
      </c>
      <c r="E288" s="22">
        <f>TuitionRates3[[#This Row],[Tuition]]/D288</f>
        <v>2.4530239760183557E-2</v>
      </c>
      <c r="F288"/>
    </row>
    <row r="289" spans="1:6" x14ac:dyDescent="0.2">
      <c r="A289" s="3" t="s">
        <v>254</v>
      </c>
      <c r="B289" s="3" t="s">
        <v>247</v>
      </c>
      <c r="C289" s="13">
        <v>814276.65</v>
      </c>
      <c r="D289" s="15">
        <v>33203499.66</v>
      </c>
      <c r="E289" s="22">
        <f>TuitionRates3[[#This Row],[Tuition]]/D289</f>
        <v>2.452382002915653E-2</v>
      </c>
      <c r="F289"/>
    </row>
    <row r="290" spans="1:6" x14ac:dyDescent="0.2">
      <c r="A290" s="3" t="s">
        <v>80</v>
      </c>
      <c r="B290" s="3" t="s">
        <v>81</v>
      </c>
      <c r="C290" s="13">
        <v>565030.57999999996</v>
      </c>
      <c r="D290" s="15">
        <v>23040132.82</v>
      </c>
      <c r="E290" s="22">
        <f>TuitionRates3[[#This Row],[Tuition]]/D290</f>
        <v>2.4523755327900056E-2</v>
      </c>
      <c r="F290"/>
    </row>
    <row r="291" spans="1:6" x14ac:dyDescent="0.2">
      <c r="A291" s="3" t="s">
        <v>441</v>
      </c>
      <c r="B291" s="3" t="s">
        <v>440</v>
      </c>
      <c r="C291" s="13">
        <v>934495.75</v>
      </c>
      <c r="D291" s="15">
        <v>38151401.380000003</v>
      </c>
      <c r="E291" s="22">
        <f>TuitionRates3[[#This Row],[Tuition]]/D291</f>
        <v>2.4494401678515746E-2</v>
      </c>
      <c r="F291"/>
    </row>
    <row r="292" spans="1:6" x14ac:dyDescent="0.2">
      <c r="A292" s="3" t="s">
        <v>432</v>
      </c>
      <c r="B292" s="3" t="s">
        <v>431</v>
      </c>
      <c r="C292" s="13">
        <v>7876020.3099999996</v>
      </c>
      <c r="D292" s="15">
        <v>321560066.41000003</v>
      </c>
      <c r="E292" s="22">
        <f>TuitionRates3[[#This Row],[Tuition]]/D292</f>
        <v>2.4493154258644186E-2</v>
      </c>
      <c r="F292"/>
    </row>
    <row r="293" spans="1:6" x14ac:dyDescent="0.2">
      <c r="A293" s="3" t="s">
        <v>564</v>
      </c>
      <c r="B293" s="3" t="s">
        <v>554</v>
      </c>
      <c r="C293" s="13">
        <v>1474329.19</v>
      </c>
      <c r="D293" s="15">
        <v>60270637.979999997</v>
      </c>
      <c r="E293" s="22">
        <f>TuitionRates3[[#This Row],[Tuition]]/D293</f>
        <v>2.4461814897151685E-2</v>
      </c>
      <c r="F293"/>
    </row>
    <row r="294" spans="1:6" x14ac:dyDescent="0.2">
      <c r="A294" s="3" t="s">
        <v>489</v>
      </c>
      <c r="B294" s="3" t="s">
        <v>479</v>
      </c>
      <c r="C294" s="13">
        <v>527068.21</v>
      </c>
      <c r="D294" s="15">
        <v>21674558.690000001</v>
      </c>
      <c r="E294" s="22">
        <f>TuitionRates3[[#This Row],[Tuition]]/D294</f>
        <v>2.431736754313589E-2</v>
      </c>
      <c r="F294"/>
    </row>
    <row r="295" spans="1:6" x14ac:dyDescent="0.2">
      <c r="A295" s="3" t="s">
        <v>315</v>
      </c>
      <c r="B295" s="3" t="s">
        <v>316</v>
      </c>
      <c r="C295" s="13">
        <v>1656153.24</v>
      </c>
      <c r="D295" s="15">
        <v>68379982.540000007</v>
      </c>
      <c r="E295" s="22">
        <f>TuitionRates3[[#This Row],[Tuition]]/D295</f>
        <v>2.4219854677956457E-2</v>
      </c>
      <c r="F295"/>
    </row>
    <row r="296" spans="1:6" x14ac:dyDescent="0.2">
      <c r="A296" s="3" t="s">
        <v>537</v>
      </c>
      <c r="B296" s="3" t="s">
        <v>533</v>
      </c>
      <c r="C296" s="13">
        <v>1623371.08</v>
      </c>
      <c r="D296" s="15">
        <v>67253897.599999994</v>
      </c>
      <c r="E296" s="22">
        <f>TuitionRates3[[#This Row],[Tuition]]/D296</f>
        <v>2.4137947954409711E-2</v>
      </c>
      <c r="F296"/>
    </row>
    <row r="297" spans="1:6" x14ac:dyDescent="0.2">
      <c r="A297" s="3" t="s">
        <v>473</v>
      </c>
      <c r="B297" s="3" t="s">
        <v>463</v>
      </c>
      <c r="C297" s="13">
        <v>365064.94</v>
      </c>
      <c r="D297" s="15">
        <v>15174901.18</v>
      </c>
      <c r="E297" s="22">
        <f>TuitionRates3[[#This Row],[Tuition]]/D297</f>
        <v>2.4057154354398241E-2</v>
      </c>
      <c r="F297"/>
    </row>
    <row r="298" spans="1:6" x14ac:dyDescent="0.2">
      <c r="A298" s="3" t="s">
        <v>239</v>
      </c>
      <c r="B298" s="3" t="s">
        <v>227</v>
      </c>
      <c r="C298" s="13">
        <v>5786101.7300000004</v>
      </c>
      <c r="D298" s="15">
        <v>240557304.87</v>
      </c>
      <c r="E298" s="22">
        <f>TuitionRates3[[#This Row],[Tuition]]/D298</f>
        <v>2.4052903873057932E-2</v>
      </c>
      <c r="F298"/>
    </row>
    <row r="299" spans="1:6" x14ac:dyDescent="0.2">
      <c r="A299" s="3" t="s">
        <v>69</v>
      </c>
      <c r="B299" s="3" t="s">
        <v>60</v>
      </c>
      <c r="C299" s="13">
        <v>733975.37</v>
      </c>
      <c r="D299" s="15">
        <v>30643469.109999999</v>
      </c>
      <c r="E299" s="22">
        <f>TuitionRates3[[#This Row],[Tuition]]/D299</f>
        <v>2.3952097830871214E-2</v>
      </c>
      <c r="F299"/>
    </row>
    <row r="300" spans="1:6" x14ac:dyDescent="0.2">
      <c r="A300" s="3" t="s">
        <v>140</v>
      </c>
      <c r="B300" s="3" t="s">
        <v>138</v>
      </c>
      <c r="C300" s="13">
        <v>714471.88</v>
      </c>
      <c r="D300" s="15">
        <v>29933630.149999999</v>
      </c>
      <c r="E300" s="22">
        <f>TuitionRates3[[#This Row],[Tuition]]/D300</f>
        <v>2.3868534368191224E-2</v>
      </c>
      <c r="F300"/>
    </row>
    <row r="301" spans="1:6" x14ac:dyDescent="0.2">
      <c r="A301" s="3" t="s">
        <v>408</v>
      </c>
      <c r="B301" s="3" t="s">
        <v>406</v>
      </c>
      <c r="C301" s="13">
        <v>3140473.75</v>
      </c>
      <c r="D301" s="15">
        <v>131960194.70999999</v>
      </c>
      <c r="E301" s="22">
        <f>TuitionRates3[[#This Row],[Tuition]]/D301</f>
        <v>2.379864440865374E-2</v>
      </c>
      <c r="F301"/>
    </row>
    <row r="302" spans="1:6" x14ac:dyDescent="0.2">
      <c r="A302" s="3" t="s">
        <v>110</v>
      </c>
      <c r="B302" s="3" t="s">
        <v>108</v>
      </c>
      <c r="C302" s="13">
        <v>371288.1</v>
      </c>
      <c r="D302" s="15">
        <v>15626680.939999999</v>
      </c>
      <c r="E302" s="22">
        <f>TuitionRates3[[#This Row],[Tuition]]/D302</f>
        <v>2.3759882308059716E-2</v>
      </c>
      <c r="F302"/>
    </row>
    <row r="303" spans="1:6" x14ac:dyDescent="0.2">
      <c r="A303" s="3" t="s">
        <v>320</v>
      </c>
      <c r="B303" s="3" t="s">
        <v>316</v>
      </c>
      <c r="C303" s="13">
        <v>1601513.96</v>
      </c>
      <c r="D303" s="15">
        <v>67751191.219999999</v>
      </c>
      <c r="E303" s="22">
        <f>TuitionRates3[[#This Row],[Tuition]]/D303</f>
        <v>2.3638166815393744E-2</v>
      </c>
      <c r="F303"/>
    </row>
    <row r="304" spans="1:6" x14ac:dyDescent="0.2">
      <c r="A304" s="3" t="s">
        <v>51</v>
      </c>
      <c r="B304" s="3" t="s">
        <v>11</v>
      </c>
      <c r="C304" s="13">
        <v>1442591.45</v>
      </c>
      <c r="D304" s="15">
        <v>61047895.079999998</v>
      </c>
      <c r="E304" s="22">
        <f>TuitionRates3[[#This Row],[Tuition]]/D304</f>
        <v>2.3630486327326457E-2</v>
      </c>
      <c r="F304"/>
    </row>
    <row r="305" spans="1:6" x14ac:dyDescent="0.2">
      <c r="A305" s="3" t="s">
        <v>65</v>
      </c>
      <c r="B305" s="3" t="s">
        <v>60</v>
      </c>
      <c r="C305" s="13">
        <v>1009006.87</v>
      </c>
      <c r="D305" s="15">
        <v>42870253.659999996</v>
      </c>
      <c r="E305" s="22">
        <f>TuitionRates3[[#This Row],[Tuition]]/D305</f>
        <v>2.353629344025673E-2</v>
      </c>
      <c r="F305"/>
    </row>
    <row r="306" spans="1:6" x14ac:dyDescent="0.2">
      <c r="A306" s="3" t="s">
        <v>397</v>
      </c>
      <c r="B306" s="3" t="s">
        <v>386</v>
      </c>
      <c r="C306" s="13">
        <v>409415.25</v>
      </c>
      <c r="D306" s="15">
        <v>17486861.309999999</v>
      </c>
      <c r="E306" s="22">
        <f>TuitionRates3[[#This Row],[Tuition]]/D306</f>
        <v>2.3412735009562449E-2</v>
      </c>
      <c r="F306"/>
    </row>
    <row r="307" spans="1:6" x14ac:dyDescent="0.2">
      <c r="A307" s="3" t="s">
        <v>101</v>
      </c>
      <c r="B307" s="3" t="s">
        <v>100</v>
      </c>
      <c r="C307" s="13">
        <v>515636.7</v>
      </c>
      <c r="D307" s="15">
        <v>22039462.16</v>
      </c>
      <c r="E307" s="22">
        <f>TuitionRates3[[#This Row],[Tuition]]/D307</f>
        <v>2.339606548728955E-2</v>
      </c>
      <c r="F307"/>
    </row>
    <row r="308" spans="1:6" x14ac:dyDescent="0.2">
      <c r="A308" s="3" t="s">
        <v>350</v>
      </c>
      <c r="B308" s="3" t="s">
        <v>349</v>
      </c>
      <c r="C308" s="13">
        <v>889776.15</v>
      </c>
      <c r="D308" s="15">
        <v>38366679.43</v>
      </c>
      <c r="E308" s="22">
        <f>TuitionRates3[[#This Row],[Tuition]]/D308</f>
        <v>2.3191377602103838E-2</v>
      </c>
      <c r="F308"/>
    </row>
    <row r="309" spans="1:6" x14ac:dyDescent="0.2">
      <c r="A309" s="3" t="s">
        <v>480</v>
      </c>
      <c r="B309" s="3" t="s">
        <v>479</v>
      </c>
      <c r="C309" s="13">
        <v>412358.26</v>
      </c>
      <c r="D309" s="15">
        <v>17793642.120000001</v>
      </c>
      <c r="E309" s="22">
        <f>TuitionRates3[[#This Row],[Tuition]]/D309</f>
        <v>2.3174471938856776E-2</v>
      </c>
      <c r="F309"/>
    </row>
    <row r="310" spans="1:6" x14ac:dyDescent="0.2">
      <c r="A310" s="3" t="s">
        <v>282</v>
      </c>
      <c r="B310" s="3" t="s">
        <v>280</v>
      </c>
      <c r="C310" s="13">
        <v>370489.36</v>
      </c>
      <c r="D310" s="15">
        <v>16060416.68</v>
      </c>
      <c r="E310" s="22">
        <f>TuitionRates3[[#This Row],[Tuition]]/D310</f>
        <v>2.3068477448743255E-2</v>
      </c>
      <c r="F310"/>
    </row>
    <row r="311" spans="1:6" x14ac:dyDescent="0.2">
      <c r="A311" s="3" t="s">
        <v>562</v>
      </c>
      <c r="B311" s="3" t="s">
        <v>554</v>
      </c>
      <c r="C311" s="13">
        <v>1329379.01</v>
      </c>
      <c r="D311" s="15">
        <v>57901800.200000003</v>
      </c>
      <c r="E311" s="22">
        <f>TuitionRates3[[#This Row],[Tuition]]/D311</f>
        <v>2.2959199980107009E-2</v>
      </c>
      <c r="F311"/>
    </row>
    <row r="312" spans="1:6" x14ac:dyDescent="0.2">
      <c r="A312" s="3" t="s">
        <v>415</v>
      </c>
      <c r="B312" s="3" t="s">
        <v>406</v>
      </c>
      <c r="C312" s="13">
        <v>4167907.94</v>
      </c>
      <c r="D312" s="15">
        <v>182754584.46000001</v>
      </c>
      <c r="E312" s="22">
        <f>TuitionRates3[[#This Row],[Tuition]]/D312</f>
        <v>2.2806037683351474E-2</v>
      </c>
      <c r="F312"/>
    </row>
    <row r="313" spans="1:6" x14ac:dyDescent="0.2">
      <c r="A313" s="3" t="s">
        <v>133</v>
      </c>
      <c r="B313" s="3" t="s">
        <v>130</v>
      </c>
      <c r="C313" s="13">
        <v>1261761.3999999999</v>
      </c>
      <c r="D313" s="15">
        <v>55384299.240000002</v>
      </c>
      <c r="E313" s="22">
        <f>TuitionRates3[[#This Row],[Tuition]]/D313</f>
        <v>2.278193309862667E-2</v>
      </c>
      <c r="F313"/>
    </row>
    <row r="314" spans="1:6" x14ac:dyDescent="0.2">
      <c r="A314" s="3" t="s">
        <v>9</v>
      </c>
      <c r="B314" s="3" t="s">
        <v>4</v>
      </c>
      <c r="C314" s="13">
        <v>795518.94</v>
      </c>
      <c r="D314" s="15">
        <v>35005417.450000003</v>
      </c>
      <c r="E314" s="22">
        <f>TuitionRates3[[#This Row],[Tuition]]/D314</f>
        <v>2.2725595006438063E-2</v>
      </c>
      <c r="F314"/>
    </row>
    <row r="315" spans="1:6" x14ac:dyDescent="0.2">
      <c r="A315" s="3" t="s">
        <v>312</v>
      </c>
      <c r="B315" s="3" t="s">
        <v>305</v>
      </c>
      <c r="C315" s="13">
        <v>709566.85</v>
      </c>
      <c r="D315" s="15">
        <v>31247441.5</v>
      </c>
      <c r="E315" s="22">
        <f>TuitionRates3[[#This Row],[Tuition]]/D315</f>
        <v>2.2707998349240848E-2</v>
      </c>
      <c r="F315"/>
    </row>
    <row r="316" spans="1:6" x14ac:dyDescent="0.2">
      <c r="A316" s="3" t="s">
        <v>383</v>
      </c>
      <c r="B316" s="3" t="s">
        <v>380</v>
      </c>
      <c r="C316" s="13">
        <v>386876.29</v>
      </c>
      <c r="D316" s="15">
        <v>17177840.140000001</v>
      </c>
      <c r="E316" s="22">
        <f>TuitionRates3[[#This Row],[Tuition]]/D316</f>
        <v>2.2521823864172948E-2</v>
      </c>
      <c r="F316"/>
    </row>
    <row r="317" spans="1:6" x14ac:dyDescent="0.2">
      <c r="A317" s="3" t="s">
        <v>25</v>
      </c>
      <c r="B317" s="3" t="s">
        <v>11</v>
      </c>
      <c r="C317" s="13">
        <v>1883002.33</v>
      </c>
      <c r="D317" s="15">
        <v>83707392.519999996</v>
      </c>
      <c r="E317" s="22">
        <f>TuitionRates3[[#This Row],[Tuition]]/D317</f>
        <v>2.2495054179953091E-2</v>
      </c>
      <c r="F317"/>
    </row>
    <row r="318" spans="1:6" x14ac:dyDescent="0.2">
      <c r="A318" s="3" t="s">
        <v>208</v>
      </c>
      <c r="B318" s="3" t="s">
        <v>207</v>
      </c>
      <c r="C318" s="13">
        <v>620320.66</v>
      </c>
      <c r="D318" s="15">
        <v>27630183.539999999</v>
      </c>
      <c r="E318" s="22">
        <f>TuitionRates3[[#This Row],[Tuition]]/D318</f>
        <v>2.2450833853563321E-2</v>
      </c>
      <c r="F318"/>
    </row>
    <row r="319" spans="1:6" x14ac:dyDescent="0.2">
      <c r="A319" s="3" t="s">
        <v>373</v>
      </c>
      <c r="B319" s="3" t="s">
        <v>371</v>
      </c>
      <c r="C319" s="13">
        <v>629256.95999999996</v>
      </c>
      <c r="D319" s="15">
        <v>28148832.510000002</v>
      </c>
      <c r="E319" s="22">
        <f>TuitionRates3[[#This Row],[Tuition]]/D319</f>
        <v>2.2354637968606816E-2</v>
      </c>
      <c r="F319"/>
    </row>
    <row r="320" spans="1:6" x14ac:dyDescent="0.2">
      <c r="A320" s="3" t="s">
        <v>7</v>
      </c>
      <c r="B320" s="3" t="s">
        <v>4</v>
      </c>
      <c r="C320" s="13">
        <v>1602666.07</v>
      </c>
      <c r="D320" s="15">
        <v>72057280.760000005</v>
      </c>
      <c r="E320" s="22">
        <f>TuitionRates3[[#This Row],[Tuition]]/D320</f>
        <v>2.2241556343736778E-2</v>
      </c>
      <c r="F320"/>
    </row>
    <row r="321" spans="1:6" x14ac:dyDescent="0.2">
      <c r="A321" s="3" t="s">
        <v>29</v>
      </c>
      <c r="B321" s="3" t="s">
        <v>11</v>
      </c>
      <c r="C321" s="13">
        <v>1724698</v>
      </c>
      <c r="D321" s="15">
        <v>77669099</v>
      </c>
      <c r="E321" s="22">
        <f>TuitionRates3[[#This Row],[Tuition]]/D321</f>
        <v>2.2205716587493825E-2</v>
      </c>
      <c r="F321"/>
    </row>
    <row r="322" spans="1:6" x14ac:dyDescent="0.2">
      <c r="A322" s="3" t="s">
        <v>92</v>
      </c>
      <c r="B322" s="3" t="s">
        <v>81</v>
      </c>
      <c r="C322" s="13">
        <v>833617.44</v>
      </c>
      <c r="D322" s="15">
        <v>37583393.450000003</v>
      </c>
      <c r="E322" s="22">
        <f>TuitionRates3[[#This Row],[Tuition]]/D322</f>
        <v>2.2180472902454205E-2</v>
      </c>
      <c r="F322"/>
    </row>
    <row r="323" spans="1:6" x14ac:dyDescent="0.2">
      <c r="A323" s="3" t="s">
        <v>506</v>
      </c>
      <c r="B323" s="3" t="s">
        <v>507</v>
      </c>
      <c r="C323" s="13">
        <v>565054.19999999995</v>
      </c>
      <c r="D323" s="15">
        <v>25808237.84</v>
      </c>
      <c r="E323" s="22">
        <f>TuitionRates3[[#This Row],[Tuition]]/D323</f>
        <v>2.1894334805153823E-2</v>
      </c>
      <c r="F323"/>
    </row>
    <row r="324" spans="1:6" x14ac:dyDescent="0.2">
      <c r="A324" s="3" t="s">
        <v>16</v>
      </c>
      <c r="B324" s="3" t="s">
        <v>11</v>
      </c>
      <c r="C324" s="13">
        <v>761845.07</v>
      </c>
      <c r="D324" s="15">
        <v>34804610.520000003</v>
      </c>
      <c r="E324" s="22">
        <f>TuitionRates3[[#This Row],[Tuition]]/D324</f>
        <v>2.1889199695604003E-2</v>
      </c>
      <c r="F324"/>
    </row>
    <row r="325" spans="1:6" x14ac:dyDescent="0.2">
      <c r="A325" s="3" t="s">
        <v>169</v>
      </c>
      <c r="B325" s="3" t="s">
        <v>164</v>
      </c>
      <c r="C325" s="13">
        <v>1281461.3400000001</v>
      </c>
      <c r="D325" s="15">
        <v>58621807.869999997</v>
      </c>
      <c r="E325" s="22">
        <f>TuitionRates3[[#This Row],[Tuition]]/D325</f>
        <v>2.1859805873639636E-2</v>
      </c>
      <c r="F325"/>
    </row>
    <row r="326" spans="1:6" x14ac:dyDescent="0.2">
      <c r="A326" s="3" t="s">
        <v>105</v>
      </c>
      <c r="B326" s="3" t="s">
        <v>100</v>
      </c>
      <c r="C326" s="13">
        <v>639380.76</v>
      </c>
      <c r="D326" s="15">
        <v>29258845.440000001</v>
      </c>
      <c r="E326" s="22">
        <f>TuitionRates3[[#This Row],[Tuition]]/D326</f>
        <v>2.185256288773095E-2</v>
      </c>
      <c r="F326"/>
    </row>
    <row r="327" spans="1:6" x14ac:dyDescent="0.2">
      <c r="A327" s="3" t="s">
        <v>112</v>
      </c>
      <c r="B327" s="3" t="s">
        <v>108</v>
      </c>
      <c r="C327" s="13">
        <v>658894.57999999996</v>
      </c>
      <c r="D327" s="15">
        <v>30207121.280000001</v>
      </c>
      <c r="E327" s="22">
        <f>TuitionRates3[[#This Row],[Tuition]]/D327</f>
        <v>2.1812557836693003E-2</v>
      </c>
      <c r="F327"/>
    </row>
    <row r="328" spans="1:6" x14ac:dyDescent="0.2">
      <c r="A328" s="3" t="s">
        <v>435</v>
      </c>
      <c r="B328" s="3" t="s">
        <v>431</v>
      </c>
      <c r="C328" s="13">
        <v>2722982.43</v>
      </c>
      <c r="D328" s="15">
        <v>124842673.81</v>
      </c>
      <c r="E328" s="22">
        <f>TuitionRates3[[#This Row],[Tuition]]/D328</f>
        <v>2.1811311364126576E-2</v>
      </c>
      <c r="F328"/>
    </row>
    <row r="329" spans="1:6" x14ac:dyDescent="0.2">
      <c r="A329" s="3" t="s">
        <v>358</v>
      </c>
      <c r="B329" s="3" t="s">
        <v>359</v>
      </c>
      <c r="C329" s="13">
        <v>1025968.15</v>
      </c>
      <c r="D329" s="15">
        <v>47178198.729999997</v>
      </c>
      <c r="E329" s="22">
        <f>TuitionRates3[[#This Row],[Tuition]]/D329</f>
        <v>2.1746657939858995E-2</v>
      </c>
      <c r="F329"/>
    </row>
    <row r="330" spans="1:6" x14ac:dyDescent="0.2">
      <c r="A330" s="3" t="s">
        <v>146</v>
      </c>
      <c r="B330" s="3" t="s">
        <v>138</v>
      </c>
      <c r="C330" s="13">
        <v>581031.16</v>
      </c>
      <c r="D330" s="15">
        <v>26757914.190000001</v>
      </c>
      <c r="E330" s="22">
        <f>TuitionRates3[[#This Row],[Tuition]]/D330</f>
        <v>2.1714366668278789E-2</v>
      </c>
      <c r="F330"/>
    </row>
    <row r="331" spans="1:6" x14ac:dyDescent="0.2">
      <c r="A331" s="3" t="s">
        <v>558</v>
      </c>
      <c r="B331" s="3" t="s">
        <v>554</v>
      </c>
      <c r="C331" s="13">
        <v>1006337</v>
      </c>
      <c r="D331" s="15">
        <v>46488302</v>
      </c>
      <c r="E331" s="22">
        <f>TuitionRates3[[#This Row],[Tuition]]/D331</f>
        <v>2.1647101673018729E-2</v>
      </c>
      <c r="F331"/>
    </row>
    <row r="332" spans="1:6" x14ac:dyDescent="0.2">
      <c r="A332" s="3" t="s">
        <v>511</v>
      </c>
      <c r="B332" s="3" t="s">
        <v>507</v>
      </c>
      <c r="C332" s="13">
        <v>352597.73</v>
      </c>
      <c r="D332" s="15">
        <v>16345451.98</v>
      </c>
      <c r="E332" s="22">
        <f>TuitionRates3[[#This Row],[Tuition]]/D332</f>
        <v>2.1571610894053721E-2</v>
      </c>
      <c r="F332"/>
    </row>
    <row r="333" spans="1:6" x14ac:dyDescent="0.2">
      <c r="A333" s="3" t="s">
        <v>374</v>
      </c>
      <c r="B333" s="3" t="s">
        <v>371</v>
      </c>
      <c r="C333" s="13">
        <v>432420.35</v>
      </c>
      <c r="D333" s="15">
        <v>20046164.84</v>
      </c>
      <c r="E333" s="22">
        <f>TuitionRates3[[#This Row],[Tuition]]/D333</f>
        <v>2.1571225890408271E-2</v>
      </c>
      <c r="F333"/>
    </row>
    <row r="334" spans="1:6" x14ac:dyDescent="0.2">
      <c r="A334" s="3" t="s">
        <v>553</v>
      </c>
      <c r="B334" s="3" t="s">
        <v>554</v>
      </c>
      <c r="C334" s="13">
        <v>2255965.2599999998</v>
      </c>
      <c r="D334" s="15">
        <v>105202812.42</v>
      </c>
      <c r="E334" s="22">
        <f>TuitionRates3[[#This Row],[Tuition]]/D334</f>
        <v>2.1443963408445156E-2</v>
      </c>
      <c r="F334"/>
    </row>
    <row r="335" spans="1:6" x14ac:dyDescent="0.2">
      <c r="A335" s="3" t="s">
        <v>345</v>
      </c>
      <c r="B335" s="3" t="s">
        <v>342</v>
      </c>
      <c r="C335" s="13">
        <v>2381688.7999999998</v>
      </c>
      <c r="D335" s="15">
        <v>112049712.94</v>
      </c>
      <c r="E335" s="22">
        <f>TuitionRates3[[#This Row],[Tuition]]/D335</f>
        <v>2.1255643923651448E-2</v>
      </c>
      <c r="F335"/>
    </row>
    <row r="336" spans="1:6" x14ac:dyDescent="0.2">
      <c r="A336" s="3" t="s">
        <v>192</v>
      </c>
      <c r="B336" s="3" t="s">
        <v>185</v>
      </c>
      <c r="C336" s="13">
        <v>417512.37</v>
      </c>
      <c r="D336" s="15">
        <v>19881556.600000001</v>
      </c>
      <c r="E336" s="22">
        <f>TuitionRates3[[#This Row],[Tuition]]/D336</f>
        <v>2.0999983975097804E-2</v>
      </c>
      <c r="F336"/>
    </row>
    <row r="337" spans="1:6" x14ac:dyDescent="0.2">
      <c r="A337" s="3" t="s">
        <v>453</v>
      </c>
      <c r="B337" s="3" t="s">
        <v>454</v>
      </c>
      <c r="C337" s="13">
        <v>2032880.63</v>
      </c>
      <c r="D337" s="15">
        <v>96805484.450000003</v>
      </c>
      <c r="E337" s="22">
        <f>TuitionRates3[[#This Row],[Tuition]]/D337</f>
        <v>2.0999643166395E-2</v>
      </c>
      <c r="F337"/>
    </row>
    <row r="338" spans="1:6" x14ac:dyDescent="0.2">
      <c r="A338" s="3" t="s">
        <v>304</v>
      </c>
      <c r="B338" s="3" t="s">
        <v>305</v>
      </c>
      <c r="C338" s="13">
        <v>1168645.3</v>
      </c>
      <c r="D338" s="15">
        <v>55653850.659999996</v>
      </c>
      <c r="E338" s="22">
        <f>TuitionRates3[[#This Row],[Tuition]]/D338</f>
        <v>2.0998462570711907E-2</v>
      </c>
      <c r="F338"/>
    </row>
    <row r="339" spans="1:6" x14ac:dyDescent="0.2">
      <c r="A339" s="3" t="s">
        <v>330</v>
      </c>
      <c r="B339" s="3" t="s">
        <v>316</v>
      </c>
      <c r="C339" s="13">
        <v>1562068.06</v>
      </c>
      <c r="D339" s="15">
        <v>74430676.609999999</v>
      </c>
      <c r="E339" s="22">
        <f>TuitionRates3[[#This Row],[Tuition]]/D339</f>
        <v>2.0986885127820151E-2</v>
      </c>
      <c r="F339"/>
    </row>
    <row r="340" spans="1:6" x14ac:dyDescent="0.2">
      <c r="A340" s="3" t="s">
        <v>160</v>
      </c>
      <c r="B340" s="3" t="s">
        <v>159</v>
      </c>
      <c r="C340" s="13">
        <v>1207270.9099999999</v>
      </c>
      <c r="D340" s="15">
        <v>57567279.18</v>
      </c>
      <c r="E340" s="22">
        <f>TuitionRates3[[#This Row],[Tuition]]/D340</f>
        <v>2.0971477672674679E-2</v>
      </c>
      <c r="F340"/>
    </row>
    <row r="341" spans="1:6" x14ac:dyDescent="0.2">
      <c r="A341" s="3" t="s">
        <v>357</v>
      </c>
      <c r="B341" s="3" t="s">
        <v>349</v>
      </c>
      <c r="C341" s="13">
        <v>1921168.63</v>
      </c>
      <c r="D341" s="15">
        <v>91775996.189999998</v>
      </c>
      <c r="E341" s="22">
        <f>TuitionRates3[[#This Row],[Tuition]]/D341</f>
        <v>2.093323646438754E-2</v>
      </c>
      <c r="F341"/>
    </row>
    <row r="342" spans="1:6" x14ac:dyDescent="0.2">
      <c r="A342" s="3" t="s">
        <v>131</v>
      </c>
      <c r="B342" s="3" t="s">
        <v>130</v>
      </c>
      <c r="C342" s="13">
        <v>552726.99</v>
      </c>
      <c r="D342" s="15">
        <v>26489119.780000001</v>
      </c>
      <c r="E342" s="22">
        <f>TuitionRates3[[#This Row],[Tuition]]/D342</f>
        <v>2.0866189386078572E-2</v>
      </c>
      <c r="F342"/>
    </row>
    <row r="343" spans="1:6" x14ac:dyDescent="0.2">
      <c r="A343" s="3" t="s">
        <v>201</v>
      </c>
      <c r="B343" s="3" t="s">
        <v>196</v>
      </c>
      <c r="C343" s="13">
        <v>501026.11</v>
      </c>
      <c r="D343" s="15">
        <v>24245194.359999999</v>
      </c>
      <c r="E343" s="22">
        <f>TuitionRates3[[#This Row],[Tuition]]/D343</f>
        <v>2.0664965706630862E-2</v>
      </c>
      <c r="F343"/>
    </row>
    <row r="344" spans="1:6" x14ac:dyDescent="0.2">
      <c r="A344" s="3" t="s">
        <v>23</v>
      </c>
      <c r="B344" s="3" t="s">
        <v>11</v>
      </c>
      <c r="C344" s="13">
        <v>1070511.43</v>
      </c>
      <c r="D344" s="15">
        <v>51903373.439999998</v>
      </c>
      <c r="E344" s="22">
        <f>TuitionRates3[[#This Row],[Tuition]]/D344</f>
        <v>2.0625083863527773E-2</v>
      </c>
      <c r="F344"/>
    </row>
    <row r="345" spans="1:6" x14ac:dyDescent="0.2">
      <c r="A345" s="3" t="s">
        <v>244</v>
      </c>
      <c r="B345" s="3" t="s">
        <v>243</v>
      </c>
      <c r="C345" s="13">
        <v>380533.82</v>
      </c>
      <c r="D345" s="15">
        <v>18497269.82</v>
      </c>
      <c r="E345" s="22">
        <f>TuitionRates3[[#This Row],[Tuition]]/D345</f>
        <v>2.0572431699544726E-2</v>
      </c>
      <c r="F345"/>
    </row>
    <row r="346" spans="1:6" x14ac:dyDescent="0.2">
      <c r="A346" s="3" t="s">
        <v>259</v>
      </c>
      <c r="B346" s="3" t="s">
        <v>247</v>
      </c>
      <c r="C346" s="13">
        <v>610959.57999999996</v>
      </c>
      <c r="D346" s="15">
        <v>29715432.649999999</v>
      </c>
      <c r="E346" s="22">
        <f>TuitionRates3[[#This Row],[Tuition]]/D346</f>
        <v>2.0560346106890691E-2</v>
      </c>
      <c r="F346"/>
    </row>
    <row r="347" spans="1:6" x14ac:dyDescent="0.2">
      <c r="A347" s="3" t="s">
        <v>290</v>
      </c>
      <c r="B347" s="3" t="s">
        <v>291</v>
      </c>
      <c r="C347" s="13">
        <v>370699.75</v>
      </c>
      <c r="D347" s="15">
        <v>18204096.93</v>
      </c>
      <c r="E347" s="22">
        <f>TuitionRates3[[#This Row],[Tuition]]/D347</f>
        <v>2.0363534177248527E-2</v>
      </c>
      <c r="F347"/>
    </row>
    <row r="348" spans="1:6" x14ac:dyDescent="0.2">
      <c r="A348" s="3" t="s">
        <v>250</v>
      </c>
      <c r="B348" s="3" t="s">
        <v>247</v>
      </c>
      <c r="C348" s="13">
        <v>784463.58</v>
      </c>
      <c r="D348" s="15">
        <v>38581807.700000003</v>
      </c>
      <c r="E348" s="22">
        <f>TuitionRates3[[#This Row],[Tuition]]/D348</f>
        <v>2.0332473431513162E-2</v>
      </c>
      <c r="F348"/>
    </row>
    <row r="349" spans="1:6" x14ac:dyDescent="0.2">
      <c r="A349" s="3" t="s">
        <v>87</v>
      </c>
      <c r="B349" s="3" t="s">
        <v>81</v>
      </c>
      <c r="C349" s="13">
        <v>1048008.31</v>
      </c>
      <c r="D349" s="15">
        <v>51717948.130000003</v>
      </c>
      <c r="E349" s="22">
        <f>TuitionRates3[[#This Row],[Tuition]]/D349</f>
        <v>2.0263918966113865E-2</v>
      </c>
      <c r="F349"/>
    </row>
    <row r="350" spans="1:6" x14ac:dyDescent="0.2">
      <c r="A350" s="3" t="s">
        <v>20</v>
      </c>
      <c r="B350" s="3" t="s">
        <v>11</v>
      </c>
      <c r="C350" s="13">
        <v>843619.43</v>
      </c>
      <c r="D350" s="15">
        <v>41633976.770000003</v>
      </c>
      <c r="E350" s="22">
        <f>TuitionRates3[[#This Row],[Tuition]]/D350</f>
        <v>2.026276362357686E-2</v>
      </c>
      <c r="F350"/>
    </row>
    <row r="351" spans="1:6" x14ac:dyDescent="0.2">
      <c r="A351" s="3" t="s">
        <v>487</v>
      </c>
      <c r="B351" s="3" t="s">
        <v>479</v>
      </c>
      <c r="C351" s="13">
        <v>884125</v>
      </c>
      <c r="D351" s="15">
        <v>43786572.390000001</v>
      </c>
      <c r="E351" s="22">
        <f>TuitionRates3[[#This Row],[Tuition]]/D351</f>
        <v>2.0191692378321829E-2</v>
      </c>
      <c r="F351"/>
    </row>
    <row r="352" spans="1:6" x14ac:dyDescent="0.2">
      <c r="A352" s="3" t="s">
        <v>351</v>
      </c>
      <c r="B352" s="3" t="s">
        <v>349</v>
      </c>
      <c r="C352" s="13">
        <v>3431015.02</v>
      </c>
      <c r="D352" s="15">
        <v>170432309.33000001</v>
      </c>
      <c r="E352" s="22">
        <f>TuitionRates3[[#This Row],[Tuition]]/D352</f>
        <v>2.013124761078422E-2</v>
      </c>
      <c r="F352"/>
    </row>
    <row r="353" spans="1:6" x14ac:dyDescent="0.2">
      <c r="A353" s="3" t="s">
        <v>363</v>
      </c>
      <c r="B353" s="3" t="s">
        <v>359</v>
      </c>
      <c r="C353" s="13">
        <v>4225170.68</v>
      </c>
      <c r="D353" s="15">
        <v>209932292.12</v>
      </c>
      <c r="E353" s="22">
        <f>TuitionRates3[[#This Row],[Tuition]]/D353</f>
        <v>2.0126349487885539E-2</v>
      </c>
      <c r="F353"/>
    </row>
    <row r="354" spans="1:6" x14ac:dyDescent="0.2">
      <c r="A354" s="3" t="s">
        <v>445</v>
      </c>
      <c r="B354" s="3" t="s">
        <v>440</v>
      </c>
      <c r="C354" s="13">
        <v>632582.59</v>
      </c>
      <c r="D354" s="15">
        <v>31437790.789999999</v>
      </c>
      <c r="E354" s="22">
        <f>TuitionRates3[[#This Row],[Tuition]]/D354</f>
        <v>2.0121725289972258E-2</v>
      </c>
      <c r="F354"/>
    </row>
    <row r="355" spans="1:6" x14ac:dyDescent="0.2">
      <c r="A355" s="3" t="s">
        <v>118</v>
      </c>
      <c r="B355" s="3" t="s">
        <v>116</v>
      </c>
      <c r="C355" s="13">
        <v>3934166.18</v>
      </c>
      <c r="D355" s="15">
        <v>196818303.88</v>
      </c>
      <c r="E355" s="22">
        <f>TuitionRates3[[#This Row],[Tuition]]/D355</f>
        <v>1.9988822698109719E-2</v>
      </c>
      <c r="F355"/>
    </row>
    <row r="356" spans="1:6" x14ac:dyDescent="0.2">
      <c r="A356" s="3" t="s">
        <v>300</v>
      </c>
      <c r="B356" s="3" t="s">
        <v>299</v>
      </c>
      <c r="C356" s="13">
        <v>576156.73</v>
      </c>
      <c r="D356" s="15">
        <v>28874003.289999999</v>
      </c>
      <c r="E356" s="22">
        <f>TuitionRates3[[#This Row],[Tuition]]/D356</f>
        <v>1.995416860673219E-2</v>
      </c>
      <c r="F356"/>
    </row>
    <row r="357" spans="1:6" x14ac:dyDescent="0.2">
      <c r="A357" s="3" t="s">
        <v>492</v>
      </c>
      <c r="B357" s="3" t="s">
        <v>493</v>
      </c>
      <c r="C357" s="13">
        <v>469193.06</v>
      </c>
      <c r="D357" s="15">
        <v>23561910.66</v>
      </c>
      <c r="E357" s="22">
        <f>TuitionRates3[[#This Row],[Tuition]]/D357</f>
        <v>1.991320087621451E-2</v>
      </c>
      <c r="F357"/>
    </row>
    <row r="358" spans="1:6" x14ac:dyDescent="0.2">
      <c r="A358" s="3" t="s">
        <v>245</v>
      </c>
      <c r="B358" s="3" t="s">
        <v>243</v>
      </c>
      <c r="C358" s="13">
        <v>644481.5</v>
      </c>
      <c r="D358" s="15">
        <v>32427735.829999998</v>
      </c>
      <c r="E358" s="22">
        <f>TuitionRates3[[#This Row],[Tuition]]/D358</f>
        <v>1.9874390965149293E-2</v>
      </c>
      <c r="F358"/>
    </row>
    <row r="359" spans="1:6" x14ac:dyDescent="0.2">
      <c r="A359" s="3" t="s">
        <v>106</v>
      </c>
      <c r="B359" s="3" t="s">
        <v>100</v>
      </c>
      <c r="C359" s="13">
        <v>169796.38</v>
      </c>
      <c r="D359" s="15">
        <v>8552048.6099999994</v>
      </c>
      <c r="E359" s="22">
        <f>TuitionRates3[[#This Row],[Tuition]]/D359</f>
        <v>1.9854468530669404E-2</v>
      </c>
      <c r="F359"/>
    </row>
    <row r="360" spans="1:6" x14ac:dyDescent="0.2">
      <c r="A360" s="3" t="s">
        <v>396</v>
      </c>
      <c r="B360" s="3" t="s">
        <v>386</v>
      </c>
      <c r="C360" s="13">
        <v>376226.05</v>
      </c>
      <c r="D360" s="15">
        <v>18959270.59</v>
      </c>
      <c r="E360" s="22">
        <f>TuitionRates3[[#This Row],[Tuition]]/D360</f>
        <v>1.9843909511921786E-2</v>
      </c>
      <c r="F360"/>
    </row>
    <row r="361" spans="1:6" x14ac:dyDescent="0.2">
      <c r="A361" s="3" t="s">
        <v>103</v>
      </c>
      <c r="B361" s="3" t="s">
        <v>100</v>
      </c>
      <c r="C361" s="13">
        <v>1052993.47</v>
      </c>
      <c r="D361" s="15">
        <v>53312634.609999999</v>
      </c>
      <c r="E361" s="22">
        <f>TuitionRates3[[#This Row],[Tuition]]/D361</f>
        <v>1.9751293060322458E-2</v>
      </c>
      <c r="F361"/>
    </row>
    <row r="362" spans="1:6" x14ac:dyDescent="0.2">
      <c r="A362" s="3" t="s">
        <v>199</v>
      </c>
      <c r="B362" s="3" t="s">
        <v>196</v>
      </c>
      <c r="C362" s="13">
        <v>694016.21</v>
      </c>
      <c r="D362" s="15">
        <v>35182990.43</v>
      </c>
      <c r="E362" s="22">
        <f>TuitionRates3[[#This Row],[Tuition]]/D362</f>
        <v>1.972590167913137E-2</v>
      </c>
      <c r="F362"/>
    </row>
    <row r="363" spans="1:6" x14ac:dyDescent="0.2">
      <c r="A363" s="3" t="s">
        <v>255</v>
      </c>
      <c r="B363" s="3" t="s">
        <v>247</v>
      </c>
      <c r="C363" s="13">
        <v>2298777.08</v>
      </c>
      <c r="D363" s="15">
        <v>117062497.34999999</v>
      </c>
      <c r="E363" s="22">
        <f>TuitionRates3[[#This Row],[Tuition]]/D363</f>
        <v>1.963717784976847E-2</v>
      </c>
      <c r="F363"/>
    </row>
    <row r="364" spans="1:6" x14ac:dyDescent="0.2">
      <c r="A364" s="3" t="s">
        <v>335</v>
      </c>
      <c r="B364" s="3" t="s">
        <v>333</v>
      </c>
      <c r="C364" s="13">
        <v>576698.31000000006</v>
      </c>
      <c r="D364" s="15">
        <v>29471860.43</v>
      </c>
      <c r="E364" s="22">
        <f>TuitionRates3[[#This Row],[Tuition]]/D364</f>
        <v>1.9567760622704607E-2</v>
      </c>
      <c r="F364"/>
    </row>
    <row r="365" spans="1:6" x14ac:dyDescent="0.2">
      <c r="A365" s="3" t="s">
        <v>328</v>
      </c>
      <c r="B365" s="3" t="s">
        <v>316</v>
      </c>
      <c r="C365" s="13">
        <v>2001036.08</v>
      </c>
      <c r="D365" s="15">
        <v>102344007.44</v>
      </c>
      <c r="E365" s="22">
        <f>TuitionRates3[[#This Row],[Tuition]]/D365</f>
        <v>1.9552059080480345E-2</v>
      </c>
      <c r="F365"/>
    </row>
    <row r="366" spans="1:6" x14ac:dyDescent="0.2">
      <c r="A366" s="3" t="s">
        <v>94</v>
      </c>
      <c r="B366" s="3" t="s">
        <v>81</v>
      </c>
      <c r="C366" s="13">
        <v>899056.35</v>
      </c>
      <c r="D366" s="15">
        <v>46103669.649999999</v>
      </c>
      <c r="E366" s="22">
        <f>TuitionRates3[[#This Row],[Tuition]]/D366</f>
        <v>1.9500754643291176E-2</v>
      </c>
      <c r="F366"/>
    </row>
    <row r="367" spans="1:6" x14ac:dyDescent="0.2">
      <c r="A367" s="3" t="s">
        <v>84</v>
      </c>
      <c r="B367" s="3" t="s">
        <v>81</v>
      </c>
      <c r="C367" s="13">
        <v>1224127.23</v>
      </c>
      <c r="D367" s="15">
        <v>62975396.25</v>
      </c>
      <c r="E367" s="22">
        <f>TuitionRates3[[#This Row],[Tuition]]/D367</f>
        <v>1.9438182256773018E-2</v>
      </c>
      <c r="F367"/>
    </row>
    <row r="368" spans="1:6" x14ac:dyDescent="0.2">
      <c r="A368" s="3" t="s">
        <v>200</v>
      </c>
      <c r="B368" s="3" t="s">
        <v>196</v>
      </c>
      <c r="C368" s="13">
        <v>264427.65999999997</v>
      </c>
      <c r="D368" s="15">
        <v>13625599.84</v>
      </c>
      <c r="E368" s="22">
        <f>TuitionRates3[[#This Row],[Tuition]]/D368</f>
        <v>1.9406680300689056E-2</v>
      </c>
      <c r="F368"/>
    </row>
    <row r="369" spans="1:6" x14ac:dyDescent="0.2">
      <c r="A369" s="3" t="s">
        <v>45</v>
      </c>
      <c r="B369" s="3" t="s">
        <v>11</v>
      </c>
      <c r="C369" s="13">
        <v>764554.3</v>
      </c>
      <c r="D369" s="15">
        <v>39521758.009999998</v>
      </c>
      <c r="E369" s="22">
        <f>TuitionRates3[[#This Row],[Tuition]]/D369</f>
        <v>1.9345149064637981E-2</v>
      </c>
      <c r="F369"/>
    </row>
    <row r="370" spans="1:6" x14ac:dyDescent="0.2">
      <c r="A370" s="3" t="s">
        <v>186</v>
      </c>
      <c r="B370" s="3" t="s">
        <v>185</v>
      </c>
      <c r="C370" s="13">
        <v>389781.46</v>
      </c>
      <c r="D370" s="15">
        <v>20371595.600000001</v>
      </c>
      <c r="E370" s="22">
        <f>TuitionRates3[[#This Row],[Tuition]]/D370</f>
        <v>1.9133575378847596E-2</v>
      </c>
      <c r="F370"/>
    </row>
    <row r="371" spans="1:6" x14ac:dyDescent="0.2">
      <c r="A371" s="3" t="s">
        <v>343</v>
      </c>
      <c r="B371" s="3" t="s">
        <v>342</v>
      </c>
      <c r="C371" s="13">
        <v>1885491.36</v>
      </c>
      <c r="D371" s="15">
        <v>98717622.340000004</v>
      </c>
      <c r="E371" s="22">
        <f>TuitionRates3[[#This Row],[Tuition]]/D371</f>
        <v>1.9099845755057313E-2</v>
      </c>
      <c r="F371"/>
    </row>
    <row r="372" spans="1:6" x14ac:dyDescent="0.2">
      <c r="A372" s="3" t="s">
        <v>336</v>
      </c>
      <c r="B372" s="3" t="s">
        <v>333</v>
      </c>
      <c r="C372" s="13">
        <v>434571.14</v>
      </c>
      <c r="D372" s="15">
        <v>22820697.640000001</v>
      </c>
      <c r="E372" s="22">
        <f>TuitionRates3[[#This Row],[Tuition]]/D372</f>
        <v>1.9042850786396906E-2</v>
      </c>
      <c r="F372"/>
    </row>
    <row r="373" spans="1:6" x14ac:dyDescent="0.2">
      <c r="A373" s="3" t="s">
        <v>86</v>
      </c>
      <c r="B373" s="3" t="s">
        <v>81</v>
      </c>
      <c r="C373" s="13">
        <v>1570588.78</v>
      </c>
      <c r="D373" s="15">
        <v>82798021.579999998</v>
      </c>
      <c r="E373" s="22">
        <f>TuitionRates3[[#This Row],[Tuition]]/D373</f>
        <v>1.8968916769134231E-2</v>
      </c>
      <c r="F373"/>
    </row>
    <row r="374" spans="1:6" x14ac:dyDescent="0.2">
      <c r="A374" s="3" t="s">
        <v>486</v>
      </c>
      <c r="B374" s="3" t="s">
        <v>479</v>
      </c>
      <c r="C374" s="13">
        <v>151470.78</v>
      </c>
      <c r="D374" s="15">
        <v>8026969.4000000004</v>
      </c>
      <c r="E374" s="22">
        <f>TuitionRates3[[#This Row],[Tuition]]/D374</f>
        <v>1.8870232643468154E-2</v>
      </c>
      <c r="F374"/>
    </row>
    <row r="375" spans="1:6" x14ac:dyDescent="0.2">
      <c r="A375" s="3" t="s">
        <v>195</v>
      </c>
      <c r="B375" s="3" t="s">
        <v>196</v>
      </c>
      <c r="C375" s="13">
        <v>284492.31</v>
      </c>
      <c r="D375" s="15">
        <v>15084424.960000001</v>
      </c>
      <c r="E375" s="22">
        <f>TuitionRates3[[#This Row],[Tuition]]/D375</f>
        <v>1.8860003663010032E-2</v>
      </c>
      <c r="F375"/>
    </row>
    <row r="376" spans="1:6" x14ac:dyDescent="0.2">
      <c r="A376" s="3" t="s">
        <v>390</v>
      </c>
      <c r="B376" s="3" t="s">
        <v>386</v>
      </c>
      <c r="C376" s="13">
        <v>684070.8</v>
      </c>
      <c r="D376" s="15">
        <v>36304282.850000001</v>
      </c>
      <c r="E376" s="22">
        <f>TuitionRates3[[#This Row],[Tuition]]/D376</f>
        <v>1.8842702466439164E-2</v>
      </c>
      <c r="F376"/>
    </row>
    <row r="377" spans="1:6" x14ac:dyDescent="0.2">
      <c r="A377" s="3" t="s">
        <v>322</v>
      </c>
      <c r="B377" s="3" t="s">
        <v>316</v>
      </c>
      <c r="C377" s="13">
        <v>1592862.45</v>
      </c>
      <c r="D377" s="15">
        <v>84761515.299999997</v>
      </c>
      <c r="E377" s="22">
        <f>TuitionRates3[[#This Row],[Tuition]]/D377</f>
        <v>1.8792283790141254E-2</v>
      </c>
      <c r="F377"/>
    </row>
    <row r="378" spans="1:6" x14ac:dyDescent="0.2">
      <c r="A378" s="3" t="s">
        <v>355</v>
      </c>
      <c r="B378" s="3" t="s">
        <v>349</v>
      </c>
      <c r="C378" s="13">
        <v>747268.3</v>
      </c>
      <c r="D378" s="15">
        <v>40155849.259999998</v>
      </c>
      <c r="E378" s="22">
        <f>TuitionRates3[[#This Row],[Tuition]]/D378</f>
        <v>1.8609201741983033E-2</v>
      </c>
      <c r="F378"/>
    </row>
    <row r="379" spans="1:6" x14ac:dyDescent="0.2">
      <c r="A379" s="3" t="s">
        <v>425</v>
      </c>
      <c r="B379" s="3" t="s">
        <v>406</v>
      </c>
      <c r="C379" s="13">
        <v>1294259.6599999999</v>
      </c>
      <c r="D379" s="15">
        <v>70719466.560000002</v>
      </c>
      <c r="E379" s="22">
        <f>TuitionRates3[[#This Row],[Tuition]]/D379</f>
        <v>1.8301321021729152E-2</v>
      </c>
      <c r="F379"/>
    </row>
    <row r="380" spans="1:6" x14ac:dyDescent="0.2">
      <c r="A380" s="3" t="s">
        <v>123</v>
      </c>
      <c r="B380" s="3" t="s">
        <v>116</v>
      </c>
      <c r="C380" s="13">
        <v>3696536.62</v>
      </c>
      <c r="D380" s="15">
        <v>203296536.97999999</v>
      </c>
      <c r="E380" s="22">
        <f>TuitionRates3[[#This Row],[Tuition]]/D380</f>
        <v>1.8182978790060058E-2</v>
      </c>
      <c r="F380"/>
    </row>
    <row r="381" spans="1:6" x14ac:dyDescent="0.2">
      <c r="A381" s="3" t="s">
        <v>31</v>
      </c>
      <c r="B381" s="3" t="s">
        <v>11</v>
      </c>
      <c r="C381" s="13">
        <v>1593219.93</v>
      </c>
      <c r="D381" s="15">
        <v>88029119.299999997</v>
      </c>
      <c r="E381" s="22">
        <f>TuitionRates3[[#This Row],[Tuition]]/D381</f>
        <v>1.809878302394876E-2</v>
      </c>
      <c r="F381"/>
    </row>
    <row r="382" spans="1:6" x14ac:dyDescent="0.2">
      <c r="A382" s="3" t="s">
        <v>434</v>
      </c>
      <c r="B382" s="3" t="s">
        <v>431</v>
      </c>
      <c r="C382" s="13">
        <v>1830974.43</v>
      </c>
      <c r="D382" s="15">
        <v>102493017.34999999</v>
      </c>
      <c r="E382" s="22">
        <f>TuitionRates3[[#This Row],[Tuition]]/D382</f>
        <v>1.7864382153444328E-2</v>
      </c>
      <c r="F382"/>
    </row>
    <row r="383" spans="1:6" x14ac:dyDescent="0.2">
      <c r="A383" s="3" t="s">
        <v>567</v>
      </c>
      <c r="B383" s="3" t="s">
        <v>554</v>
      </c>
      <c r="C383" s="13">
        <v>1220133.2</v>
      </c>
      <c r="D383" s="15">
        <v>68540219.530000001</v>
      </c>
      <c r="E383" s="22">
        <f>TuitionRates3[[#This Row],[Tuition]]/D383</f>
        <v>1.7801711292534578E-2</v>
      </c>
      <c r="F383"/>
    </row>
    <row r="384" spans="1:6" x14ac:dyDescent="0.2">
      <c r="A384" s="3" t="s">
        <v>467</v>
      </c>
      <c r="B384" s="3" t="s">
        <v>463</v>
      </c>
      <c r="C384" s="13">
        <v>529747.72</v>
      </c>
      <c r="D384" s="15">
        <v>30007558.120000001</v>
      </c>
      <c r="E384" s="22">
        <f>TuitionRates3[[#This Row],[Tuition]]/D384</f>
        <v>1.765380967959948E-2</v>
      </c>
      <c r="F384"/>
    </row>
    <row r="385" spans="1:6" x14ac:dyDescent="0.2">
      <c r="A385" s="3" t="s">
        <v>527</v>
      </c>
      <c r="B385" s="3" t="s">
        <v>515</v>
      </c>
      <c r="C385" s="13">
        <v>1253633.1100000001</v>
      </c>
      <c r="D385" s="15">
        <v>71218509.579999998</v>
      </c>
      <c r="E385" s="22">
        <f>TuitionRates3[[#This Row],[Tuition]]/D385</f>
        <v>1.7602630515481228E-2</v>
      </c>
      <c r="F385"/>
    </row>
    <row r="386" spans="1:6" x14ac:dyDescent="0.2">
      <c r="A386" s="3" t="s">
        <v>91</v>
      </c>
      <c r="B386" s="3" t="s">
        <v>81</v>
      </c>
      <c r="C386" s="13">
        <v>1211685.6000000001</v>
      </c>
      <c r="D386" s="15">
        <v>69796946.329999998</v>
      </c>
      <c r="E386" s="22">
        <f>TuitionRates3[[#This Row],[Tuition]]/D386</f>
        <v>1.736015203689786E-2</v>
      </c>
      <c r="F386"/>
    </row>
    <row r="387" spans="1:6" x14ac:dyDescent="0.2">
      <c r="A387" s="3" t="s">
        <v>338</v>
      </c>
      <c r="B387" s="3" t="s">
        <v>333</v>
      </c>
      <c r="C387" s="13">
        <v>374519.7</v>
      </c>
      <c r="D387" s="15">
        <v>21594171.989999998</v>
      </c>
      <c r="E387" s="22">
        <f>TuitionRates3[[#This Row],[Tuition]]/D387</f>
        <v>1.7343554555990182E-2</v>
      </c>
      <c r="F387"/>
    </row>
    <row r="388" spans="1:6" x14ac:dyDescent="0.2">
      <c r="A388" s="3" t="s">
        <v>233</v>
      </c>
      <c r="B388" s="3" t="s">
        <v>227</v>
      </c>
      <c r="C388" s="13">
        <v>1222386.1000000001</v>
      </c>
      <c r="D388" s="15">
        <v>70585360.620000005</v>
      </c>
      <c r="E388" s="22">
        <f>TuitionRates3[[#This Row],[Tuition]]/D388</f>
        <v>1.7317841677975974E-2</v>
      </c>
      <c r="F388"/>
    </row>
    <row r="389" spans="1:6" x14ac:dyDescent="0.2">
      <c r="A389" s="3" t="s">
        <v>331</v>
      </c>
      <c r="B389" s="3" t="s">
        <v>316</v>
      </c>
      <c r="C389" s="13">
        <v>1439901.2</v>
      </c>
      <c r="D389" s="15">
        <v>83768533.180000007</v>
      </c>
      <c r="E389" s="22">
        <f>TuitionRates3[[#This Row],[Tuition]]/D389</f>
        <v>1.7189046355938591E-2</v>
      </c>
      <c r="F389"/>
    </row>
    <row r="390" spans="1:6" x14ac:dyDescent="0.2">
      <c r="A390" s="3" t="s">
        <v>323</v>
      </c>
      <c r="B390" s="3" t="s">
        <v>316</v>
      </c>
      <c r="C390" s="13">
        <v>2407921.58</v>
      </c>
      <c r="D390" s="15">
        <v>140792456.02000001</v>
      </c>
      <c r="E390" s="22">
        <f>TuitionRates3[[#This Row],[Tuition]]/D390</f>
        <v>1.7102632115870948E-2</v>
      </c>
      <c r="F390"/>
    </row>
    <row r="391" spans="1:6" x14ac:dyDescent="0.2">
      <c r="A391" s="3" t="s">
        <v>258</v>
      </c>
      <c r="B391" s="3" t="s">
        <v>247</v>
      </c>
      <c r="C391" s="13">
        <v>449989.58</v>
      </c>
      <c r="D391" s="15">
        <v>26378507.109999999</v>
      </c>
      <c r="E391" s="22">
        <f>TuitionRates3[[#This Row],[Tuition]]/D391</f>
        <v>1.7058947958029459E-2</v>
      </c>
      <c r="F391"/>
    </row>
    <row r="392" spans="1:6" x14ac:dyDescent="0.2">
      <c r="A392" s="3" t="s">
        <v>354</v>
      </c>
      <c r="B392" s="3" t="s">
        <v>349</v>
      </c>
      <c r="C392" s="13">
        <v>3675116.77</v>
      </c>
      <c r="D392" s="15">
        <v>217184920.52000001</v>
      </c>
      <c r="E392" s="22">
        <f>TuitionRates3[[#This Row],[Tuition]]/D392</f>
        <v>1.6921601928903567E-2</v>
      </c>
      <c r="F392"/>
    </row>
    <row r="393" spans="1:6" x14ac:dyDescent="0.2">
      <c r="A393" s="3" t="s">
        <v>115</v>
      </c>
      <c r="B393" s="3" t="s">
        <v>116</v>
      </c>
      <c r="C393" s="13">
        <v>2810173.08</v>
      </c>
      <c r="D393" s="15">
        <v>167455443.27000001</v>
      </c>
      <c r="E393" s="22">
        <f>TuitionRates3[[#This Row],[Tuition]]/D393</f>
        <v>1.6781616799813211E-2</v>
      </c>
      <c r="F393"/>
    </row>
    <row r="394" spans="1:6" x14ac:dyDescent="0.2">
      <c r="A394" s="3" t="s">
        <v>546</v>
      </c>
      <c r="B394" s="3" t="s">
        <v>533</v>
      </c>
      <c r="C394" s="13">
        <v>1389002.25</v>
      </c>
      <c r="D394" s="15">
        <v>84225431.459999993</v>
      </c>
      <c r="E394" s="22">
        <f>TuitionRates3[[#This Row],[Tuition]]/D394</f>
        <v>1.6491482749597542E-2</v>
      </c>
      <c r="F394"/>
    </row>
    <row r="395" spans="1:6" x14ac:dyDescent="0.2">
      <c r="A395" s="3" t="s">
        <v>18</v>
      </c>
      <c r="B395" s="3" t="s">
        <v>11</v>
      </c>
      <c r="C395" s="13">
        <v>341719.65</v>
      </c>
      <c r="D395" s="15">
        <v>20841084.719999999</v>
      </c>
      <c r="E395" s="22">
        <f>TuitionRates3[[#This Row],[Tuition]]/D395</f>
        <v>1.639644263199368E-2</v>
      </c>
      <c r="F395"/>
    </row>
    <row r="396" spans="1:6" x14ac:dyDescent="0.2">
      <c r="A396" s="3" t="s">
        <v>158</v>
      </c>
      <c r="B396" s="3" t="s">
        <v>159</v>
      </c>
      <c r="C396" s="13">
        <v>581798.69999999995</v>
      </c>
      <c r="D396" s="15">
        <v>35516206.369999997</v>
      </c>
      <c r="E396" s="22">
        <f>TuitionRates3[[#This Row],[Tuition]]/D396</f>
        <v>1.6381217462781626E-2</v>
      </c>
      <c r="F396"/>
    </row>
    <row r="397" spans="1:6" x14ac:dyDescent="0.2">
      <c r="A397" s="3" t="s">
        <v>253</v>
      </c>
      <c r="B397" s="3" t="s">
        <v>247</v>
      </c>
      <c r="C397" s="13">
        <v>659569.65</v>
      </c>
      <c r="D397" s="15">
        <v>40676536.200000003</v>
      </c>
      <c r="E397" s="22">
        <f>TuitionRates3[[#This Row],[Tuition]]/D397</f>
        <v>1.6214990547793989E-2</v>
      </c>
      <c r="F397"/>
    </row>
    <row r="398" spans="1:6" x14ac:dyDescent="0.2">
      <c r="A398" s="3" t="s">
        <v>98</v>
      </c>
      <c r="B398" s="3" t="s">
        <v>81</v>
      </c>
      <c r="C398" s="13">
        <v>668231.71</v>
      </c>
      <c r="D398" s="15">
        <v>41267011.399999999</v>
      </c>
      <c r="E398" s="22">
        <f>TuitionRates3[[#This Row],[Tuition]]/D398</f>
        <v>1.6192878702139306E-2</v>
      </c>
      <c r="F398"/>
    </row>
    <row r="399" spans="1:6" x14ac:dyDescent="0.2">
      <c r="A399" s="3" t="s">
        <v>389</v>
      </c>
      <c r="B399" s="3" t="s">
        <v>386</v>
      </c>
      <c r="C399" s="13">
        <v>662869.35</v>
      </c>
      <c r="D399" s="15">
        <v>41808282.32</v>
      </c>
      <c r="E399" s="22">
        <f>TuitionRates3[[#This Row],[Tuition]]/D399</f>
        <v>1.5854976890138834E-2</v>
      </c>
      <c r="F399"/>
    </row>
    <row r="400" spans="1:6" x14ac:dyDescent="0.2">
      <c r="A400" s="3" t="s">
        <v>78</v>
      </c>
      <c r="B400" s="3" t="s">
        <v>75</v>
      </c>
      <c r="C400" s="13">
        <v>275392.46000000002</v>
      </c>
      <c r="D400" s="15">
        <v>17402895.190000001</v>
      </c>
      <c r="E400" s="22">
        <f>TuitionRates3[[#This Row],[Tuition]]/D400</f>
        <v>1.5824519828071204E-2</v>
      </c>
      <c r="F400"/>
    </row>
    <row r="401" spans="1:6" x14ac:dyDescent="0.2">
      <c r="A401" s="3" t="s">
        <v>536</v>
      </c>
      <c r="B401" s="3" t="s">
        <v>533</v>
      </c>
      <c r="C401" s="13">
        <v>1016531</v>
      </c>
      <c r="D401" s="15">
        <v>64421342.590000004</v>
      </c>
      <c r="E401" s="22">
        <f>TuitionRates3[[#This Row],[Tuition]]/D401</f>
        <v>1.5779413454164708E-2</v>
      </c>
      <c r="F401"/>
    </row>
    <row r="402" spans="1:6" x14ac:dyDescent="0.2">
      <c r="A402" s="3" t="s">
        <v>324</v>
      </c>
      <c r="B402" s="3" t="s">
        <v>316</v>
      </c>
      <c r="C402" s="13">
        <v>926773.21</v>
      </c>
      <c r="D402" s="15">
        <v>58979453.710000001</v>
      </c>
      <c r="E402" s="22">
        <f>TuitionRates3[[#This Row],[Tuition]]/D402</f>
        <v>1.571349260976395E-2</v>
      </c>
      <c r="F402"/>
    </row>
    <row r="403" spans="1:6" x14ac:dyDescent="0.2">
      <c r="A403" s="3" t="s">
        <v>284</v>
      </c>
      <c r="B403" s="3" t="s">
        <v>280</v>
      </c>
      <c r="C403" s="13">
        <v>247295.89</v>
      </c>
      <c r="D403" s="15">
        <v>15857542.300000001</v>
      </c>
      <c r="E403" s="22">
        <f>TuitionRates3[[#This Row],[Tuition]]/D403</f>
        <v>1.5594843470794336E-2</v>
      </c>
      <c r="F403"/>
    </row>
    <row r="404" spans="1:6" x14ac:dyDescent="0.2">
      <c r="A404" s="3" t="s">
        <v>148</v>
      </c>
      <c r="B404" s="3" t="s">
        <v>138</v>
      </c>
      <c r="C404" s="13">
        <v>418256.66</v>
      </c>
      <c r="D404" s="15">
        <v>27179556</v>
      </c>
      <c r="E404" s="22">
        <f>TuitionRates3[[#This Row],[Tuition]]/D404</f>
        <v>1.5388649468740401E-2</v>
      </c>
      <c r="F404"/>
    </row>
    <row r="405" spans="1:6" x14ac:dyDescent="0.2">
      <c r="A405" s="3" t="s">
        <v>170</v>
      </c>
      <c r="B405" s="3" t="s">
        <v>164</v>
      </c>
      <c r="C405" s="13">
        <v>1925857.19</v>
      </c>
      <c r="D405" s="15">
        <v>126476256.62</v>
      </c>
      <c r="E405" s="22">
        <f>TuitionRates3[[#This Row],[Tuition]]/D405</f>
        <v>1.5227025541926573E-2</v>
      </c>
      <c r="F405"/>
    </row>
    <row r="406" spans="1:6" x14ac:dyDescent="0.2">
      <c r="A406" s="3" t="s">
        <v>70</v>
      </c>
      <c r="B406" s="3" t="s">
        <v>60</v>
      </c>
      <c r="C406" s="13">
        <v>405858.65</v>
      </c>
      <c r="D406" s="15">
        <v>26685406.73</v>
      </c>
      <c r="E406" s="22">
        <f>TuitionRates3[[#This Row],[Tuition]]/D406</f>
        <v>1.5209011206253405E-2</v>
      </c>
      <c r="F406"/>
    </row>
    <row r="407" spans="1:6" x14ac:dyDescent="0.2">
      <c r="A407" s="3" t="s">
        <v>139</v>
      </c>
      <c r="B407" s="3" t="s">
        <v>138</v>
      </c>
      <c r="C407" s="13">
        <v>404516.6</v>
      </c>
      <c r="D407" s="15">
        <v>26638523.879999999</v>
      </c>
      <c r="E407" s="22">
        <f>TuitionRates3[[#This Row],[Tuition]]/D407</f>
        <v>1.5185398478618703E-2</v>
      </c>
      <c r="F407"/>
    </row>
    <row r="408" spans="1:6" x14ac:dyDescent="0.2">
      <c r="A408" s="3" t="s">
        <v>424</v>
      </c>
      <c r="B408" s="3" t="s">
        <v>406</v>
      </c>
      <c r="C408" s="13">
        <v>1905795.63</v>
      </c>
      <c r="D408" s="15">
        <v>125996865.95</v>
      </c>
      <c r="E408" s="22">
        <f>TuitionRates3[[#This Row],[Tuition]]/D408</f>
        <v>1.5125738371590026E-2</v>
      </c>
      <c r="F408"/>
    </row>
    <row r="409" spans="1:6" x14ac:dyDescent="0.2">
      <c r="A409" s="3" t="s">
        <v>42</v>
      </c>
      <c r="B409" s="3" t="s">
        <v>11</v>
      </c>
      <c r="C409" s="13">
        <v>1420693.51</v>
      </c>
      <c r="D409" s="15">
        <v>94071468.590000004</v>
      </c>
      <c r="E409" s="22">
        <f>TuitionRates3[[#This Row],[Tuition]]/D409</f>
        <v>1.5102278419739932E-2</v>
      </c>
      <c r="F409"/>
    </row>
    <row r="410" spans="1:6" x14ac:dyDescent="0.2">
      <c r="A410" s="3" t="s">
        <v>83</v>
      </c>
      <c r="B410" s="3" t="s">
        <v>81</v>
      </c>
      <c r="C410" s="13">
        <v>523891.98</v>
      </c>
      <c r="D410" s="15">
        <v>35031788.619999997</v>
      </c>
      <c r="E410" s="22">
        <f>TuitionRates3[[#This Row],[Tuition]]/D410</f>
        <v>1.4954759680780468E-2</v>
      </c>
      <c r="F410"/>
    </row>
    <row r="411" spans="1:6" x14ac:dyDescent="0.2">
      <c r="A411" s="3" t="s">
        <v>272</v>
      </c>
      <c r="B411" s="3" t="s">
        <v>270</v>
      </c>
      <c r="C411" s="13">
        <v>693863.31</v>
      </c>
      <c r="D411" s="15">
        <v>46556549.670000002</v>
      </c>
      <c r="E411" s="22">
        <f>TuitionRates3[[#This Row],[Tuition]]/D411</f>
        <v>1.4903666936622454E-2</v>
      </c>
      <c r="F411"/>
    </row>
    <row r="412" spans="1:6" x14ac:dyDescent="0.2">
      <c r="A412" s="3" t="s">
        <v>327</v>
      </c>
      <c r="B412" s="3" t="s">
        <v>316</v>
      </c>
      <c r="C412" s="13">
        <v>1677054.69</v>
      </c>
      <c r="D412" s="15">
        <v>113740937.23</v>
      </c>
      <c r="E412" s="22">
        <f>TuitionRates3[[#This Row],[Tuition]]/D412</f>
        <v>1.4744512669249085E-2</v>
      </c>
      <c r="F412"/>
    </row>
    <row r="413" spans="1:6" x14ac:dyDescent="0.2">
      <c r="A413" s="3" t="s">
        <v>325</v>
      </c>
      <c r="B413" s="3" t="s">
        <v>316</v>
      </c>
      <c r="C413" s="13">
        <v>4065474</v>
      </c>
      <c r="D413" s="15">
        <v>278289692</v>
      </c>
      <c r="E413" s="22">
        <f>TuitionRates3[[#This Row],[Tuition]]/D413</f>
        <v>1.4608784000522736E-2</v>
      </c>
      <c r="F413"/>
    </row>
    <row r="414" spans="1:6" x14ac:dyDescent="0.2">
      <c r="A414" s="3" t="s">
        <v>88</v>
      </c>
      <c r="B414" s="3" t="s">
        <v>81</v>
      </c>
      <c r="C414" s="13">
        <v>1211740.19</v>
      </c>
      <c r="D414" s="15">
        <v>83411053.079999998</v>
      </c>
      <c r="E414" s="22">
        <f>TuitionRates3[[#This Row],[Tuition]]/D414</f>
        <v>1.4527333551799344E-2</v>
      </c>
      <c r="F414"/>
    </row>
    <row r="415" spans="1:6" x14ac:dyDescent="0.2">
      <c r="A415" s="3" t="s">
        <v>126</v>
      </c>
      <c r="B415" s="3" t="s">
        <v>116</v>
      </c>
      <c r="C415" s="13">
        <v>2210112.46</v>
      </c>
      <c r="D415" s="15">
        <v>152461304.5</v>
      </c>
      <c r="E415" s="22">
        <f>TuitionRates3[[#This Row],[Tuition]]/D415</f>
        <v>1.4496219006180679E-2</v>
      </c>
      <c r="F415"/>
    </row>
    <row r="416" spans="1:6" x14ac:dyDescent="0.2">
      <c r="A416" s="3" t="s">
        <v>235</v>
      </c>
      <c r="B416" s="3" t="s">
        <v>227</v>
      </c>
      <c r="C416" s="13">
        <v>1841565.85</v>
      </c>
      <c r="D416" s="15">
        <v>127516385.53</v>
      </c>
      <c r="E416" s="22">
        <f>TuitionRates3[[#This Row],[Tuition]]/D416</f>
        <v>1.4441797752860131E-2</v>
      </c>
      <c r="F416"/>
    </row>
    <row r="417" spans="1:6" x14ac:dyDescent="0.2">
      <c r="A417" s="3" t="s">
        <v>181</v>
      </c>
      <c r="B417" s="3" t="s">
        <v>177</v>
      </c>
      <c r="C417" s="13">
        <v>159986.01</v>
      </c>
      <c r="D417" s="15">
        <v>11145224.99</v>
      </c>
      <c r="E417" s="22">
        <f>TuitionRates3[[#This Row],[Tuition]]/D417</f>
        <v>1.4354668491981696E-2</v>
      </c>
      <c r="F417"/>
    </row>
    <row r="418" spans="1:6" x14ac:dyDescent="0.2">
      <c r="A418" s="3" t="s">
        <v>74</v>
      </c>
      <c r="B418" s="3" t="s">
        <v>75</v>
      </c>
      <c r="C418" s="13">
        <v>503880.94</v>
      </c>
      <c r="D418" s="15">
        <v>35201795.829999998</v>
      </c>
      <c r="E418" s="22">
        <f>TuitionRates3[[#This Row],[Tuition]]/D418</f>
        <v>1.4314069158101813E-2</v>
      </c>
      <c r="F418"/>
    </row>
    <row r="419" spans="1:6" x14ac:dyDescent="0.2">
      <c r="A419" s="3" t="s">
        <v>334</v>
      </c>
      <c r="B419" s="3" t="s">
        <v>333</v>
      </c>
      <c r="C419" s="13">
        <v>284827.71999999997</v>
      </c>
      <c r="D419" s="15">
        <v>19944828.120000001</v>
      </c>
      <c r="E419" s="22">
        <f>TuitionRates3[[#This Row],[Tuition]]/D419</f>
        <v>1.4280780876441064E-2</v>
      </c>
      <c r="F419"/>
    </row>
    <row r="420" spans="1:6" x14ac:dyDescent="0.2">
      <c r="A420" s="3" t="s">
        <v>416</v>
      </c>
      <c r="B420" s="3" t="s">
        <v>406</v>
      </c>
      <c r="C420" s="13">
        <v>4189995.52</v>
      </c>
      <c r="D420" s="15">
        <v>298599680.75999999</v>
      </c>
      <c r="E420" s="22">
        <f>TuitionRates3[[#This Row],[Tuition]]/D420</f>
        <v>1.403215003222899E-2</v>
      </c>
      <c r="F420"/>
    </row>
    <row r="421" spans="1:6" x14ac:dyDescent="0.2">
      <c r="A421" s="3" t="s">
        <v>57</v>
      </c>
      <c r="B421" s="3" t="s">
        <v>55</v>
      </c>
      <c r="C421" s="13">
        <v>505190.65</v>
      </c>
      <c r="D421" s="15">
        <v>36865329.619999997</v>
      </c>
      <c r="E421" s="22">
        <f>TuitionRates3[[#This Row],[Tuition]]/D421</f>
        <v>1.3703679180612195E-2</v>
      </c>
      <c r="F421"/>
    </row>
    <row r="422" spans="1:6" x14ac:dyDescent="0.2">
      <c r="A422" s="3" t="s">
        <v>329</v>
      </c>
      <c r="B422" s="3" t="s">
        <v>316</v>
      </c>
      <c r="C422" s="13">
        <v>582300.53</v>
      </c>
      <c r="D422" s="15">
        <v>42726325.140000001</v>
      </c>
      <c r="E422" s="22">
        <f>TuitionRates3[[#This Row],[Tuition]]/D422</f>
        <v>1.3628612526164941E-2</v>
      </c>
      <c r="F422"/>
    </row>
    <row r="423" spans="1:6" x14ac:dyDescent="0.2">
      <c r="A423" s="3" t="s">
        <v>62</v>
      </c>
      <c r="B423" s="3" t="s">
        <v>60</v>
      </c>
      <c r="C423" s="13">
        <v>508520.28</v>
      </c>
      <c r="D423" s="15">
        <v>38003973.450000003</v>
      </c>
      <c r="E423" s="22">
        <f>TuitionRates3[[#This Row],[Tuition]]/D423</f>
        <v>1.338071348431594E-2</v>
      </c>
      <c r="F423"/>
    </row>
    <row r="424" spans="1:6" x14ac:dyDescent="0.2">
      <c r="A424" s="3" t="s">
        <v>97</v>
      </c>
      <c r="B424" s="3" t="s">
        <v>81</v>
      </c>
      <c r="C424" s="13">
        <v>1632862.24</v>
      </c>
      <c r="D424" s="15">
        <v>125625146.63</v>
      </c>
      <c r="E424" s="22">
        <f>TuitionRates3[[#This Row],[Tuition]]/D424</f>
        <v>1.2997893206916768E-2</v>
      </c>
      <c r="F424"/>
    </row>
    <row r="425" spans="1:6" x14ac:dyDescent="0.2">
      <c r="A425" s="3" t="s">
        <v>388</v>
      </c>
      <c r="B425" s="3" t="s">
        <v>386</v>
      </c>
      <c r="C425" s="13">
        <v>324179.78000000003</v>
      </c>
      <c r="D425" s="15">
        <v>24944487.940000001</v>
      </c>
      <c r="E425" s="22">
        <f>TuitionRates3[[#This Row],[Tuition]]/D425</f>
        <v>1.2996048697402125E-2</v>
      </c>
      <c r="F425"/>
    </row>
    <row r="426" spans="1:6" x14ac:dyDescent="0.2">
      <c r="A426" s="3" t="s">
        <v>167</v>
      </c>
      <c r="B426" s="3" t="s">
        <v>164</v>
      </c>
      <c r="C426" s="13">
        <v>1512520.46</v>
      </c>
      <c r="D426" s="15">
        <v>116755373.05</v>
      </c>
      <c r="E426" s="22">
        <f>TuitionRates3[[#This Row],[Tuition]]/D426</f>
        <v>1.2954611171104472E-2</v>
      </c>
      <c r="F426"/>
    </row>
    <row r="427" spans="1:6" x14ac:dyDescent="0.2">
      <c r="A427" s="3" t="s">
        <v>503</v>
      </c>
      <c r="B427" s="3" t="s">
        <v>504</v>
      </c>
      <c r="C427" s="13">
        <v>560625.02</v>
      </c>
      <c r="D427" s="15">
        <v>43376612.789999999</v>
      </c>
      <c r="E427" s="22">
        <f>TuitionRates3[[#This Row],[Tuition]]/D427</f>
        <v>1.2924591938844196E-2</v>
      </c>
      <c r="F427"/>
    </row>
    <row r="428" spans="1:6" x14ac:dyDescent="0.2">
      <c r="A428" s="3" t="s">
        <v>534</v>
      </c>
      <c r="B428" s="3" t="s">
        <v>533</v>
      </c>
      <c r="C428" s="13">
        <v>441185.82</v>
      </c>
      <c r="D428" s="15">
        <v>34407882.890000001</v>
      </c>
      <c r="E428" s="22">
        <f>TuitionRates3[[#This Row],[Tuition]]/D428</f>
        <v>1.2822230923374315E-2</v>
      </c>
      <c r="F428"/>
    </row>
    <row r="429" spans="1:6" x14ac:dyDescent="0.2">
      <c r="A429" s="3" t="s">
        <v>318</v>
      </c>
      <c r="B429" s="3" t="s">
        <v>316</v>
      </c>
      <c r="C429" s="13">
        <v>1149646.6499999999</v>
      </c>
      <c r="D429" s="15">
        <v>89787353.099999994</v>
      </c>
      <c r="E429" s="22">
        <f>TuitionRates3[[#This Row],[Tuition]]/D429</f>
        <v>1.2804104479164115E-2</v>
      </c>
      <c r="F429"/>
    </row>
    <row r="430" spans="1:6" x14ac:dyDescent="0.2">
      <c r="A430" s="3" t="s">
        <v>353</v>
      </c>
      <c r="B430" s="3" t="s">
        <v>349</v>
      </c>
      <c r="C430" s="13">
        <v>631664.81000000006</v>
      </c>
      <c r="D430" s="15">
        <v>49453020.359999999</v>
      </c>
      <c r="E430" s="22">
        <f>TuitionRates3[[#This Row],[Tuition]]/D430</f>
        <v>1.2773027924315037E-2</v>
      </c>
      <c r="F430"/>
    </row>
    <row r="431" spans="1:6" x14ac:dyDescent="0.2">
      <c r="A431" s="3" t="s">
        <v>422</v>
      </c>
      <c r="B431" s="3" t="s">
        <v>406</v>
      </c>
      <c r="C431" s="13">
        <v>2416753.9700000002</v>
      </c>
      <c r="D431" s="15">
        <v>191524107.36000001</v>
      </c>
      <c r="E431" s="22">
        <f>TuitionRates3[[#This Row],[Tuition]]/D431</f>
        <v>1.261853666002122E-2</v>
      </c>
      <c r="F431"/>
    </row>
    <row r="432" spans="1:6" x14ac:dyDescent="0.2">
      <c r="A432" s="3" t="s">
        <v>163</v>
      </c>
      <c r="B432" s="3" t="s">
        <v>164</v>
      </c>
      <c r="C432" s="13">
        <v>1287518.1399999999</v>
      </c>
      <c r="D432" s="15">
        <v>103075877.05</v>
      </c>
      <c r="E432" s="22">
        <f>TuitionRates3[[#This Row],[Tuition]]/D432</f>
        <v>1.2490974385553385E-2</v>
      </c>
      <c r="F432"/>
    </row>
    <row r="433" spans="1:6" x14ac:dyDescent="0.2">
      <c r="A433" s="3" t="s">
        <v>510</v>
      </c>
      <c r="B433" s="3" t="s">
        <v>507</v>
      </c>
      <c r="C433" s="13">
        <v>493422.26</v>
      </c>
      <c r="D433" s="15">
        <v>39978354.57</v>
      </c>
      <c r="E433" s="22">
        <f>TuitionRates3[[#This Row],[Tuition]]/D433</f>
        <v>1.2342235324769146E-2</v>
      </c>
      <c r="F433"/>
    </row>
    <row r="434" spans="1:6" x14ac:dyDescent="0.2">
      <c r="A434" s="3" t="s">
        <v>525</v>
      </c>
      <c r="B434" s="3" t="s">
        <v>515</v>
      </c>
      <c r="C434" s="13">
        <v>978420.31</v>
      </c>
      <c r="D434" s="15">
        <v>79485094.370000005</v>
      </c>
      <c r="E434" s="22">
        <f>TuitionRates3[[#This Row],[Tuition]]/D434</f>
        <v>1.230948164250132E-2</v>
      </c>
      <c r="F434"/>
    </row>
    <row r="435" spans="1:6" x14ac:dyDescent="0.2">
      <c r="A435" s="3" t="s">
        <v>102</v>
      </c>
      <c r="B435" s="3" t="s">
        <v>100</v>
      </c>
      <c r="C435" s="13">
        <v>178621.32</v>
      </c>
      <c r="D435" s="15">
        <v>14784841.210000001</v>
      </c>
      <c r="E435" s="22">
        <f>TuitionRates3[[#This Row],[Tuition]]/D435</f>
        <v>1.2081382374210836E-2</v>
      </c>
      <c r="F435"/>
    </row>
    <row r="436" spans="1:6" x14ac:dyDescent="0.2">
      <c r="A436" s="3" t="s">
        <v>17</v>
      </c>
      <c r="B436" s="3" t="s">
        <v>11</v>
      </c>
      <c r="C436" s="13">
        <v>931672.93</v>
      </c>
      <c r="D436" s="15">
        <v>77271189.849999994</v>
      </c>
      <c r="E436" s="22">
        <f>TuitionRates3[[#This Row],[Tuition]]/D436</f>
        <v>1.2057183690435952E-2</v>
      </c>
      <c r="F436"/>
    </row>
    <row r="437" spans="1:6" x14ac:dyDescent="0.2">
      <c r="A437" s="3" t="s">
        <v>119</v>
      </c>
      <c r="B437" s="3" t="s">
        <v>116</v>
      </c>
      <c r="C437" s="13">
        <v>1679683.12</v>
      </c>
      <c r="D437" s="15">
        <v>140275014.53999999</v>
      </c>
      <c r="E437" s="22">
        <f>TuitionRates3[[#This Row],[Tuition]]/D437</f>
        <v>1.1974214549241994E-2</v>
      </c>
      <c r="F437"/>
    </row>
    <row r="438" spans="1:6" x14ac:dyDescent="0.2">
      <c r="A438" s="3" t="s">
        <v>478</v>
      </c>
      <c r="B438" s="3" t="s">
        <v>479</v>
      </c>
      <c r="C438" s="13">
        <v>167268.42000000001</v>
      </c>
      <c r="D438" s="15">
        <v>14428165.66</v>
      </c>
      <c r="E438" s="22">
        <f>TuitionRates3[[#This Row],[Tuition]]/D438</f>
        <v>1.1593186822336499E-2</v>
      </c>
      <c r="F438"/>
    </row>
    <row r="439" spans="1:6" x14ac:dyDescent="0.2">
      <c r="A439" s="3" t="s">
        <v>28</v>
      </c>
      <c r="B439" s="3" t="s">
        <v>11</v>
      </c>
      <c r="C439" s="13">
        <v>533154</v>
      </c>
      <c r="D439" s="15">
        <v>46029737</v>
      </c>
      <c r="E439" s="22">
        <f>TuitionRates3[[#This Row],[Tuition]]/D439</f>
        <v>1.158281656052043E-2</v>
      </c>
      <c r="F439"/>
    </row>
    <row r="440" spans="1:6" x14ac:dyDescent="0.2">
      <c r="A440" s="3" t="s">
        <v>428</v>
      </c>
      <c r="B440" s="3" t="s">
        <v>429</v>
      </c>
      <c r="C440" s="13">
        <v>526351.93999999994</v>
      </c>
      <c r="D440" s="15">
        <v>45479088.270000003</v>
      </c>
      <c r="E440" s="22">
        <f>TuitionRates3[[#This Row],[Tuition]]/D440</f>
        <v>1.1573493665377736E-2</v>
      </c>
      <c r="F440"/>
    </row>
    <row r="441" spans="1:6" x14ac:dyDescent="0.2">
      <c r="A441" s="3" t="s">
        <v>231</v>
      </c>
      <c r="B441" s="3" t="s">
        <v>227</v>
      </c>
      <c r="C441" s="13">
        <v>856383.12</v>
      </c>
      <c r="D441" s="15">
        <v>75488403.540000007</v>
      </c>
      <c r="E441" s="22">
        <f>TuitionRates3[[#This Row],[Tuition]]/D441</f>
        <v>1.1344565255592104E-2</v>
      </c>
      <c r="F441"/>
    </row>
    <row r="442" spans="1:6" x14ac:dyDescent="0.2">
      <c r="A442" s="3" t="s">
        <v>39</v>
      </c>
      <c r="B442" s="3" t="s">
        <v>11</v>
      </c>
      <c r="C442" s="13">
        <v>775395.32</v>
      </c>
      <c r="D442" s="15">
        <v>68582576.840000004</v>
      </c>
      <c r="E442" s="22">
        <f>TuitionRates3[[#This Row],[Tuition]]/D442</f>
        <v>1.1306010297760634E-2</v>
      </c>
      <c r="F442"/>
    </row>
    <row r="443" spans="1:6" x14ac:dyDescent="0.2">
      <c r="A443" s="3" t="s">
        <v>236</v>
      </c>
      <c r="B443" s="3" t="s">
        <v>227</v>
      </c>
      <c r="C443" s="13">
        <v>1270108.3999999999</v>
      </c>
      <c r="D443" s="15">
        <v>113194498.48999999</v>
      </c>
      <c r="E443" s="22">
        <f>TuitionRates3[[#This Row],[Tuition]]/D443</f>
        <v>1.1220584188658301E-2</v>
      </c>
      <c r="F443"/>
    </row>
    <row r="444" spans="1:6" x14ac:dyDescent="0.2">
      <c r="A444" s="3" t="s">
        <v>175</v>
      </c>
      <c r="B444" s="3" t="s">
        <v>164</v>
      </c>
      <c r="C444" s="13">
        <v>3192607.32</v>
      </c>
      <c r="D444" s="15">
        <v>284856033.23000002</v>
      </c>
      <c r="E444" s="22">
        <f>TuitionRates3[[#This Row],[Tuition]]/D444</f>
        <v>1.120779252522346E-2</v>
      </c>
      <c r="F444"/>
    </row>
    <row r="445" spans="1:6" x14ac:dyDescent="0.2">
      <c r="A445" s="3" t="s">
        <v>10</v>
      </c>
      <c r="B445" s="3" t="s">
        <v>11</v>
      </c>
      <c r="C445" s="13">
        <v>281280.24</v>
      </c>
      <c r="D445" s="15">
        <v>25464295</v>
      </c>
      <c r="E445" s="22">
        <f>TuitionRates3[[#This Row],[Tuition]]/D445</f>
        <v>1.1046064302977953E-2</v>
      </c>
      <c r="F445"/>
    </row>
    <row r="446" spans="1:6" x14ac:dyDescent="0.2">
      <c r="A446" s="3" t="s">
        <v>405</v>
      </c>
      <c r="B446" s="3" t="s">
        <v>406</v>
      </c>
      <c r="C446" s="13">
        <v>1965495.11</v>
      </c>
      <c r="D446" s="15">
        <v>178063678.88999999</v>
      </c>
      <c r="E446" s="22">
        <f>TuitionRates3[[#This Row],[Tuition]]/D446</f>
        <v>1.1038158496175954E-2</v>
      </c>
      <c r="F446"/>
    </row>
    <row r="447" spans="1:6" x14ac:dyDescent="0.2">
      <c r="A447" s="3" t="s">
        <v>41</v>
      </c>
      <c r="B447" s="3" t="s">
        <v>11</v>
      </c>
      <c r="C447" s="13">
        <v>296694.28999999998</v>
      </c>
      <c r="D447" s="15">
        <v>26934325.920000002</v>
      </c>
      <c r="E447" s="22">
        <f>TuitionRates3[[#This Row],[Tuition]]/D447</f>
        <v>1.1015471145676251E-2</v>
      </c>
      <c r="F447"/>
    </row>
    <row r="448" spans="1:6" x14ac:dyDescent="0.2">
      <c r="A448" s="3" t="s">
        <v>409</v>
      </c>
      <c r="B448" s="3" t="s">
        <v>406</v>
      </c>
      <c r="C448" s="13">
        <v>1648911.91</v>
      </c>
      <c r="D448" s="15">
        <v>151368160.77000001</v>
      </c>
      <c r="E448" s="22">
        <f>TuitionRates3[[#This Row],[Tuition]]/D448</f>
        <v>1.0893386704390752E-2</v>
      </c>
      <c r="F448"/>
    </row>
    <row r="449" spans="1:6" x14ac:dyDescent="0.2">
      <c r="A449" s="3" t="s">
        <v>421</v>
      </c>
      <c r="B449" s="3" t="s">
        <v>406</v>
      </c>
      <c r="C449" s="13">
        <v>750781.94</v>
      </c>
      <c r="D449" s="15">
        <v>69492398.370000005</v>
      </c>
      <c r="E449" s="22">
        <f>TuitionRates3[[#This Row],[Tuition]]/D449</f>
        <v>1.0803799517791774E-2</v>
      </c>
      <c r="F449"/>
    </row>
    <row r="450" spans="1:6" x14ac:dyDescent="0.2">
      <c r="A450" s="3" t="s">
        <v>13</v>
      </c>
      <c r="B450" s="3" t="s">
        <v>11</v>
      </c>
      <c r="C450" s="13">
        <v>865072.89</v>
      </c>
      <c r="D450" s="15">
        <v>81006904.780000001</v>
      </c>
      <c r="E450" s="22">
        <f>TuitionRates3[[#This Row],[Tuition]]/D450</f>
        <v>1.0679001899274888E-2</v>
      </c>
      <c r="F450"/>
    </row>
    <row r="451" spans="1:6" x14ac:dyDescent="0.2">
      <c r="A451" s="3" t="s">
        <v>127</v>
      </c>
      <c r="B451" s="3" t="s">
        <v>116</v>
      </c>
      <c r="C451" s="13">
        <v>2518870.7200000002</v>
      </c>
      <c r="D451" s="15">
        <v>236566924.18000001</v>
      </c>
      <c r="E451" s="22">
        <f>TuitionRates3[[#This Row],[Tuition]]/D451</f>
        <v>1.0647603120051693E-2</v>
      </c>
      <c r="F451"/>
    </row>
    <row r="452" spans="1:6" x14ac:dyDescent="0.2">
      <c r="A452" s="3" t="s">
        <v>120</v>
      </c>
      <c r="B452" s="3" t="s">
        <v>116</v>
      </c>
      <c r="C452" s="13">
        <v>3733135.5</v>
      </c>
      <c r="D452" s="15">
        <v>361464286.26999998</v>
      </c>
      <c r="E452" s="22">
        <f>TuitionRates3[[#This Row],[Tuition]]/D452</f>
        <v>1.0327812848463515E-2</v>
      </c>
      <c r="F452"/>
    </row>
    <row r="453" spans="1:6" x14ac:dyDescent="0.2">
      <c r="A453" s="3" t="s">
        <v>252</v>
      </c>
      <c r="B453" s="3" t="s">
        <v>247</v>
      </c>
      <c r="C453" s="13">
        <v>417999.21</v>
      </c>
      <c r="D453" s="15">
        <v>42461978.280000001</v>
      </c>
      <c r="E453" s="22">
        <f>TuitionRates3[[#This Row],[Tuition]]/D453</f>
        <v>9.8440823280455027E-3</v>
      </c>
      <c r="F453"/>
    </row>
    <row r="454" spans="1:6" x14ac:dyDescent="0.2">
      <c r="A454" s="3" t="s">
        <v>12</v>
      </c>
      <c r="B454" s="3" t="s">
        <v>11</v>
      </c>
      <c r="C454" s="13">
        <v>371897.21</v>
      </c>
      <c r="D454" s="15">
        <v>37959146.640000001</v>
      </c>
      <c r="E454" s="22">
        <f>TuitionRates3[[#This Row],[Tuition]]/D454</f>
        <v>9.7973016497717568E-3</v>
      </c>
      <c r="F454"/>
    </row>
    <row r="455" spans="1:6" x14ac:dyDescent="0.2">
      <c r="A455" s="3" t="s">
        <v>172</v>
      </c>
      <c r="B455" s="3" t="s">
        <v>164</v>
      </c>
      <c r="C455" s="13">
        <v>1019834.11</v>
      </c>
      <c r="D455" s="15">
        <v>104480902.90000001</v>
      </c>
      <c r="E455" s="22">
        <f>TuitionRates3[[#This Row],[Tuition]]/D455</f>
        <v>9.7609618762205391E-3</v>
      </c>
      <c r="F455"/>
    </row>
    <row r="456" spans="1:6" x14ac:dyDescent="0.2">
      <c r="A456" s="3" t="s">
        <v>135</v>
      </c>
      <c r="B456" s="3" t="s">
        <v>130</v>
      </c>
      <c r="C456" s="13">
        <v>1581953.77</v>
      </c>
      <c r="D456" s="15">
        <v>163061974.28</v>
      </c>
      <c r="E456" s="22">
        <f>TuitionRates3[[#This Row],[Tuition]]/D456</f>
        <v>9.7015492237544371E-3</v>
      </c>
      <c r="F456"/>
    </row>
    <row r="457" spans="1:6" x14ac:dyDescent="0.2">
      <c r="A457" s="3" t="s">
        <v>30</v>
      </c>
      <c r="B457" s="3" t="s">
        <v>11</v>
      </c>
      <c r="C457" s="13">
        <v>777542.5</v>
      </c>
      <c r="D457" s="15">
        <v>80463481.799999997</v>
      </c>
      <c r="E457" s="22">
        <f>TuitionRates3[[#This Row],[Tuition]]/D457</f>
        <v>9.663296723011059E-3</v>
      </c>
      <c r="F457"/>
    </row>
    <row r="458" spans="1:6" x14ac:dyDescent="0.2">
      <c r="A458" s="3" t="s">
        <v>26</v>
      </c>
      <c r="B458" s="3" t="s">
        <v>11</v>
      </c>
      <c r="C458" s="13">
        <v>578050.15</v>
      </c>
      <c r="D458" s="15">
        <v>60587653.770000003</v>
      </c>
      <c r="E458" s="22">
        <f>TuitionRates3[[#This Row],[Tuition]]/D458</f>
        <v>9.5407251152910908E-3</v>
      </c>
      <c r="F458"/>
    </row>
    <row r="459" spans="1:6" x14ac:dyDescent="0.2">
      <c r="A459" s="3" t="s">
        <v>417</v>
      </c>
      <c r="B459" s="3" t="s">
        <v>406</v>
      </c>
      <c r="C459" s="13">
        <v>1151300.3700000001</v>
      </c>
      <c r="D459" s="15">
        <v>121620117.78</v>
      </c>
      <c r="E459" s="22">
        <f>TuitionRates3[[#This Row],[Tuition]]/D459</f>
        <v>9.4663645375068651E-3</v>
      </c>
      <c r="F459"/>
    </row>
    <row r="460" spans="1:6" x14ac:dyDescent="0.2">
      <c r="A460" s="3" t="s">
        <v>121</v>
      </c>
      <c r="B460" s="3" t="s">
        <v>116</v>
      </c>
      <c r="C460" s="13">
        <v>2441468.44</v>
      </c>
      <c r="D460" s="15">
        <v>258798294.34999999</v>
      </c>
      <c r="E460" s="22">
        <f>TuitionRates3[[#This Row],[Tuition]]/D460</f>
        <v>9.4338660389243021E-3</v>
      </c>
      <c r="F460"/>
    </row>
    <row r="461" spans="1:6" x14ac:dyDescent="0.2">
      <c r="A461" s="3" t="s">
        <v>34</v>
      </c>
      <c r="B461" s="3" t="s">
        <v>11</v>
      </c>
      <c r="C461" s="13">
        <v>911629.23</v>
      </c>
      <c r="D461" s="15">
        <v>97134603.150000006</v>
      </c>
      <c r="E461" s="22">
        <f>TuitionRates3[[#This Row],[Tuition]]/D461</f>
        <v>9.3852159831467833E-3</v>
      </c>
      <c r="F461"/>
    </row>
    <row r="462" spans="1:6" x14ac:dyDescent="0.2">
      <c r="A462" s="3" t="s">
        <v>414</v>
      </c>
      <c r="B462" s="3" t="s">
        <v>406</v>
      </c>
      <c r="C462" s="13">
        <v>1221755.8700000001</v>
      </c>
      <c r="D462" s="15">
        <v>130299075.37</v>
      </c>
      <c r="E462" s="22">
        <f>TuitionRates3[[#This Row],[Tuition]]/D462</f>
        <v>9.3765505743665205E-3</v>
      </c>
      <c r="F462"/>
    </row>
    <row r="463" spans="1:6" x14ac:dyDescent="0.2">
      <c r="A463" s="3" t="s">
        <v>356</v>
      </c>
      <c r="B463" s="3" t="s">
        <v>349</v>
      </c>
      <c r="C463" s="13">
        <v>646045.92000000004</v>
      </c>
      <c r="D463" s="15">
        <v>69788964.829999998</v>
      </c>
      <c r="E463" s="22">
        <f>TuitionRates3[[#This Row],[Tuition]]/D463</f>
        <v>9.2571357316119113E-3</v>
      </c>
      <c r="F463"/>
    </row>
    <row r="464" spans="1:6" x14ac:dyDescent="0.2">
      <c r="A464" s="3" t="s">
        <v>49</v>
      </c>
      <c r="B464" s="3" t="s">
        <v>11</v>
      </c>
      <c r="C464" s="13">
        <v>669955.38</v>
      </c>
      <c r="D464" s="15">
        <v>72660908.930000007</v>
      </c>
      <c r="E464" s="22">
        <f>TuitionRates3[[#This Row],[Tuition]]/D464</f>
        <v>9.2203000191674028E-3</v>
      </c>
      <c r="F464"/>
    </row>
    <row r="465" spans="1:6" x14ac:dyDescent="0.2">
      <c r="A465" s="3" t="s">
        <v>287</v>
      </c>
      <c r="B465" s="3" t="s">
        <v>286</v>
      </c>
      <c r="C465" s="13">
        <v>129339.7</v>
      </c>
      <c r="D465" s="15">
        <v>14373136.65</v>
      </c>
      <c r="E465" s="22">
        <f>TuitionRates3[[#This Row],[Tuition]]/D465</f>
        <v>8.9987107998447911E-3</v>
      </c>
      <c r="F465"/>
    </row>
    <row r="466" spans="1:6" x14ac:dyDescent="0.2">
      <c r="A466" s="3" t="s">
        <v>24</v>
      </c>
      <c r="B466" s="3" t="s">
        <v>11</v>
      </c>
      <c r="C466" s="13">
        <v>1014918.44</v>
      </c>
      <c r="D466" s="15">
        <v>112829817.31999999</v>
      </c>
      <c r="E466" s="22">
        <f>TuitionRates3[[#This Row],[Tuition]]/D466</f>
        <v>8.9951261475639862E-3</v>
      </c>
      <c r="F466"/>
    </row>
    <row r="467" spans="1:6" x14ac:dyDescent="0.2">
      <c r="A467" s="3" t="s">
        <v>420</v>
      </c>
      <c r="B467" s="3" t="s">
        <v>406</v>
      </c>
      <c r="C467" s="13">
        <v>1301622.3500000001</v>
      </c>
      <c r="D467" s="15">
        <v>146206156.84</v>
      </c>
      <c r="E467" s="22">
        <f>TuitionRates3[[#This Row],[Tuition]]/D467</f>
        <v>8.9026507373723262E-3</v>
      </c>
      <c r="F467"/>
    </row>
    <row r="468" spans="1:6" x14ac:dyDescent="0.2">
      <c r="A468" s="3" t="s">
        <v>143</v>
      </c>
      <c r="B468" s="3" t="s">
        <v>138</v>
      </c>
      <c r="C468" s="13">
        <v>267452.46000000002</v>
      </c>
      <c r="D468" s="15">
        <v>31067197.350000001</v>
      </c>
      <c r="E468" s="22">
        <f>TuitionRates3[[#This Row],[Tuition]]/D468</f>
        <v>8.608837707080777E-3</v>
      </c>
      <c r="F468"/>
    </row>
    <row r="469" spans="1:6" x14ac:dyDescent="0.2">
      <c r="A469" s="3" t="s">
        <v>44</v>
      </c>
      <c r="B469" s="3" t="s">
        <v>11</v>
      </c>
      <c r="C469" s="13">
        <v>589949.64</v>
      </c>
      <c r="D469" s="15">
        <v>69587244.219999999</v>
      </c>
      <c r="E469" s="22">
        <f>TuitionRates3[[#This Row],[Tuition]]/D469</f>
        <v>8.4778416879805561E-3</v>
      </c>
      <c r="F469"/>
    </row>
    <row r="470" spans="1:6" x14ac:dyDescent="0.2">
      <c r="A470" s="3" t="s">
        <v>33</v>
      </c>
      <c r="B470" s="3" t="s">
        <v>11</v>
      </c>
      <c r="C470" s="13">
        <v>1598632.23</v>
      </c>
      <c r="D470" s="15">
        <v>193101431.49000001</v>
      </c>
      <c r="E470" s="22">
        <f>TuitionRates3[[#This Row],[Tuition]]/D470</f>
        <v>8.2787176545751663E-3</v>
      </c>
      <c r="F470"/>
    </row>
    <row r="471" spans="1:6" x14ac:dyDescent="0.2">
      <c r="A471" s="3" t="s">
        <v>249</v>
      </c>
      <c r="B471" s="3" t="s">
        <v>247</v>
      </c>
      <c r="C471" s="13">
        <v>273369</v>
      </c>
      <c r="D471" s="15">
        <v>33188316</v>
      </c>
      <c r="E471" s="22">
        <f>TuitionRates3[[#This Row],[Tuition]]/D471</f>
        <v>8.2369048191538244E-3</v>
      </c>
      <c r="F471"/>
    </row>
    <row r="472" spans="1:6" x14ac:dyDescent="0.2">
      <c r="A472" s="3" t="s">
        <v>298</v>
      </c>
      <c r="B472" s="3" t="s">
        <v>299</v>
      </c>
      <c r="C472" s="13">
        <v>153225.78</v>
      </c>
      <c r="D472" s="15">
        <v>18612539.84</v>
      </c>
      <c r="E472" s="22">
        <f>TuitionRates3[[#This Row],[Tuition]]/D472</f>
        <v>8.2323950045068116E-3</v>
      </c>
      <c r="F472"/>
    </row>
    <row r="473" spans="1:6" x14ac:dyDescent="0.2">
      <c r="A473" s="3" t="s">
        <v>232</v>
      </c>
      <c r="B473" s="3" t="s">
        <v>227</v>
      </c>
      <c r="C473" s="13">
        <v>860411.2</v>
      </c>
      <c r="D473" s="15">
        <v>105382030.70999999</v>
      </c>
      <c r="E473" s="22">
        <f>TuitionRates3[[#This Row],[Tuition]]/D473</f>
        <v>8.1646860874009814E-3</v>
      </c>
      <c r="F473"/>
    </row>
    <row r="474" spans="1:6" x14ac:dyDescent="0.2">
      <c r="A474" s="3" t="s">
        <v>174</v>
      </c>
      <c r="B474" s="3" t="s">
        <v>164</v>
      </c>
      <c r="C474" s="13">
        <v>747583.58</v>
      </c>
      <c r="D474" s="15">
        <v>98697940.469999999</v>
      </c>
      <c r="E474" s="22">
        <f>TuitionRates3[[#This Row],[Tuition]]/D474</f>
        <v>7.5744597753509739E-3</v>
      </c>
      <c r="F474"/>
    </row>
    <row r="475" spans="1:6" x14ac:dyDescent="0.2">
      <c r="A475" s="3" t="s">
        <v>189</v>
      </c>
      <c r="B475" s="3" t="s">
        <v>185</v>
      </c>
      <c r="C475" s="13">
        <v>50920.59</v>
      </c>
      <c r="D475" s="15">
        <v>6728938.8099999996</v>
      </c>
      <c r="E475" s="22">
        <f>TuitionRates3[[#This Row],[Tuition]]/D475</f>
        <v>7.5674027417705113E-3</v>
      </c>
      <c r="F475"/>
    </row>
    <row r="476" spans="1:6" x14ac:dyDescent="0.2">
      <c r="A476" s="3" t="s">
        <v>166</v>
      </c>
      <c r="B476" s="3" t="s">
        <v>164</v>
      </c>
      <c r="C476" s="13">
        <v>1880814.34</v>
      </c>
      <c r="D476" s="15">
        <v>264050749.59</v>
      </c>
      <c r="E476" s="22">
        <f>TuitionRates3[[#This Row],[Tuition]]/D476</f>
        <v>7.122927478601747E-3</v>
      </c>
      <c r="F476"/>
    </row>
    <row r="477" spans="1:6" x14ac:dyDescent="0.2">
      <c r="A477" s="3" t="s">
        <v>14</v>
      </c>
      <c r="B477" s="3" t="s">
        <v>11</v>
      </c>
      <c r="C477" s="13">
        <v>700030.75</v>
      </c>
      <c r="D477" s="15">
        <v>98528960.090000004</v>
      </c>
      <c r="E477" s="22">
        <f>TuitionRates3[[#This Row],[Tuition]]/D477</f>
        <v>7.104822271143083E-3</v>
      </c>
      <c r="F477"/>
    </row>
    <row r="478" spans="1:6" x14ac:dyDescent="0.2">
      <c r="A478" s="3" t="s">
        <v>162</v>
      </c>
      <c r="B478" s="3" t="s">
        <v>159</v>
      </c>
      <c r="C478" s="13">
        <v>1281436.07</v>
      </c>
      <c r="D478" s="15">
        <v>183445058.19</v>
      </c>
      <c r="E478" s="22">
        <f>TuitionRates3[[#This Row],[Tuition]]/D478</f>
        <v>6.9853943335599434E-3</v>
      </c>
      <c r="F478"/>
    </row>
    <row r="479" spans="1:6" x14ac:dyDescent="0.2">
      <c r="A479" s="3" t="s">
        <v>410</v>
      </c>
      <c r="B479" s="3" t="s">
        <v>406</v>
      </c>
      <c r="C479" s="13">
        <v>864976.53</v>
      </c>
      <c r="D479" s="15">
        <v>123839783.34999999</v>
      </c>
      <c r="E479" s="22">
        <f>TuitionRates3[[#This Row],[Tuition]]/D479</f>
        <v>6.9846418218883297E-3</v>
      </c>
      <c r="F479"/>
    </row>
    <row r="480" spans="1:6" x14ac:dyDescent="0.2">
      <c r="A480" s="3" t="s">
        <v>423</v>
      </c>
      <c r="B480" s="3" t="s">
        <v>406</v>
      </c>
      <c r="C480" s="13">
        <v>837498.86</v>
      </c>
      <c r="D480" s="15">
        <v>125356249.66</v>
      </c>
      <c r="E480" s="22">
        <f>TuitionRates3[[#This Row],[Tuition]]/D480</f>
        <v>6.6809501901303131E-3</v>
      </c>
      <c r="F480"/>
    </row>
    <row r="481" spans="1:6" x14ac:dyDescent="0.2">
      <c r="A481" s="3" t="s">
        <v>37</v>
      </c>
      <c r="B481" s="3" t="s">
        <v>11</v>
      </c>
      <c r="C481" s="13">
        <v>656962</v>
      </c>
      <c r="D481" s="15">
        <v>102613438</v>
      </c>
      <c r="E481" s="22">
        <f>TuitionRates3[[#This Row],[Tuition]]/D481</f>
        <v>6.4022998625189809E-3</v>
      </c>
      <c r="F481"/>
    </row>
    <row r="482" spans="1:6" x14ac:dyDescent="0.2">
      <c r="A482" s="3" t="s">
        <v>240</v>
      </c>
      <c r="B482" s="3" t="s">
        <v>227</v>
      </c>
      <c r="C482" s="13">
        <v>566131.54</v>
      </c>
      <c r="D482" s="15">
        <v>90850477.849999994</v>
      </c>
      <c r="E482" s="22">
        <f>TuitionRates3[[#This Row],[Tuition]]/D482</f>
        <v>6.2314646372550707E-3</v>
      </c>
      <c r="F482"/>
    </row>
    <row r="483" spans="1:6" x14ac:dyDescent="0.2">
      <c r="A483" s="3" t="s">
        <v>555</v>
      </c>
      <c r="B483" s="3" t="s">
        <v>554</v>
      </c>
      <c r="C483" s="13">
        <v>784362.95</v>
      </c>
      <c r="D483" s="15">
        <v>126856703.48</v>
      </c>
      <c r="E483" s="22">
        <f>TuitionRates3[[#This Row],[Tuition]]/D483</f>
        <v>6.1830626879222127E-3</v>
      </c>
      <c r="F483"/>
    </row>
    <row r="484" spans="1:6" x14ac:dyDescent="0.2">
      <c r="A484" s="3" t="s">
        <v>427</v>
      </c>
      <c r="B484" s="3" t="s">
        <v>406</v>
      </c>
      <c r="C484" s="13">
        <v>735393.67</v>
      </c>
      <c r="D484" s="15">
        <v>120090195.23</v>
      </c>
      <c r="E484" s="22">
        <f>TuitionRates3[[#This Row],[Tuition]]/D484</f>
        <v>6.1236778622230908E-3</v>
      </c>
      <c r="F484"/>
    </row>
    <row r="485" spans="1:6" x14ac:dyDescent="0.2">
      <c r="A485" s="3" t="s">
        <v>40</v>
      </c>
      <c r="B485" s="3" t="s">
        <v>11</v>
      </c>
      <c r="C485" s="13">
        <v>350962.56</v>
      </c>
      <c r="D485" s="15">
        <v>57564725.57</v>
      </c>
      <c r="E485" s="22">
        <f>TuitionRates3[[#This Row],[Tuition]]/D485</f>
        <v>6.0968337210818742E-3</v>
      </c>
      <c r="F485"/>
    </row>
    <row r="486" spans="1:6" x14ac:dyDescent="0.2">
      <c r="A486" s="3" t="s">
        <v>50</v>
      </c>
      <c r="B486" s="3" t="s">
        <v>11</v>
      </c>
      <c r="C486" s="13">
        <v>378143.7</v>
      </c>
      <c r="D486" s="15">
        <v>62097678.409999996</v>
      </c>
      <c r="E486" s="22">
        <f>TuitionRates3[[#This Row],[Tuition]]/D486</f>
        <v>6.0894981854765287E-3</v>
      </c>
      <c r="F486"/>
    </row>
    <row r="487" spans="1:6" x14ac:dyDescent="0.2">
      <c r="A487" s="3" t="s">
        <v>168</v>
      </c>
      <c r="B487" s="3" t="s">
        <v>164</v>
      </c>
      <c r="C487" s="13">
        <v>567523.56000000006</v>
      </c>
      <c r="D487" s="15">
        <v>99749620.629999995</v>
      </c>
      <c r="E487" s="22">
        <f>TuitionRates3[[#This Row],[Tuition]]/D487</f>
        <v>5.6894808863996388E-3</v>
      </c>
      <c r="F487"/>
    </row>
    <row r="488" spans="1:6" x14ac:dyDescent="0.2">
      <c r="A488" s="3" t="s">
        <v>238</v>
      </c>
      <c r="B488" s="3" t="s">
        <v>227</v>
      </c>
      <c r="C488" s="13">
        <v>428503.93</v>
      </c>
      <c r="D488" s="15">
        <v>81454703.689999998</v>
      </c>
      <c r="E488" s="22">
        <f>TuitionRates3[[#This Row],[Tuition]]/D488</f>
        <v>5.260640706898875E-3</v>
      </c>
      <c r="F488"/>
    </row>
    <row r="489" spans="1:6" x14ac:dyDescent="0.2">
      <c r="A489" s="3" t="s">
        <v>72</v>
      </c>
      <c r="B489" s="3" t="s">
        <v>60</v>
      </c>
      <c r="C489" s="13">
        <v>134307.69</v>
      </c>
      <c r="D489" s="15">
        <v>25561780.91</v>
      </c>
      <c r="E489" s="22">
        <f>TuitionRates3[[#This Row],[Tuition]]/D489</f>
        <v>5.2542383675410354E-3</v>
      </c>
      <c r="F489"/>
    </row>
    <row r="490" spans="1:6" x14ac:dyDescent="0.2">
      <c r="A490" s="3" t="s">
        <v>413</v>
      </c>
      <c r="B490" s="3" t="s">
        <v>406</v>
      </c>
      <c r="C490" s="13">
        <v>284752.75</v>
      </c>
      <c r="D490" s="15">
        <v>58580584.670000002</v>
      </c>
      <c r="E490" s="22">
        <f>TuitionRates3[[#This Row],[Tuition]]/D490</f>
        <v>4.8608724478270042E-3</v>
      </c>
      <c r="F490"/>
    </row>
    <row r="491" spans="1:6" x14ac:dyDescent="0.2">
      <c r="A491" s="3" t="s">
        <v>124</v>
      </c>
      <c r="B491" s="3" t="s">
        <v>116</v>
      </c>
      <c r="C491" s="13">
        <v>209642.62</v>
      </c>
      <c r="D491" s="15">
        <v>45687288.020000003</v>
      </c>
      <c r="E491" s="22">
        <f>TuitionRates3[[#This Row],[Tuition]]/D491</f>
        <v>4.5886422478880152E-3</v>
      </c>
      <c r="F491"/>
    </row>
    <row r="492" spans="1:6" x14ac:dyDescent="0.2">
      <c r="A492" s="3" t="s">
        <v>32</v>
      </c>
      <c r="B492" s="3" t="s">
        <v>11</v>
      </c>
      <c r="C492" s="13">
        <v>513928.12</v>
      </c>
      <c r="D492" s="15">
        <v>113249281.87</v>
      </c>
      <c r="E492" s="22">
        <f>TuitionRates3[[#This Row],[Tuition]]/D492</f>
        <v>4.5380254206816364E-3</v>
      </c>
      <c r="F492"/>
    </row>
    <row r="493" spans="1:6" x14ac:dyDescent="0.2">
      <c r="A493" s="3" t="s">
        <v>412</v>
      </c>
      <c r="B493" s="3" t="s">
        <v>406</v>
      </c>
      <c r="C493" s="13">
        <v>1321158.69</v>
      </c>
      <c r="D493" s="15">
        <v>307088072.85000002</v>
      </c>
      <c r="E493" s="22">
        <f>TuitionRates3[[#This Row],[Tuition]]/D493</f>
        <v>4.3022142727286317E-3</v>
      </c>
      <c r="F493"/>
    </row>
    <row r="494" spans="1:6" x14ac:dyDescent="0.2">
      <c r="A494" s="3" t="s">
        <v>229</v>
      </c>
      <c r="B494" s="3" t="s">
        <v>227</v>
      </c>
      <c r="C494" s="13">
        <v>484125.52</v>
      </c>
      <c r="D494" s="15">
        <v>120922411</v>
      </c>
      <c r="E494" s="22">
        <f>TuitionRates3[[#This Row],[Tuition]]/D494</f>
        <v>4.0036045923695649E-3</v>
      </c>
      <c r="F494"/>
    </row>
    <row r="495" spans="1:6" x14ac:dyDescent="0.2">
      <c r="A495" s="3" t="s">
        <v>230</v>
      </c>
      <c r="B495" s="3" t="s">
        <v>227</v>
      </c>
      <c r="C495" s="13">
        <v>565828.93999999994</v>
      </c>
      <c r="D495" s="15">
        <v>141575880.88</v>
      </c>
      <c r="E495" s="22">
        <f>TuitionRates3[[#This Row],[Tuition]]/D495</f>
        <v>3.9966478504880202E-3</v>
      </c>
      <c r="F495"/>
    </row>
    <row r="496" spans="1:6" x14ac:dyDescent="0.2">
      <c r="A496" s="3" t="s">
        <v>411</v>
      </c>
      <c r="B496" s="3" t="s">
        <v>406</v>
      </c>
      <c r="C496" s="13">
        <v>72437.84</v>
      </c>
      <c r="D496" s="15">
        <v>18610179.07</v>
      </c>
      <c r="E496" s="22">
        <f>TuitionRates3[[#This Row],[Tuition]]/D496</f>
        <v>3.8923773773231079E-3</v>
      </c>
      <c r="F496"/>
    </row>
    <row r="497" spans="1:6" x14ac:dyDescent="0.2">
      <c r="A497" s="3" t="s">
        <v>173</v>
      </c>
      <c r="B497" s="3" t="s">
        <v>164</v>
      </c>
      <c r="C497" s="13">
        <v>591948.66</v>
      </c>
      <c r="D497" s="15">
        <v>166384702.27000001</v>
      </c>
      <c r="E497" s="22">
        <f>TuitionRates3[[#This Row],[Tuition]]/D497</f>
        <v>3.5577108467545176E-3</v>
      </c>
      <c r="F497"/>
    </row>
    <row r="498" spans="1:6" x14ac:dyDescent="0.2">
      <c r="A498" s="3" t="s">
        <v>48</v>
      </c>
      <c r="B498" s="3" t="s">
        <v>11</v>
      </c>
      <c r="C498" s="13">
        <v>338621.22</v>
      </c>
      <c r="D498" s="15">
        <v>99431026.939999998</v>
      </c>
      <c r="E498" s="22">
        <f>TuitionRates3[[#This Row],[Tuition]]/D498</f>
        <v>3.405589084424677E-3</v>
      </c>
      <c r="F498"/>
    </row>
    <row r="499" spans="1:6" x14ac:dyDescent="0.2">
      <c r="A499" s="3" t="s">
        <v>234</v>
      </c>
      <c r="B499" s="3" t="s">
        <v>227</v>
      </c>
      <c r="C499" s="13">
        <v>264335.84000000003</v>
      </c>
      <c r="D499" s="15">
        <v>111752256.37</v>
      </c>
      <c r="E499" s="22">
        <f>TuitionRates3[[#This Row],[Tuition]]/D499</f>
        <v>2.36537362722066E-3</v>
      </c>
      <c r="F499"/>
    </row>
    <row r="500" spans="1:6" x14ac:dyDescent="0.2">
      <c r="A500" s="3" t="s">
        <v>64</v>
      </c>
      <c r="B500" s="3" t="s">
        <v>60</v>
      </c>
      <c r="C500" s="13">
        <v>41793</v>
      </c>
      <c r="D500" s="15">
        <v>41586942.869999997</v>
      </c>
      <c r="E500" s="22">
        <f>TuitionRates3[[#This Row],[Tuition]]/D500</f>
        <v>1.0049548515899361E-3</v>
      </c>
      <c r="F500"/>
    </row>
    <row r="501" spans="1:6" x14ac:dyDescent="0.2">
      <c r="A501" s="3" t="s">
        <v>456</v>
      </c>
      <c r="B501" s="3" t="s">
        <v>457</v>
      </c>
      <c r="C501" s="13">
        <v>0</v>
      </c>
      <c r="D501" s="15">
        <v>4519886.0199999996</v>
      </c>
      <c r="E501" s="22">
        <f>TuitionRates3[[#This Row],[Tuition]]/D501</f>
        <v>0</v>
      </c>
      <c r="F50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2A25-C86E-FA47-B076-5E62C00C8EDE}">
  <dimension ref="A3:SH505"/>
  <sheetViews>
    <sheetView workbookViewId="0">
      <selection activeCell="A3" sqref="A3"/>
    </sheetView>
  </sheetViews>
  <sheetFormatPr baseColWidth="10" defaultRowHeight="16" x14ac:dyDescent="0.2"/>
  <cols>
    <col min="1" max="1" width="20.5" bestFit="1" customWidth="1"/>
    <col min="2" max="2" width="15.5" bestFit="1" customWidth="1"/>
    <col min="3" max="14" width="12.6640625" bestFit="1" customWidth="1"/>
    <col min="15" max="412" width="13.6640625" bestFit="1" customWidth="1"/>
    <col min="413" max="500" width="14.6640625" bestFit="1" customWidth="1"/>
    <col min="501" max="501" width="16.33203125" bestFit="1" customWidth="1"/>
  </cols>
  <sheetData>
    <row r="3" spans="1:502" x14ac:dyDescent="0.2">
      <c r="A3" s="8" t="s">
        <v>575</v>
      </c>
      <c r="B3" s="8" t="s">
        <v>572</v>
      </c>
    </row>
    <row r="4" spans="1:502" x14ac:dyDescent="0.2">
      <c r="A4" s="8" t="s">
        <v>573</v>
      </c>
      <c r="B4" s="9">
        <v>257062</v>
      </c>
      <c r="C4" s="9">
        <v>4519886.0199999996</v>
      </c>
      <c r="D4" s="9">
        <v>6462593.3799999999</v>
      </c>
      <c r="E4" s="9">
        <v>6728938.8099999996</v>
      </c>
      <c r="F4" s="9">
        <v>6936299.25</v>
      </c>
      <c r="G4" s="9">
        <v>7296848.3799999999</v>
      </c>
      <c r="H4" s="9">
        <v>8026969.4000000004</v>
      </c>
      <c r="I4" s="9">
        <v>8552048.6099999994</v>
      </c>
      <c r="J4" s="9">
        <v>9067019.3800000008</v>
      </c>
      <c r="K4" s="9">
        <v>9233429.3499999996</v>
      </c>
      <c r="L4" s="9">
        <v>9509192.0999999996</v>
      </c>
      <c r="M4" s="9">
        <v>9681651.9299999997</v>
      </c>
      <c r="N4" s="9">
        <v>9859999.9100000001</v>
      </c>
      <c r="O4" s="9">
        <v>10142480.720000001</v>
      </c>
      <c r="P4" s="9">
        <v>11145224.99</v>
      </c>
      <c r="Q4" s="9">
        <v>11730222.32</v>
      </c>
      <c r="R4" s="9">
        <v>11854265.76</v>
      </c>
      <c r="S4" s="9">
        <v>11880277.52</v>
      </c>
      <c r="T4" s="9">
        <v>12153985.18</v>
      </c>
      <c r="U4" s="9">
        <v>12485395.18</v>
      </c>
      <c r="V4" s="9">
        <v>12713365.689999999</v>
      </c>
      <c r="W4" s="9">
        <v>12953739.85</v>
      </c>
      <c r="X4" s="9">
        <v>13311167.75</v>
      </c>
      <c r="Y4" s="9">
        <v>13625599.84</v>
      </c>
      <c r="Z4" s="9">
        <v>13890947.949999999</v>
      </c>
      <c r="AA4" s="9">
        <v>14089716</v>
      </c>
      <c r="AB4" s="9">
        <v>14145841.300000001</v>
      </c>
      <c r="AC4" s="9">
        <v>14373136.65</v>
      </c>
      <c r="AD4" s="9">
        <v>14386825.439999999</v>
      </c>
      <c r="AE4" s="9">
        <v>14428165.66</v>
      </c>
      <c r="AF4" s="9">
        <v>14455411.09</v>
      </c>
      <c r="AG4" s="9">
        <v>14518481.6</v>
      </c>
      <c r="AH4" s="9">
        <v>14784841.210000001</v>
      </c>
      <c r="AI4" s="9">
        <v>15013371</v>
      </c>
      <c r="AJ4" s="9">
        <v>15084424.960000001</v>
      </c>
      <c r="AK4" s="9">
        <v>15174901.18</v>
      </c>
      <c r="AL4" s="9">
        <v>15626680.939999999</v>
      </c>
      <c r="AM4" s="9">
        <v>15690479.609999999</v>
      </c>
      <c r="AN4" s="9">
        <v>15857542.300000001</v>
      </c>
      <c r="AO4" s="9">
        <v>16060416.68</v>
      </c>
      <c r="AP4" s="9">
        <v>16109745.470000001</v>
      </c>
      <c r="AQ4" s="9">
        <v>16230264.279999999</v>
      </c>
      <c r="AR4" s="9">
        <v>16335237.42</v>
      </c>
      <c r="AS4" s="9">
        <v>16345451.98</v>
      </c>
      <c r="AT4" s="9">
        <v>16391840.35</v>
      </c>
      <c r="AU4" s="9">
        <v>16496344.75</v>
      </c>
      <c r="AV4" s="9">
        <v>16681836.949999999</v>
      </c>
      <c r="AW4" s="9">
        <v>16863580.5</v>
      </c>
      <c r="AX4" s="9">
        <v>16878780.25</v>
      </c>
      <c r="AY4" s="9">
        <v>17177840.140000001</v>
      </c>
      <c r="AZ4" s="9">
        <v>17207510.73</v>
      </c>
      <c r="BA4" s="9">
        <v>17262492</v>
      </c>
      <c r="BB4" s="9">
        <v>17331066.809999999</v>
      </c>
      <c r="BC4" s="9">
        <v>17402895.190000001</v>
      </c>
      <c r="BD4" s="9">
        <v>17476820.289999999</v>
      </c>
      <c r="BE4" s="9">
        <v>17486861.309999999</v>
      </c>
      <c r="BF4" s="9">
        <v>17492927.030000001</v>
      </c>
      <c r="BG4" s="9">
        <v>17500070.809999999</v>
      </c>
      <c r="BH4" s="9">
        <v>17544559.75</v>
      </c>
      <c r="BI4" s="9">
        <v>17649513.449999999</v>
      </c>
      <c r="BJ4" s="9">
        <v>17770468.190000001</v>
      </c>
      <c r="BK4" s="9">
        <v>17793642.120000001</v>
      </c>
      <c r="BL4" s="9">
        <v>18004892.18</v>
      </c>
      <c r="BM4" s="9">
        <v>18173640.93</v>
      </c>
      <c r="BN4" s="9">
        <v>18204096.93</v>
      </c>
      <c r="BO4" s="9">
        <v>18317342.280000001</v>
      </c>
      <c r="BP4" s="9">
        <v>18497269.82</v>
      </c>
      <c r="BQ4" s="9">
        <v>18610179.07</v>
      </c>
      <c r="BR4" s="9">
        <v>18612539.84</v>
      </c>
      <c r="BS4" s="9">
        <v>18791305.73</v>
      </c>
      <c r="BT4" s="9">
        <v>18804407.449999999</v>
      </c>
      <c r="BU4" s="9">
        <v>18844644.210000001</v>
      </c>
      <c r="BV4" s="9">
        <v>18959270.59</v>
      </c>
      <c r="BW4" s="9">
        <v>19065543.579999998</v>
      </c>
      <c r="BX4" s="9">
        <v>19158803.77</v>
      </c>
      <c r="BY4" s="9">
        <v>19174574.050000001</v>
      </c>
      <c r="BZ4" s="9">
        <v>19614916.27</v>
      </c>
      <c r="CA4" s="9">
        <v>19740927.98</v>
      </c>
      <c r="CB4" s="9">
        <v>19881556.600000001</v>
      </c>
      <c r="CC4" s="9">
        <v>19944828.120000001</v>
      </c>
      <c r="CD4" s="9">
        <v>20046164.84</v>
      </c>
      <c r="CE4" s="9">
        <v>20124370.77</v>
      </c>
      <c r="CF4" s="9">
        <v>20250898.23</v>
      </c>
      <c r="CG4" s="9">
        <v>20371595.600000001</v>
      </c>
      <c r="CH4" s="9">
        <v>20664351.25</v>
      </c>
      <c r="CI4" s="9">
        <v>20688886.920000002</v>
      </c>
      <c r="CJ4" s="9">
        <v>20754861.800000001</v>
      </c>
      <c r="CK4" s="9">
        <v>20770956</v>
      </c>
      <c r="CL4" s="9">
        <v>20780731.579999998</v>
      </c>
      <c r="CM4" s="9">
        <v>20841084.719999999</v>
      </c>
      <c r="CN4" s="9">
        <v>21016874.699999999</v>
      </c>
      <c r="CO4" s="9">
        <v>21113701.010000002</v>
      </c>
      <c r="CP4" s="9">
        <v>21259489.289999999</v>
      </c>
      <c r="CQ4" s="9">
        <v>21518918.920000002</v>
      </c>
      <c r="CR4" s="9">
        <v>21520772.359999999</v>
      </c>
      <c r="CS4" s="9">
        <v>21594171.989999998</v>
      </c>
      <c r="CT4" s="9">
        <v>21612471.32</v>
      </c>
      <c r="CU4" s="9">
        <v>21674558.690000001</v>
      </c>
      <c r="CV4" s="9">
        <v>21739087.960000001</v>
      </c>
      <c r="CW4" s="9">
        <v>21740017.399999999</v>
      </c>
      <c r="CX4" s="9">
        <v>21892368.550000001</v>
      </c>
      <c r="CY4" s="9">
        <v>22039462.16</v>
      </c>
      <c r="CZ4" s="9">
        <v>22215586</v>
      </c>
      <c r="DA4" s="9">
        <v>22374647.859999999</v>
      </c>
      <c r="DB4" s="9">
        <v>22408291.34</v>
      </c>
      <c r="DC4" s="9">
        <v>22492709.059999999</v>
      </c>
      <c r="DD4" s="9">
        <v>22673059</v>
      </c>
      <c r="DE4" s="9">
        <v>22712200.739999998</v>
      </c>
      <c r="DF4" s="9">
        <v>22794211.27</v>
      </c>
      <c r="DG4" s="9">
        <v>22820697.640000001</v>
      </c>
      <c r="DH4" s="9">
        <v>22832850.100000001</v>
      </c>
      <c r="DI4" s="9">
        <v>22960230.390000001</v>
      </c>
      <c r="DJ4" s="9">
        <v>23009581.16</v>
      </c>
      <c r="DK4" s="9">
        <v>23040132.82</v>
      </c>
      <c r="DL4" s="9">
        <v>23172412.300000001</v>
      </c>
      <c r="DM4" s="9">
        <v>23226795.23</v>
      </c>
      <c r="DN4" s="9">
        <v>23561910.66</v>
      </c>
      <c r="DO4" s="9">
        <v>23605882.280000001</v>
      </c>
      <c r="DP4" s="9">
        <v>23671429.710000001</v>
      </c>
      <c r="DQ4" s="9">
        <v>23833076.800000001</v>
      </c>
      <c r="DR4" s="9">
        <v>23949970</v>
      </c>
      <c r="DS4" s="9">
        <v>24018025.59</v>
      </c>
      <c r="DT4" s="9">
        <v>24021826.59</v>
      </c>
      <c r="DU4" s="9">
        <v>24029912.940000001</v>
      </c>
      <c r="DV4" s="9">
        <v>24059985.34</v>
      </c>
      <c r="DW4" s="9">
        <v>24095232.899999999</v>
      </c>
      <c r="DX4" s="9">
        <v>24204461.739999998</v>
      </c>
      <c r="DY4" s="9">
        <v>24220653</v>
      </c>
      <c r="DZ4" s="9">
        <v>24245194.359999999</v>
      </c>
      <c r="EA4" s="9">
        <v>24521430.550000001</v>
      </c>
      <c r="EB4" s="9">
        <v>24766614.210000001</v>
      </c>
      <c r="EC4" s="9">
        <v>24944487.940000001</v>
      </c>
      <c r="ED4" s="9">
        <v>25139093.170000002</v>
      </c>
      <c r="EE4" s="9">
        <v>25340867.84</v>
      </c>
      <c r="EF4" s="9">
        <v>25464295</v>
      </c>
      <c r="EG4" s="9">
        <v>25561780.91</v>
      </c>
      <c r="EH4" s="9">
        <v>25808237.84</v>
      </c>
      <c r="EI4" s="9">
        <v>26056817.940000001</v>
      </c>
      <c r="EJ4" s="9">
        <v>26378507.109999999</v>
      </c>
      <c r="EK4" s="9">
        <v>26489119.780000001</v>
      </c>
      <c r="EL4" s="9">
        <v>26638523.879999999</v>
      </c>
      <c r="EM4" s="9">
        <v>26685406.73</v>
      </c>
      <c r="EN4" s="9">
        <v>26757914.190000001</v>
      </c>
      <c r="EO4" s="9">
        <v>26906925.629999999</v>
      </c>
      <c r="EP4" s="9">
        <v>26921014.93</v>
      </c>
      <c r="EQ4" s="9">
        <v>26934325.920000002</v>
      </c>
      <c r="ER4" s="9">
        <v>26987214.640000001</v>
      </c>
      <c r="ES4" s="9">
        <v>27086555.079999998</v>
      </c>
      <c r="ET4" s="9">
        <v>27179556</v>
      </c>
      <c r="EU4" s="9">
        <v>27390973.309999999</v>
      </c>
      <c r="EV4" s="9">
        <v>27397836.219999999</v>
      </c>
      <c r="EW4" s="9">
        <v>27513404.77</v>
      </c>
      <c r="EX4" s="9">
        <v>27630183.539999999</v>
      </c>
      <c r="EY4" s="9">
        <v>28148832.510000002</v>
      </c>
      <c r="EZ4" s="9">
        <v>28479662.309999999</v>
      </c>
      <c r="FA4" s="9">
        <v>28846507.079999998</v>
      </c>
      <c r="FB4" s="9">
        <v>28874003.289999999</v>
      </c>
      <c r="FC4" s="9">
        <v>28953190.57</v>
      </c>
      <c r="FD4" s="9">
        <v>28963163.699999999</v>
      </c>
      <c r="FE4" s="9">
        <v>29072931.309999999</v>
      </c>
      <c r="FF4" s="9">
        <v>29258845.440000001</v>
      </c>
      <c r="FG4" s="9">
        <v>29418979.739999998</v>
      </c>
      <c r="FH4" s="9">
        <v>29471860.43</v>
      </c>
      <c r="FI4" s="9">
        <v>29483449.359999999</v>
      </c>
      <c r="FJ4" s="9">
        <v>29503234.02</v>
      </c>
      <c r="FK4" s="9">
        <v>29715432.649999999</v>
      </c>
      <c r="FL4" s="9">
        <v>29765774.809999999</v>
      </c>
      <c r="FM4" s="9">
        <v>29933630.149999999</v>
      </c>
      <c r="FN4" s="9">
        <v>30007558.120000001</v>
      </c>
      <c r="FO4" s="9">
        <v>30084067.989999998</v>
      </c>
      <c r="FP4" s="9">
        <v>30207121.280000001</v>
      </c>
      <c r="FQ4" s="9">
        <v>30418863.059999999</v>
      </c>
      <c r="FR4" s="9">
        <v>30487113.390000001</v>
      </c>
      <c r="FS4" s="9">
        <v>30506930.800000001</v>
      </c>
      <c r="FT4" s="9">
        <v>30643469.109999999</v>
      </c>
      <c r="FU4" s="9">
        <v>30761595.640000001</v>
      </c>
      <c r="FV4" s="9">
        <v>31067197.350000001</v>
      </c>
      <c r="FW4" s="9">
        <v>31085509.649999999</v>
      </c>
      <c r="FX4" s="9">
        <v>31247441.5</v>
      </c>
      <c r="FY4" s="9">
        <v>31437790.789999999</v>
      </c>
      <c r="FZ4" s="9">
        <v>31651942.399999999</v>
      </c>
      <c r="GA4" s="9">
        <v>32101021.98</v>
      </c>
      <c r="GB4" s="9">
        <v>32293807.98</v>
      </c>
      <c r="GC4" s="9">
        <v>32427735.829999998</v>
      </c>
      <c r="GD4" s="9">
        <v>32573311.57</v>
      </c>
      <c r="GE4" s="9">
        <v>32643596.890000001</v>
      </c>
      <c r="GF4" s="9">
        <v>33188316</v>
      </c>
      <c r="GG4" s="9">
        <v>33203499.66</v>
      </c>
      <c r="GH4" s="9">
        <v>33297135.34</v>
      </c>
      <c r="GI4" s="9">
        <v>33617505.189999998</v>
      </c>
      <c r="GJ4" s="9">
        <v>33659625.399999999</v>
      </c>
      <c r="GK4" s="9">
        <v>33892915.299999997</v>
      </c>
      <c r="GL4" s="9">
        <v>34094573.399999999</v>
      </c>
      <c r="GM4" s="9">
        <v>34407882.890000001</v>
      </c>
      <c r="GN4" s="9">
        <v>34544873.020000003</v>
      </c>
      <c r="GO4" s="9">
        <v>34577025.729999997</v>
      </c>
      <c r="GP4" s="9">
        <v>34804610.520000003</v>
      </c>
      <c r="GQ4" s="9">
        <v>35005417.450000003</v>
      </c>
      <c r="GR4" s="9">
        <v>35022544.689999998</v>
      </c>
      <c r="GS4" s="9">
        <v>35031788.619999997</v>
      </c>
      <c r="GT4" s="9">
        <v>35051555</v>
      </c>
      <c r="GU4" s="9">
        <v>35133686.850000001</v>
      </c>
      <c r="GV4" s="9">
        <v>35158624.049999997</v>
      </c>
      <c r="GW4" s="9">
        <v>35182990.43</v>
      </c>
      <c r="GX4" s="9">
        <v>35201795.829999998</v>
      </c>
      <c r="GY4" s="9">
        <v>35344225</v>
      </c>
      <c r="GZ4" s="9">
        <v>35516206.369999997</v>
      </c>
      <c r="HA4" s="9">
        <v>35669640.57</v>
      </c>
      <c r="HB4" s="9">
        <v>35941329.060000002</v>
      </c>
      <c r="HC4" s="9">
        <v>36258206.07</v>
      </c>
      <c r="HD4" s="9">
        <v>36304282.850000001</v>
      </c>
      <c r="HE4" s="9">
        <v>36361996.960000001</v>
      </c>
      <c r="HF4" s="9">
        <v>36658931.630000003</v>
      </c>
      <c r="HG4" s="9">
        <v>36807610.850000001</v>
      </c>
      <c r="HH4" s="9">
        <v>36808687.990000002</v>
      </c>
      <c r="HI4" s="9">
        <v>36865329.619999997</v>
      </c>
      <c r="HJ4" s="9">
        <v>36867634.159999996</v>
      </c>
      <c r="HK4" s="9">
        <v>36872074.289999999</v>
      </c>
      <c r="HL4" s="9">
        <v>37252254.960000001</v>
      </c>
      <c r="HM4" s="9">
        <v>37477343.329999998</v>
      </c>
      <c r="HN4" s="9">
        <v>37549956.350000001</v>
      </c>
      <c r="HO4" s="9">
        <v>37583393.450000003</v>
      </c>
      <c r="HP4" s="9">
        <v>37959146.640000001</v>
      </c>
      <c r="HQ4" s="9">
        <v>37975976.869999997</v>
      </c>
      <c r="HR4" s="9">
        <v>38003973.450000003</v>
      </c>
      <c r="HS4" s="9">
        <v>38061374.43</v>
      </c>
      <c r="HT4" s="9">
        <v>38151401.380000003</v>
      </c>
      <c r="HU4" s="9">
        <v>38154621.32</v>
      </c>
      <c r="HV4" s="9">
        <v>38318216.5</v>
      </c>
      <c r="HW4" s="9">
        <v>38354519.369999997</v>
      </c>
      <c r="HX4" s="9">
        <v>38363803.030000001</v>
      </c>
      <c r="HY4" s="9">
        <v>38366679.43</v>
      </c>
      <c r="HZ4" s="9">
        <v>38546293.43</v>
      </c>
      <c r="IA4" s="9">
        <v>38581807.700000003</v>
      </c>
      <c r="IB4" s="9">
        <v>39059777.030000001</v>
      </c>
      <c r="IC4" s="9">
        <v>39173806.530000001</v>
      </c>
      <c r="ID4" s="9">
        <v>39370511.68</v>
      </c>
      <c r="IE4" s="9">
        <v>39501383.719999999</v>
      </c>
      <c r="IF4" s="9">
        <v>39521758.009999998</v>
      </c>
      <c r="IG4" s="9">
        <v>39978354.57</v>
      </c>
      <c r="IH4" s="9">
        <v>40031538.880000003</v>
      </c>
      <c r="II4" s="9">
        <v>40155849.259999998</v>
      </c>
      <c r="IJ4" s="9">
        <v>40182143.539999999</v>
      </c>
      <c r="IK4" s="9">
        <v>40194632.240000002</v>
      </c>
      <c r="IL4" s="9">
        <v>40676536.200000003</v>
      </c>
      <c r="IM4" s="9">
        <v>40940996.420000002</v>
      </c>
      <c r="IN4" s="9">
        <v>41267011.399999999</v>
      </c>
      <c r="IO4" s="9">
        <v>41305275.729999997</v>
      </c>
      <c r="IP4" s="9">
        <v>41586942.869999997</v>
      </c>
      <c r="IQ4" s="9">
        <v>41633976.770000003</v>
      </c>
      <c r="IR4" s="9">
        <v>41743642.509999998</v>
      </c>
      <c r="IS4" s="9">
        <v>41808282.32</v>
      </c>
      <c r="IT4" s="9">
        <v>41941532.509999998</v>
      </c>
      <c r="IU4" s="9">
        <v>42434821.289999999</v>
      </c>
      <c r="IV4" s="9">
        <v>42461978.280000001</v>
      </c>
      <c r="IW4" s="9">
        <v>42726325.140000001</v>
      </c>
      <c r="IX4" s="9">
        <v>42815054.630000003</v>
      </c>
      <c r="IY4" s="9">
        <v>42870253.659999996</v>
      </c>
      <c r="IZ4" s="9">
        <v>43106625.359999999</v>
      </c>
      <c r="JA4" s="9">
        <v>43248745</v>
      </c>
      <c r="JB4" s="9">
        <v>43376612.789999999</v>
      </c>
      <c r="JC4" s="9">
        <v>43786572.390000001</v>
      </c>
      <c r="JD4" s="9">
        <v>43862476.909999996</v>
      </c>
      <c r="JE4" s="9">
        <v>44086858.310000002</v>
      </c>
      <c r="JF4" s="9">
        <v>44122425</v>
      </c>
      <c r="JG4" s="9">
        <v>44236822.109999999</v>
      </c>
      <c r="JH4" s="9">
        <v>44347073.270000003</v>
      </c>
      <c r="JI4" s="9">
        <v>44620900.979999997</v>
      </c>
      <c r="JJ4" s="9">
        <v>44676573.340000004</v>
      </c>
      <c r="JK4" s="9">
        <v>45241535.090000004</v>
      </c>
      <c r="JL4" s="9">
        <v>45282001.649999999</v>
      </c>
      <c r="JM4" s="9">
        <v>45353846.619999997</v>
      </c>
      <c r="JN4" s="9">
        <v>45479088.270000003</v>
      </c>
      <c r="JO4" s="9">
        <v>45505538.590000004</v>
      </c>
      <c r="JP4" s="9">
        <v>45687288.020000003</v>
      </c>
      <c r="JQ4" s="9">
        <v>45744416.609999999</v>
      </c>
      <c r="JR4" s="9">
        <v>46029737</v>
      </c>
      <c r="JS4" s="9">
        <v>46103669.649999999</v>
      </c>
      <c r="JT4" s="9">
        <v>46191076.200000003</v>
      </c>
      <c r="JU4" s="9">
        <v>46488302</v>
      </c>
      <c r="JV4" s="9">
        <v>46556549.670000002</v>
      </c>
      <c r="JW4" s="9">
        <v>46573513</v>
      </c>
      <c r="JX4" s="9">
        <v>46818845.280000001</v>
      </c>
      <c r="JY4" s="9">
        <v>46977241.630000003</v>
      </c>
      <c r="JZ4" s="9">
        <v>47114452.75</v>
      </c>
      <c r="KA4" s="9">
        <v>47178198.729999997</v>
      </c>
      <c r="KB4" s="9">
        <v>47407031.030000001</v>
      </c>
      <c r="KC4" s="9">
        <v>47443959.18</v>
      </c>
      <c r="KD4" s="9">
        <v>47828657.350000001</v>
      </c>
      <c r="KE4" s="9">
        <v>48370545.439999998</v>
      </c>
      <c r="KF4" s="9">
        <v>48935096.840000004</v>
      </c>
      <c r="KG4" s="9">
        <v>49382911.780000001</v>
      </c>
      <c r="KH4" s="9">
        <v>49453020.359999999</v>
      </c>
      <c r="KI4" s="9">
        <v>49856028.619999997</v>
      </c>
      <c r="KJ4" s="9">
        <v>50189561.590000004</v>
      </c>
      <c r="KK4" s="9">
        <v>50330572.450000003</v>
      </c>
      <c r="KL4" s="9">
        <v>50976626.539999999</v>
      </c>
      <c r="KM4" s="9">
        <v>51044331.07</v>
      </c>
      <c r="KN4" s="9">
        <v>51717948.130000003</v>
      </c>
      <c r="KO4" s="9">
        <v>51725131.659999996</v>
      </c>
      <c r="KP4" s="9">
        <v>51903373.439999998</v>
      </c>
      <c r="KQ4" s="9">
        <v>52036460.43</v>
      </c>
      <c r="KR4" s="9">
        <v>52450106.649999999</v>
      </c>
      <c r="KS4" s="9">
        <v>53312634.609999999</v>
      </c>
      <c r="KT4" s="9">
        <v>53384335.350000001</v>
      </c>
      <c r="KU4" s="9">
        <v>54243516.770000003</v>
      </c>
      <c r="KV4" s="9">
        <v>54443876.939999998</v>
      </c>
      <c r="KW4" s="9">
        <v>55384299.240000002</v>
      </c>
      <c r="KX4" s="9">
        <v>55653850.659999996</v>
      </c>
      <c r="KY4" s="9">
        <v>56481896.289999999</v>
      </c>
      <c r="KZ4" s="9">
        <v>57459532.299999997</v>
      </c>
      <c r="LA4" s="9">
        <v>57564725.57</v>
      </c>
      <c r="LB4" s="9">
        <v>57567279.18</v>
      </c>
      <c r="LC4" s="9">
        <v>57901800.200000003</v>
      </c>
      <c r="LD4" s="9">
        <v>58580584.670000002</v>
      </c>
      <c r="LE4" s="9">
        <v>58621807.869999997</v>
      </c>
      <c r="LF4" s="9">
        <v>58826827.880000003</v>
      </c>
      <c r="LG4" s="9">
        <v>58856630.659999996</v>
      </c>
      <c r="LH4" s="9">
        <v>58979453.710000001</v>
      </c>
      <c r="LI4" s="9">
        <v>59456079.75</v>
      </c>
      <c r="LJ4" s="9">
        <v>60027610.189999998</v>
      </c>
      <c r="LK4" s="9">
        <v>60270637.979999997</v>
      </c>
      <c r="LL4" s="9">
        <v>60587653.770000003</v>
      </c>
      <c r="LM4" s="9">
        <v>60696254.359999999</v>
      </c>
      <c r="LN4" s="9">
        <v>60858689.909999996</v>
      </c>
      <c r="LO4" s="9">
        <v>61047895.079999998</v>
      </c>
      <c r="LP4" s="9">
        <v>61057678.780000001</v>
      </c>
      <c r="LQ4" s="9">
        <v>61450613.329999998</v>
      </c>
      <c r="LR4" s="9">
        <v>61516922.950000003</v>
      </c>
      <c r="LS4" s="9">
        <v>61810895.859999999</v>
      </c>
      <c r="LT4" s="9">
        <v>62097678.409999996</v>
      </c>
      <c r="LU4" s="9">
        <v>62461533.789999999</v>
      </c>
      <c r="LV4" s="9">
        <v>62975396.25</v>
      </c>
      <c r="LW4" s="9">
        <v>63445914.219999999</v>
      </c>
      <c r="LX4" s="9">
        <v>64380111.82</v>
      </c>
      <c r="LY4" s="9">
        <v>64421342.590000004</v>
      </c>
      <c r="LZ4" s="9">
        <v>64682993.939999998</v>
      </c>
      <c r="MA4" s="9">
        <v>64714986.229999997</v>
      </c>
      <c r="MB4" s="9">
        <v>65649028.770000003</v>
      </c>
      <c r="MC4" s="9">
        <v>65673609.060000002</v>
      </c>
      <c r="MD4" s="9">
        <v>66056684.07</v>
      </c>
      <c r="ME4" s="9">
        <v>67118959.090000004</v>
      </c>
      <c r="MF4" s="9">
        <v>67120723.879999995</v>
      </c>
      <c r="MG4" s="9">
        <v>67203750.519999996</v>
      </c>
      <c r="MH4" s="9">
        <v>67253897.599999994</v>
      </c>
      <c r="MI4" s="9">
        <v>67389113.849999994</v>
      </c>
      <c r="MJ4" s="9">
        <v>67751191.219999999</v>
      </c>
      <c r="MK4" s="9">
        <v>67798510.799999997</v>
      </c>
      <c r="ML4" s="9">
        <v>68379982.540000007</v>
      </c>
      <c r="MM4" s="9">
        <v>68540219.530000001</v>
      </c>
      <c r="MN4" s="9">
        <v>68582576.840000004</v>
      </c>
      <c r="MO4" s="9">
        <v>69492398.370000005</v>
      </c>
      <c r="MP4" s="9">
        <v>69539565.879999995</v>
      </c>
      <c r="MQ4" s="9">
        <v>69587244.219999999</v>
      </c>
      <c r="MR4" s="9">
        <v>69698009.969999999</v>
      </c>
      <c r="MS4" s="9">
        <v>69788964.829999998</v>
      </c>
      <c r="MT4" s="9">
        <v>69796946.329999998</v>
      </c>
      <c r="MU4" s="9">
        <v>70585360.620000005</v>
      </c>
      <c r="MV4" s="9">
        <v>70603796.739999995</v>
      </c>
      <c r="MW4" s="9">
        <v>70719466.560000002</v>
      </c>
      <c r="MX4" s="9">
        <v>70969373</v>
      </c>
      <c r="MY4" s="9">
        <v>71218509.579999998</v>
      </c>
      <c r="MZ4" s="9">
        <v>72057280.760000005</v>
      </c>
      <c r="NA4" s="9">
        <v>72514359.780000001</v>
      </c>
      <c r="NB4" s="9">
        <v>72660908.930000007</v>
      </c>
      <c r="NC4" s="9">
        <v>72685653</v>
      </c>
      <c r="ND4" s="9">
        <v>73538519.769999996</v>
      </c>
      <c r="NE4" s="9">
        <v>74430676.609999999</v>
      </c>
      <c r="NF4" s="9">
        <v>74442540.159999996</v>
      </c>
      <c r="NG4" s="9">
        <v>75488403.540000007</v>
      </c>
      <c r="NH4" s="9">
        <v>75694294.849999994</v>
      </c>
      <c r="NI4" s="9">
        <v>76529158.670000002</v>
      </c>
      <c r="NJ4" s="9">
        <v>77271189.849999994</v>
      </c>
      <c r="NK4" s="9">
        <v>77669099</v>
      </c>
      <c r="NL4" s="9">
        <v>79485094.370000005</v>
      </c>
      <c r="NM4" s="9">
        <v>80010368.719999999</v>
      </c>
      <c r="NN4" s="9">
        <v>80463481.799999997</v>
      </c>
      <c r="NO4" s="9">
        <v>81006904.780000001</v>
      </c>
      <c r="NP4" s="9">
        <v>81182573.109999999</v>
      </c>
      <c r="NQ4" s="9">
        <v>81454703.689999998</v>
      </c>
      <c r="NR4" s="9">
        <v>82798021.579999998</v>
      </c>
      <c r="NS4" s="9">
        <v>82933008.969999999</v>
      </c>
      <c r="NT4" s="9">
        <v>83395915.980000004</v>
      </c>
      <c r="NU4" s="9">
        <v>83411053.079999998</v>
      </c>
      <c r="NV4" s="9">
        <v>83707392.519999996</v>
      </c>
      <c r="NW4" s="9">
        <v>83768533.180000007</v>
      </c>
      <c r="NX4" s="9">
        <v>84225431.459999993</v>
      </c>
      <c r="NY4" s="9">
        <v>84250202.629999995</v>
      </c>
      <c r="NZ4" s="9">
        <v>84520354.129999995</v>
      </c>
      <c r="OA4" s="9">
        <v>84587414.290000007</v>
      </c>
      <c r="OB4" s="9">
        <v>84761515.299999997</v>
      </c>
      <c r="OC4" s="9">
        <v>84814610.170000002</v>
      </c>
      <c r="OD4" s="9">
        <v>88029119.299999997</v>
      </c>
      <c r="OE4" s="9">
        <v>88316701.25</v>
      </c>
      <c r="OF4" s="9">
        <v>89787353.099999994</v>
      </c>
      <c r="OG4" s="9">
        <v>89975761.349999994</v>
      </c>
      <c r="OH4" s="9">
        <v>90716320.870000005</v>
      </c>
      <c r="OI4" s="9">
        <v>90850477.849999994</v>
      </c>
      <c r="OJ4" s="9">
        <v>91775996.189999998</v>
      </c>
      <c r="OK4" s="9">
        <v>91962684.549999997</v>
      </c>
      <c r="OL4" s="9">
        <v>92446342.519999996</v>
      </c>
      <c r="OM4" s="9">
        <v>94071468.590000004</v>
      </c>
      <c r="ON4" s="9">
        <v>96805484.450000003</v>
      </c>
      <c r="OO4" s="9">
        <v>97134603.150000006</v>
      </c>
      <c r="OP4" s="9">
        <v>97685359.689999998</v>
      </c>
      <c r="OQ4" s="9">
        <v>98528960.090000004</v>
      </c>
      <c r="OR4" s="9">
        <v>98697940.469999999</v>
      </c>
      <c r="OS4" s="9">
        <v>98717622.340000004</v>
      </c>
      <c r="OT4" s="9">
        <v>98924656</v>
      </c>
      <c r="OU4" s="9">
        <v>99431026.939999998</v>
      </c>
      <c r="OV4" s="9">
        <v>99749620.629999995</v>
      </c>
      <c r="OW4" s="9">
        <v>101206671.83</v>
      </c>
      <c r="OX4" s="9">
        <v>101649543.98999999</v>
      </c>
      <c r="OY4" s="9">
        <v>102344007.44</v>
      </c>
      <c r="OZ4" s="9">
        <v>102493017.34999999</v>
      </c>
      <c r="PA4" s="9">
        <v>102613438</v>
      </c>
      <c r="PB4" s="9">
        <v>103075877.05</v>
      </c>
      <c r="PC4" s="9">
        <v>104480902.90000001</v>
      </c>
      <c r="PD4" s="9">
        <v>104744948.17</v>
      </c>
      <c r="PE4" s="9">
        <v>105202812.42</v>
      </c>
      <c r="PF4" s="9">
        <v>105382030.70999999</v>
      </c>
      <c r="PG4" s="9">
        <v>106272685.98999999</v>
      </c>
      <c r="PH4" s="9">
        <v>107083429</v>
      </c>
      <c r="PI4" s="9">
        <v>107846556.95</v>
      </c>
      <c r="PJ4" s="9">
        <v>109260558.19</v>
      </c>
      <c r="PK4" s="9">
        <v>111719789.66</v>
      </c>
      <c r="PL4" s="9">
        <v>111725472.09</v>
      </c>
      <c r="PM4" s="9">
        <v>111752256.37</v>
      </c>
      <c r="PN4" s="9">
        <v>112049712.94</v>
      </c>
      <c r="PO4" s="9">
        <v>112829817.31999999</v>
      </c>
      <c r="PP4" s="9">
        <v>113194498.48999999</v>
      </c>
      <c r="PQ4" s="9">
        <v>113249281.87</v>
      </c>
      <c r="PR4" s="9">
        <v>113740937.23</v>
      </c>
      <c r="PS4" s="9">
        <v>116755373.05</v>
      </c>
      <c r="PT4" s="9">
        <v>117062497.34999999</v>
      </c>
      <c r="PU4" s="9">
        <v>118744479.41</v>
      </c>
      <c r="PV4" s="9">
        <v>120090195.23</v>
      </c>
      <c r="PW4" s="9">
        <v>120922411</v>
      </c>
      <c r="PX4" s="9">
        <v>121100678.53</v>
      </c>
      <c r="PY4" s="9">
        <v>121620117.78</v>
      </c>
      <c r="PZ4" s="9">
        <v>123185631.93000001</v>
      </c>
      <c r="QA4" s="9">
        <v>123839783.34999999</v>
      </c>
      <c r="QB4" s="9">
        <v>124842673.81</v>
      </c>
      <c r="QC4" s="9">
        <v>125356249.66</v>
      </c>
      <c r="QD4" s="9">
        <v>125625146.63</v>
      </c>
      <c r="QE4" s="9">
        <v>125996865.95</v>
      </c>
      <c r="QF4" s="9">
        <v>126476256.62</v>
      </c>
      <c r="QG4" s="9">
        <v>126856703.48</v>
      </c>
      <c r="QH4" s="9">
        <v>127516385.53</v>
      </c>
      <c r="QI4" s="9">
        <v>130299075.37</v>
      </c>
      <c r="QJ4" s="9">
        <v>131960194.70999999</v>
      </c>
      <c r="QK4" s="9">
        <v>136454893.99000001</v>
      </c>
      <c r="QL4" s="9">
        <v>138457358.16</v>
      </c>
      <c r="QM4" s="9">
        <v>140275014.53999999</v>
      </c>
      <c r="QN4" s="9">
        <v>140792456.02000001</v>
      </c>
      <c r="QO4" s="9">
        <v>141132890.34</v>
      </c>
      <c r="QP4" s="9">
        <v>141575880.88</v>
      </c>
      <c r="QQ4" s="9">
        <v>146206156.84</v>
      </c>
      <c r="QR4" s="9">
        <v>148558474.50999999</v>
      </c>
      <c r="QS4" s="9">
        <v>151368160.77000001</v>
      </c>
      <c r="QT4" s="9">
        <v>152461304.5</v>
      </c>
      <c r="QU4" s="9">
        <v>158487666.18000001</v>
      </c>
      <c r="QV4" s="9">
        <v>163061974.28</v>
      </c>
      <c r="QW4" s="9">
        <v>166384702.27000001</v>
      </c>
      <c r="QX4" s="9">
        <v>167455443.27000001</v>
      </c>
      <c r="QY4" s="9">
        <v>170432309.33000001</v>
      </c>
      <c r="QZ4" s="9">
        <v>174492699</v>
      </c>
      <c r="RA4" s="9">
        <v>174504700</v>
      </c>
      <c r="RB4" s="9">
        <v>177113658.56999999</v>
      </c>
      <c r="RC4" s="9">
        <v>178063678.88999999</v>
      </c>
      <c r="RD4" s="9">
        <v>182236908.03999999</v>
      </c>
      <c r="RE4" s="9">
        <v>182754584.46000001</v>
      </c>
      <c r="RF4" s="9">
        <v>183445058.19</v>
      </c>
      <c r="RG4" s="9">
        <v>191524107.36000001</v>
      </c>
      <c r="RH4" s="9">
        <v>193101431.49000001</v>
      </c>
      <c r="RI4" s="9">
        <v>196818303.88</v>
      </c>
      <c r="RJ4" s="9">
        <v>200218133.43000001</v>
      </c>
      <c r="RK4" s="9">
        <v>203296536.97999999</v>
      </c>
      <c r="RL4" s="9">
        <v>203801400.37</v>
      </c>
      <c r="RM4" s="9">
        <v>203922642</v>
      </c>
      <c r="RN4" s="9">
        <v>203999880.27000001</v>
      </c>
      <c r="RO4" s="9">
        <v>209932292.12</v>
      </c>
      <c r="RP4" s="9">
        <v>217184920.52000001</v>
      </c>
      <c r="RQ4" s="9">
        <v>236566924.18000001</v>
      </c>
      <c r="RR4" s="9">
        <v>239055379.97999999</v>
      </c>
      <c r="RS4" s="9">
        <v>240557304.87</v>
      </c>
      <c r="RT4" s="9">
        <v>248220115.5</v>
      </c>
      <c r="RU4" s="9">
        <v>258798294.34999999</v>
      </c>
      <c r="RV4" s="9">
        <v>264050749.59</v>
      </c>
      <c r="RW4" s="9">
        <v>278289692</v>
      </c>
      <c r="RX4" s="9">
        <v>279220710.05000001</v>
      </c>
      <c r="RY4" s="9">
        <v>284856033.23000002</v>
      </c>
      <c r="RZ4" s="9">
        <v>298599680.75999999</v>
      </c>
      <c r="SA4" s="9">
        <v>307088072.85000002</v>
      </c>
      <c r="SB4" s="9">
        <v>321560066.41000003</v>
      </c>
      <c r="SC4" s="9">
        <v>353056600.10000002</v>
      </c>
      <c r="SD4" s="9">
        <v>361464286.26999998</v>
      </c>
      <c r="SE4" s="9">
        <v>410594030</v>
      </c>
      <c r="SF4" s="9">
        <v>746818491.24000001</v>
      </c>
      <c r="SG4" s="9">
        <v>4239795495.5599999</v>
      </c>
      <c r="SH4" s="9" t="s">
        <v>574</v>
      </c>
    </row>
    <row r="5" spans="1:502" x14ac:dyDescent="0.2">
      <c r="A5" s="10">
        <v>0</v>
      </c>
      <c r="B5" s="11"/>
      <c r="C5" s="11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>
        <v>1</v>
      </c>
    </row>
    <row r="6" spans="1:502" x14ac:dyDescent="0.2">
      <c r="A6" s="10">
        <v>1.0049548515899361E-3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>
        <v>1</v>
      </c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>
        <v>1</v>
      </c>
    </row>
    <row r="7" spans="1:502" x14ac:dyDescent="0.2">
      <c r="A7" s="10">
        <v>2.36537362722066E-3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>
        <v>1</v>
      </c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>
        <v>1</v>
      </c>
    </row>
    <row r="8" spans="1:502" x14ac:dyDescent="0.2">
      <c r="A8" s="10">
        <v>3.405589084424677E-3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>
        <v>1</v>
      </c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>
        <v>1</v>
      </c>
    </row>
    <row r="9" spans="1:502" x14ac:dyDescent="0.2">
      <c r="A9" s="10">
        <v>3.5577108467545176E-3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>
        <v>1</v>
      </c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>
        <v>1</v>
      </c>
    </row>
    <row r="10" spans="1:502" x14ac:dyDescent="0.2">
      <c r="A10" s="10">
        <v>3.8923773773231079E-3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>
        <v>1</v>
      </c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>
        <v>1</v>
      </c>
    </row>
    <row r="11" spans="1:502" x14ac:dyDescent="0.2">
      <c r="A11" s="10">
        <v>3.9966478504880202E-3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>
        <v>1</v>
      </c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>
        <v>1</v>
      </c>
    </row>
    <row r="12" spans="1:502" x14ac:dyDescent="0.2">
      <c r="A12" s="10">
        <v>4.0036045923695649E-3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>
        <v>1</v>
      </c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>
        <v>1</v>
      </c>
    </row>
    <row r="13" spans="1:502" x14ac:dyDescent="0.2">
      <c r="A13" s="10">
        <v>4.3022142727286317E-3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>
        <v>1</v>
      </c>
      <c r="SB13" s="11"/>
      <c r="SC13" s="11"/>
      <c r="SD13" s="11"/>
      <c r="SE13" s="11"/>
      <c r="SF13" s="11"/>
      <c r="SG13" s="11"/>
      <c r="SH13" s="11">
        <v>1</v>
      </c>
    </row>
    <row r="14" spans="1:502" x14ac:dyDescent="0.2">
      <c r="A14" s="10">
        <v>4.5380254206816364E-3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>
        <v>1</v>
      </c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>
        <v>1</v>
      </c>
    </row>
    <row r="15" spans="1:502" x14ac:dyDescent="0.2">
      <c r="A15" s="10">
        <v>4.5886422478880152E-3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>
        <v>1</v>
      </c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>
        <v>1</v>
      </c>
    </row>
    <row r="16" spans="1:502" x14ac:dyDescent="0.2">
      <c r="A16" s="10">
        <v>4.8608724478270042E-3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>
        <v>1</v>
      </c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>
        <v>1</v>
      </c>
    </row>
    <row r="17" spans="1:502" x14ac:dyDescent="0.2">
      <c r="A17" s="10">
        <v>5.2542383675410354E-3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>
        <v>1</v>
      </c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>
        <v>1</v>
      </c>
    </row>
    <row r="18" spans="1:502" x14ac:dyDescent="0.2">
      <c r="A18" s="10">
        <v>5.260640706898875E-3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>
        <v>1</v>
      </c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>
        <v>1</v>
      </c>
    </row>
    <row r="19" spans="1:502" x14ac:dyDescent="0.2">
      <c r="A19" s="10">
        <v>5.6894808863996388E-3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>
        <v>1</v>
      </c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>
        <v>1</v>
      </c>
    </row>
    <row r="20" spans="1:502" x14ac:dyDescent="0.2">
      <c r="A20" s="10">
        <v>6.0894981854765287E-3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>
        <v>1</v>
      </c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>
        <v>1</v>
      </c>
    </row>
    <row r="21" spans="1:502" x14ac:dyDescent="0.2">
      <c r="A21" s="10">
        <v>6.0968337210818742E-3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>
        <v>1</v>
      </c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>
        <v>1</v>
      </c>
    </row>
    <row r="22" spans="1:502" x14ac:dyDescent="0.2">
      <c r="A22" s="10">
        <v>6.1236778622230908E-3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>
        <v>1</v>
      </c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>
        <v>1</v>
      </c>
    </row>
    <row r="23" spans="1:502" x14ac:dyDescent="0.2">
      <c r="A23" s="10">
        <v>6.1830626879222127E-3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>
        <v>1</v>
      </c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>
        <v>1</v>
      </c>
    </row>
    <row r="24" spans="1:502" x14ac:dyDescent="0.2">
      <c r="A24" s="10">
        <v>6.2314646372550707E-3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>
        <v>1</v>
      </c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>
        <v>1</v>
      </c>
    </row>
    <row r="25" spans="1:502" x14ac:dyDescent="0.2">
      <c r="A25" s="10">
        <v>6.4022998625189809E-3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>
        <v>1</v>
      </c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>
        <v>1</v>
      </c>
    </row>
    <row r="26" spans="1:502" x14ac:dyDescent="0.2">
      <c r="A26" s="10">
        <v>6.6809501901303131E-3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>
        <v>1</v>
      </c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>
        <v>1</v>
      </c>
    </row>
    <row r="27" spans="1:502" x14ac:dyDescent="0.2">
      <c r="A27" s="10">
        <v>6.9846418218883297E-3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>
        <v>1</v>
      </c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>
        <v>1</v>
      </c>
    </row>
    <row r="28" spans="1:502" x14ac:dyDescent="0.2">
      <c r="A28" s="10">
        <v>6.9853943335599434E-3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>
        <v>1</v>
      </c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>
        <v>1</v>
      </c>
    </row>
    <row r="29" spans="1:502" x14ac:dyDescent="0.2">
      <c r="A29" s="10">
        <v>7.104822271143083E-3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>
        <v>1</v>
      </c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>
        <v>1</v>
      </c>
    </row>
    <row r="30" spans="1:502" x14ac:dyDescent="0.2">
      <c r="A30" s="10">
        <v>7.122927478601747E-3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>
        <v>1</v>
      </c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>
        <v>1</v>
      </c>
    </row>
    <row r="31" spans="1:502" x14ac:dyDescent="0.2">
      <c r="A31" s="10">
        <v>7.5674027417705113E-3</v>
      </c>
      <c r="B31" s="11"/>
      <c r="C31" s="11"/>
      <c r="D31" s="11"/>
      <c r="E31" s="11">
        <v>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>
        <v>1</v>
      </c>
    </row>
    <row r="32" spans="1:502" x14ac:dyDescent="0.2">
      <c r="A32" s="10">
        <v>7.5744597753509739E-3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>
        <v>1</v>
      </c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>
        <v>1</v>
      </c>
    </row>
    <row r="33" spans="1:502" x14ac:dyDescent="0.2">
      <c r="A33" s="10">
        <v>8.1646860874009814E-3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>
        <v>1</v>
      </c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>
        <v>1</v>
      </c>
    </row>
    <row r="34" spans="1:502" x14ac:dyDescent="0.2">
      <c r="A34" s="10">
        <v>8.2323950045068116E-3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>
        <v>1</v>
      </c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>
        <v>1</v>
      </c>
    </row>
    <row r="35" spans="1:502" x14ac:dyDescent="0.2">
      <c r="A35" s="10">
        <v>8.2369048191538244E-3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>
        <v>1</v>
      </c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>
        <v>1</v>
      </c>
    </row>
    <row r="36" spans="1:502" x14ac:dyDescent="0.2">
      <c r="A36" s="10">
        <v>8.2787176545751663E-3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>
        <v>1</v>
      </c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>
        <v>1</v>
      </c>
    </row>
    <row r="37" spans="1:502" x14ac:dyDescent="0.2">
      <c r="A37" s="10">
        <v>8.4778416879805561E-3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>
        <v>1</v>
      </c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>
        <v>1</v>
      </c>
    </row>
    <row r="38" spans="1:502" x14ac:dyDescent="0.2">
      <c r="A38" s="10">
        <v>8.608837707080777E-3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>
        <v>1</v>
      </c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>
        <v>1</v>
      </c>
    </row>
    <row r="39" spans="1:502" x14ac:dyDescent="0.2">
      <c r="A39" s="10">
        <v>8.9026507373723262E-3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>
        <v>1</v>
      </c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>
        <v>1</v>
      </c>
    </row>
    <row r="40" spans="1:502" x14ac:dyDescent="0.2">
      <c r="A40" s="10">
        <v>8.9951261475639862E-3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>
        <v>1</v>
      </c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>
        <v>1</v>
      </c>
    </row>
    <row r="41" spans="1:502" x14ac:dyDescent="0.2">
      <c r="A41" s="10">
        <v>8.9987107998447911E-3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>
        <v>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>
        <v>1</v>
      </c>
    </row>
    <row r="42" spans="1:502" x14ac:dyDescent="0.2">
      <c r="A42" s="10">
        <v>9.2203000191674028E-3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>
        <v>1</v>
      </c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>
        <v>1</v>
      </c>
    </row>
    <row r="43" spans="1:502" x14ac:dyDescent="0.2">
      <c r="A43" s="10">
        <v>9.2571357316119113E-3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>
        <v>1</v>
      </c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>
        <v>1</v>
      </c>
    </row>
    <row r="44" spans="1:502" x14ac:dyDescent="0.2">
      <c r="A44" s="10">
        <v>9.3765505743665205E-3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>
        <v>1</v>
      </c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>
        <v>1</v>
      </c>
    </row>
    <row r="45" spans="1:502" x14ac:dyDescent="0.2">
      <c r="A45" s="10">
        <v>9.3852159831467833E-3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>
        <v>1</v>
      </c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>
        <v>1</v>
      </c>
    </row>
    <row r="46" spans="1:502" x14ac:dyDescent="0.2">
      <c r="A46" s="10">
        <v>9.4338660389243021E-3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>
        <v>1</v>
      </c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>
        <v>1</v>
      </c>
    </row>
    <row r="47" spans="1:502" x14ac:dyDescent="0.2">
      <c r="A47" s="10">
        <v>9.4663645375068651E-3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>
        <v>1</v>
      </c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>
        <v>1</v>
      </c>
    </row>
    <row r="48" spans="1:502" x14ac:dyDescent="0.2">
      <c r="A48" s="10">
        <v>9.5407251152910908E-3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>
        <v>1</v>
      </c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>
        <v>1</v>
      </c>
    </row>
    <row r="49" spans="1:502" x14ac:dyDescent="0.2">
      <c r="A49" s="10">
        <v>9.663296723011059E-3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>
        <v>1</v>
      </c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>
        <v>1</v>
      </c>
    </row>
    <row r="50" spans="1:502" x14ac:dyDescent="0.2">
      <c r="A50" s="10">
        <v>9.7015492237544371E-3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>
        <v>1</v>
      </c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>
        <v>1</v>
      </c>
    </row>
    <row r="51" spans="1:502" x14ac:dyDescent="0.2">
      <c r="A51" s="10">
        <v>9.7609618762205391E-3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>
        <v>1</v>
      </c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>
        <v>1</v>
      </c>
    </row>
    <row r="52" spans="1:502" x14ac:dyDescent="0.2">
      <c r="A52" s="10">
        <v>9.7973016497717568E-3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>
        <v>1</v>
      </c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>
        <v>1</v>
      </c>
    </row>
    <row r="53" spans="1:502" x14ac:dyDescent="0.2">
      <c r="A53" s="10">
        <v>9.8440823280455027E-3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>
        <v>1</v>
      </c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>
        <v>1</v>
      </c>
    </row>
    <row r="54" spans="1:502" x14ac:dyDescent="0.2">
      <c r="A54" s="10">
        <v>1.0327812848463515E-2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>
        <v>1</v>
      </c>
      <c r="SE54" s="11"/>
      <c r="SF54" s="11"/>
      <c r="SG54" s="11"/>
      <c r="SH54" s="11">
        <v>1</v>
      </c>
    </row>
    <row r="55" spans="1:502" x14ac:dyDescent="0.2">
      <c r="A55" s="10">
        <v>1.0647603120051693E-2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>
        <v>1</v>
      </c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>
        <v>1</v>
      </c>
    </row>
    <row r="56" spans="1:502" x14ac:dyDescent="0.2">
      <c r="A56" s="10">
        <v>1.0679001899274888E-2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>
        <v>1</v>
      </c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>
        <v>1</v>
      </c>
    </row>
    <row r="57" spans="1:502" x14ac:dyDescent="0.2">
      <c r="A57" s="10">
        <v>1.0803799517791774E-2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>
        <v>1</v>
      </c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>
        <v>1</v>
      </c>
    </row>
    <row r="58" spans="1:502" x14ac:dyDescent="0.2">
      <c r="A58" s="10">
        <v>1.0893386704390752E-2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>
        <v>1</v>
      </c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>
        <v>1</v>
      </c>
    </row>
    <row r="59" spans="1:502" x14ac:dyDescent="0.2">
      <c r="A59" s="10">
        <v>1.1015471145676251E-2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>
        <v>1</v>
      </c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>
        <v>1</v>
      </c>
    </row>
    <row r="60" spans="1:502" x14ac:dyDescent="0.2">
      <c r="A60" s="10">
        <v>1.1038158496175954E-2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>
        <v>1</v>
      </c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>
        <v>1</v>
      </c>
    </row>
    <row r="61" spans="1:502" x14ac:dyDescent="0.2">
      <c r="A61" s="10">
        <v>1.1046064302977953E-2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>
        <v>1</v>
      </c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>
        <v>1</v>
      </c>
    </row>
    <row r="62" spans="1:502" x14ac:dyDescent="0.2">
      <c r="A62" s="10">
        <v>1.120779252522346E-2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>
        <v>1</v>
      </c>
      <c r="RZ62" s="11"/>
      <c r="SA62" s="11"/>
      <c r="SB62" s="11"/>
      <c r="SC62" s="11"/>
      <c r="SD62" s="11"/>
      <c r="SE62" s="11"/>
      <c r="SF62" s="11"/>
      <c r="SG62" s="11"/>
      <c r="SH62" s="11">
        <v>1</v>
      </c>
    </row>
    <row r="63" spans="1:502" x14ac:dyDescent="0.2">
      <c r="A63" s="10">
        <v>1.1220584188658301E-2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>
        <v>1</v>
      </c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>
        <v>1</v>
      </c>
    </row>
    <row r="64" spans="1:502" x14ac:dyDescent="0.2">
      <c r="A64" s="10">
        <v>1.1306010297760634E-2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>
        <v>1</v>
      </c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>
        <v>1</v>
      </c>
    </row>
    <row r="65" spans="1:502" x14ac:dyDescent="0.2">
      <c r="A65" s="10">
        <v>1.1344565255592104E-2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>
        <v>1</v>
      </c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>
        <v>1</v>
      </c>
    </row>
    <row r="66" spans="1:502" x14ac:dyDescent="0.2">
      <c r="A66" s="10">
        <v>1.1573493665377736E-2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>
        <v>1</v>
      </c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>
        <v>1</v>
      </c>
    </row>
    <row r="67" spans="1:502" x14ac:dyDescent="0.2">
      <c r="A67" s="10">
        <v>1.158281656052043E-2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>
        <v>1</v>
      </c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>
        <v>1</v>
      </c>
    </row>
    <row r="68" spans="1:502" x14ac:dyDescent="0.2">
      <c r="A68" s="10">
        <v>1.1593186822336499E-2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>
        <v>1</v>
      </c>
    </row>
    <row r="69" spans="1:502" x14ac:dyDescent="0.2">
      <c r="A69" s="10">
        <v>1.1974214549241994E-2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>
        <v>1</v>
      </c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>
        <v>1</v>
      </c>
    </row>
    <row r="70" spans="1:502" x14ac:dyDescent="0.2">
      <c r="A70" s="10">
        <v>1.2057183690435952E-2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>
        <v>1</v>
      </c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>
        <v>1</v>
      </c>
    </row>
    <row r="71" spans="1:502" x14ac:dyDescent="0.2">
      <c r="A71" s="10">
        <v>1.2081382374210836E-2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>
        <v>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>
        <v>1</v>
      </c>
    </row>
    <row r="72" spans="1:502" x14ac:dyDescent="0.2">
      <c r="A72" s="10">
        <v>1.230948164250132E-2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>
        <v>1</v>
      </c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>
        <v>1</v>
      </c>
    </row>
    <row r="73" spans="1:502" x14ac:dyDescent="0.2">
      <c r="A73" s="10">
        <v>1.2342235324769146E-2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>
        <v>1</v>
      </c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>
        <v>1</v>
      </c>
    </row>
    <row r="74" spans="1:502" x14ac:dyDescent="0.2">
      <c r="A74" s="10">
        <v>1.2490974385553385E-2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>
        <v>1</v>
      </c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>
        <v>1</v>
      </c>
    </row>
    <row r="75" spans="1:502" x14ac:dyDescent="0.2">
      <c r="A75" s="10">
        <v>1.261853666002122E-2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>
        <v>1</v>
      </c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>
        <v>1</v>
      </c>
    </row>
    <row r="76" spans="1:502" x14ac:dyDescent="0.2">
      <c r="A76" s="10">
        <v>1.2773027924315037E-2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>
        <v>1</v>
      </c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>
        <v>1</v>
      </c>
    </row>
    <row r="77" spans="1:502" x14ac:dyDescent="0.2">
      <c r="A77" s="10">
        <v>1.2804104479164115E-2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>
        <v>1</v>
      </c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>
        <v>1</v>
      </c>
    </row>
    <row r="78" spans="1:502" x14ac:dyDescent="0.2">
      <c r="A78" s="10">
        <v>1.2822230923374315E-2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>
        <v>1</v>
      </c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>
        <v>1</v>
      </c>
    </row>
    <row r="79" spans="1:502" x14ac:dyDescent="0.2">
      <c r="A79" s="10">
        <v>1.2924591938844196E-2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>
        <v>1</v>
      </c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>
        <v>1</v>
      </c>
    </row>
    <row r="80" spans="1:502" x14ac:dyDescent="0.2">
      <c r="A80" s="10">
        <v>1.2954611171104472E-2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>
        <v>1</v>
      </c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>
        <v>1</v>
      </c>
    </row>
    <row r="81" spans="1:502" x14ac:dyDescent="0.2">
      <c r="A81" s="10">
        <v>1.2996048697402125E-2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>
        <v>1</v>
      </c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>
        <v>1</v>
      </c>
    </row>
    <row r="82" spans="1:502" x14ac:dyDescent="0.2">
      <c r="A82" s="10">
        <v>1.2997893206916768E-2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>
        <v>1</v>
      </c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>
        <v>1</v>
      </c>
    </row>
    <row r="83" spans="1:502" x14ac:dyDescent="0.2">
      <c r="A83" s="10">
        <v>1.338071348431594E-2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>
        <v>1</v>
      </c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>
        <v>1</v>
      </c>
    </row>
    <row r="84" spans="1:502" x14ac:dyDescent="0.2">
      <c r="A84" s="10">
        <v>1.3628612526164941E-2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>
        <v>1</v>
      </c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>
        <v>1</v>
      </c>
    </row>
    <row r="85" spans="1:502" x14ac:dyDescent="0.2">
      <c r="A85" s="10">
        <v>1.3703679180612195E-2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>
        <v>1</v>
      </c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P85" s="11"/>
      <c r="PQ85" s="11"/>
      <c r="PR85" s="11"/>
      <c r="PS85" s="11"/>
      <c r="PT85" s="11"/>
      <c r="PU85" s="11"/>
      <c r="PV85" s="11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  <c r="RT85" s="11"/>
      <c r="RU85" s="11"/>
      <c r="RV85" s="11"/>
      <c r="RW85" s="11"/>
      <c r="RX85" s="11"/>
      <c r="RY85" s="11"/>
      <c r="RZ85" s="11"/>
      <c r="SA85" s="11"/>
      <c r="SB85" s="11"/>
      <c r="SC85" s="11"/>
      <c r="SD85" s="11"/>
      <c r="SE85" s="11"/>
      <c r="SF85" s="11"/>
      <c r="SG85" s="11"/>
      <c r="SH85" s="11">
        <v>1</v>
      </c>
    </row>
    <row r="86" spans="1:502" x14ac:dyDescent="0.2">
      <c r="A86" s="10">
        <v>1.403215003222899E-2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1"/>
      <c r="PT86" s="11"/>
      <c r="PU86" s="11"/>
      <c r="PV86" s="11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  <c r="RT86" s="11"/>
      <c r="RU86" s="11"/>
      <c r="RV86" s="11"/>
      <c r="RW86" s="11"/>
      <c r="RX86" s="11"/>
      <c r="RY86" s="11"/>
      <c r="RZ86" s="11">
        <v>1</v>
      </c>
      <c r="SA86" s="11"/>
      <c r="SB86" s="11"/>
      <c r="SC86" s="11"/>
      <c r="SD86" s="11"/>
      <c r="SE86" s="11"/>
      <c r="SF86" s="11"/>
      <c r="SG86" s="11"/>
      <c r="SH86" s="11">
        <v>1</v>
      </c>
    </row>
    <row r="87" spans="1:502" x14ac:dyDescent="0.2">
      <c r="A87" s="10">
        <v>1.4280780876441064E-2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>
        <v>1</v>
      </c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1"/>
      <c r="PT87" s="11"/>
      <c r="PU87" s="11"/>
      <c r="PV87" s="11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  <c r="RT87" s="11"/>
      <c r="RU87" s="11"/>
      <c r="RV87" s="11"/>
      <c r="RW87" s="11"/>
      <c r="RX87" s="11"/>
      <c r="RY87" s="11"/>
      <c r="RZ87" s="11"/>
      <c r="SA87" s="11"/>
      <c r="SB87" s="11"/>
      <c r="SC87" s="11"/>
      <c r="SD87" s="11"/>
      <c r="SE87" s="11"/>
      <c r="SF87" s="11"/>
      <c r="SG87" s="11"/>
      <c r="SH87" s="11">
        <v>1</v>
      </c>
    </row>
    <row r="88" spans="1:502" x14ac:dyDescent="0.2">
      <c r="A88" s="10">
        <v>1.4314069158101813E-2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>
        <v>1</v>
      </c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>
        <v>1</v>
      </c>
    </row>
    <row r="89" spans="1:502" x14ac:dyDescent="0.2">
      <c r="A89" s="10">
        <v>1.4354668491981696E-2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>
        <v>1</v>
      </c>
    </row>
    <row r="90" spans="1:502" x14ac:dyDescent="0.2">
      <c r="A90" s="10">
        <v>1.4441797752860131E-2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>
        <v>1</v>
      </c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>
        <v>1</v>
      </c>
    </row>
    <row r="91" spans="1:502" x14ac:dyDescent="0.2">
      <c r="A91" s="10">
        <v>1.4496219006180679E-2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>
        <v>1</v>
      </c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>
        <v>1</v>
      </c>
    </row>
    <row r="92" spans="1:502" x14ac:dyDescent="0.2">
      <c r="A92" s="10">
        <v>1.4527333551799344E-2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>
        <v>1</v>
      </c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>
        <v>1</v>
      </c>
    </row>
    <row r="93" spans="1:502" x14ac:dyDescent="0.2">
      <c r="A93" s="10">
        <v>1.4608784000522736E-2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>
        <v>1</v>
      </c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>
        <v>1</v>
      </c>
    </row>
    <row r="94" spans="1:502" x14ac:dyDescent="0.2">
      <c r="A94" s="10">
        <v>1.4744512669249085E-2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>
        <v>1</v>
      </c>
      <c r="PS94" s="11"/>
      <c r="PT94" s="11"/>
      <c r="PU94" s="11"/>
      <c r="PV94" s="11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  <c r="RT94" s="11"/>
      <c r="RU94" s="11"/>
      <c r="RV94" s="11"/>
      <c r="RW94" s="11"/>
      <c r="RX94" s="11"/>
      <c r="RY94" s="11"/>
      <c r="RZ94" s="11"/>
      <c r="SA94" s="11"/>
      <c r="SB94" s="11"/>
      <c r="SC94" s="11"/>
      <c r="SD94" s="11"/>
      <c r="SE94" s="11"/>
      <c r="SF94" s="11"/>
      <c r="SG94" s="11"/>
      <c r="SH94" s="11">
        <v>1</v>
      </c>
    </row>
    <row r="95" spans="1:502" x14ac:dyDescent="0.2">
      <c r="A95" s="10">
        <v>1.4903666936622454E-2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>
        <v>1</v>
      </c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  <c r="RT95" s="11"/>
      <c r="RU95" s="11"/>
      <c r="RV95" s="11"/>
      <c r="RW95" s="11"/>
      <c r="RX95" s="11"/>
      <c r="RY95" s="11"/>
      <c r="RZ95" s="11"/>
      <c r="SA95" s="11"/>
      <c r="SB95" s="11"/>
      <c r="SC95" s="11"/>
      <c r="SD95" s="11"/>
      <c r="SE95" s="11"/>
      <c r="SF95" s="11"/>
      <c r="SG95" s="11"/>
      <c r="SH95" s="11">
        <v>1</v>
      </c>
    </row>
    <row r="96" spans="1:502" x14ac:dyDescent="0.2">
      <c r="A96" s="10">
        <v>1.4954759680780468E-2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>
        <v>1</v>
      </c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1"/>
      <c r="PL96" s="11"/>
      <c r="PM96" s="11"/>
      <c r="PN96" s="11"/>
      <c r="PO96" s="11"/>
      <c r="PP96" s="11"/>
      <c r="PQ96" s="11"/>
      <c r="PR96" s="11"/>
      <c r="PS96" s="11"/>
      <c r="PT96" s="11"/>
      <c r="PU96" s="11"/>
      <c r="PV96" s="11"/>
      <c r="PW96" s="11"/>
      <c r="PX96" s="11"/>
      <c r="PY96" s="11"/>
      <c r="PZ96" s="11"/>
      <c r="QA96" s="11"/>
      <c r="QB96" s="11"/>
      <c r="QC96" s="11"/>
      <c r="QD96" s="11"/>
      <c r="QE96" s="11"/>
      <c r="QF96" s="11"/>
      <c r="QG96" s="11"/>
      <c r="QH96" s="11"/>
      <c r="QI96" s="11"/>
      <c r="QJ96" s="11"/>
      <c r="QK96" s="11"/>
      <c r="QL96" s="11"/>
      <c r="QM96" s="11"/>
      <c r="QN96" s="11"/>
      <c r="QO96" s="11"/>
      <c r="QP96" s="11"/>
      <c r="QQ96" s="11"/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  <c r="RT96" s="11"/>
      <c r="RU96" s="11"/>
      <c r="RV96" s="11"/>
      <c r="RW96" s="11"/>
      <c r="RX96" s="11"/>
      <c r="RY96" s="11"/>
      <c r="RZ96" s="11"/>
      <c r="SA96" s="11"/>
      <c r="SB96" s="11"/>
      <c r="SC96" s="11"/>
      <c r="SD96" s="11"/>
      <c r="SE96" s="11"/>
      <c r="SF96" s="11"/>
      <c r="SG96" s="11"/>
      <c r="SH96" s="11">
        <v>1</v>
      </c>
    </row>
    <row r="97" spans="1:502" x14ac:dyDescent="0.2">
      <c r="A97" s="10">
        <v>1.5102278419739932E-2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>
        <v>1</v>
      </c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1"/>
      <c r="PT97" s="11"/>
      <c r="PU97" s="11"/>
      <c r="PV97" s="11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  <c r="RT97" s="11"/>
      <c r="RU97" s="11"/>
      <c r="RV97" s="11"/>
      <c r="RW97" s="11"/>
      <c r="RX97" s="11"/>
      <c r="RY97" s="11"/>
      <c r="RZ97" s="11"/>
      <c r="SA97" s="11"/>
      <c r="SB97" s="11"/>
      <c r="SC97" s="11"/>
      <c r="SD97" s="11"/>
      <c r="SE97" s="11"/>
      <c r="SF97" s="11"/>
      <c r="SG97" s="11"/>
      <c r="SH97" s="11">
        <v>1</v>
      </c>
    </row>
    <row r="98" spans="1:502" x14ac:dyDescent="0.2">
      <c r="A98" s="10">
        <v>1.5125738371590026E-2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11"/>
      <c r="PP98" s="11"/>
      <c r="PQ98" s="11"/>
      <c r="PR98" s="11"/>
      <c r="PS98" s="11"/>
      <c r="PT98" s="11"/>
      <c r="PU98" s="11"/>
      <c r="PV98" s="11"/>
      <c r="PW98" s="11"/>
      <c r="PX98" s="11"/>
      <c r="PY98" s="11"/>
      <c r="PZ98" s="11"/>
      <c r="QA98" s="11"/>
      <c r="QB98" s="11"/>
      <c r="QC98" s="11"/>
      <c r="QD98" s="11"/>
      <c r="QE98" s="11">
        <v>1</v>
      </c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  <c r="RT98" s="11"/>
      <c r="RU98" s="11"/>
      <c r="RV98" s="11"/>
      <c r="RW98" s="11"/>
      <c r="RX98" s="11"/>
      <c r="RY98" s="11"/>
      <c r="RZ98" s="11"/>
      <c r="SA98" s="11"/>
      <c r="SB98" s="11"/>
      <c r="SC98" s="11"/>
      <c r="SD98" s="11"/>
      <c r="SE98" s="11"/>
      <c r="SF98" s="11"/>
      <c r="SG98" s="11"/>
      <c r="SH98" s="11">
        <v>1</v>
      </c>
    </row>
    <row r="99" spans="1:502" x14ac:dyDescent="0.2">
      <c r="A99" s="10">
        <v>1.5185398478618703E-2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>
        <v>1</v>
      </c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1"/>
      <c r="PT99" s="11"/>
      <c r="PU99" s="11"/>
      <c r="PV99" s="11"/>
      <c r="PW99" s="11"/>
      <c r="PX99" s="11"/>
      <c r="PY99" s="11"/>
      <c r="PZ99" s="11"/>
      <c r="QA99" s="11"/>
      <c r="QB99" s="11"/>
      <c r="QC99" s="11"/>
      <c r="QD99" s="11"/>
      <c r="QE99" s="11"/>
      <c r="QF99" s="11"/>
      <c r="QG99" s="11"/>
      <c r="QH99" s="11"/>
      <c r="QI99" s="11"/>
      <c r="QJ99" s="11"/>
      <c r="QK99" s="11"/>
      <c r="QL99" s="11"/>
      <c r="QM99" s="11"/>
      <c r="QN99" s="11"/>
      <c r="QO99" s="11"/>
      <c r="QP99" s="11"/>
      <c r="QQ99" s="11"/>
      <c r="QR99" s="11"/>
      <c r="QS99" s="11"/>
      <c r="QT99" s="11"/>
      <c r="QU99" s="11"/>
      <c r="QV99" s="11"/>
      <c r="QW99" s="11"/>
      <c r="QX99" s="11"/>
      <c r="QY99" s="11"/>
      <c r="QZ99" s="11"/>
      <c r="RA99" s="11"/>
      <c r="RB99" s="11"/>
      <c r="RC99" s="11"/>
      <c r="RD99" s="11"/>
      <c r="RE99" s="11"/>
      <c r="RF99" s="11"/>
      <c r="RG99" s="11"/>
      <c r="RH99" s="11"/>
      <c r="RI99" s="11"/>
      <c r="RJ99" s="11"/>
      <c r="RK99" s="11"/>
      <c r="RL99" s="11"/>
      <c r="RM99" s="11"/>
      <c r="RN99" s="11"/>
      <c r="RO99" s="11"/>
      <c r="RP99" s="11"/>
      <c r="RQ99" s="11"/>
      <c r="RR99" s="11"/>
      <c r="RS99" s="11"/>
      <c r="RT99" s="11"/>
      <c r="RU99" s="11"/>
      <c r="RV99" s="11"/>
      <c r="RW99" s="11"/>
      <c r="RX99" s="11"/>
      <c r="RY99" s="11"/>
      <c r="RZ99" s="11"/>
      <c r="SA99" s="11"/>
      <c r="SB99" s="11"/>
      <c r="SC99" s="11"/>
      <c r="SD99" s="11"/>
      <c r="SE99" s="11"/>
      <c r="SF99" s="11"/>
      <c r="SG99" s="11"/>
      <c r="SH99" s="11">
        <v>1</v>
      </c>
    </row>
    <row r="100" spans="1:502" x14ac:dyDescent="0.2">
      <c r="A100" s="10">
        <v>1.5209011206253405E-2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>
        <v>1</v>
      </c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11"/>
      <c r="PP100" s="11"/>
      <c r="PQ100" s="11"/>
      <c r="PR100" s="11"/>
      <c r="PS100" s="11"/>
      <c r="PT100" s="11"/>
      <c r="PU100" s="11"/>
      <c r="PV100" s="11"/>
      <c r="PW100" s="11"/>
      <c r="PX100" s="11"/>
      <c r="PY100" s="11"/>
      <c r="PZ100" s="11"/>
      <c r="QA100" s="11"/>
      <c r="QB100" s="11"/>
      <c r="QC100" s="11"/>
      <c r="QD100" s="11"/>
      <c r="QE100" s="11"/>
      <c r="QF100" s="11"/>
      <c r="QG100" s="11"/>
      <c r="QH100" s="11"/>
      <c r="QI100" s="11"/>
      <c r="QJ100" s="11"/>
      <c r="QK100" s="11"/>
      <c r="QL100" s="11"/>
      <c r="QM100" s="11"/>
      <c r="QN100" s="11"/>
      <c r="QO100" s="11"/>
      <c r="QP100" s="11"/>
      <c r="QQ100" s="11"/>
      <c r="QR100" s="11"/>
      <c r="QS100" s="11"/>
      <c r="QT100" s="11"/>
      <c r="QU100" s="11"/>
      <c r="QV100" s="11"/>
      <c r="QW100" s="11"/>
      <c r="QX100" s="11"/>
      <c r="QY100" s="11"/>
      <c r="QZ100" s="11"/>
      <c r="RA100" s="11"/>
      <c r="RB100" s="11"/>
      <c r="RC100" s="11"/>
      <c r="RD100" s="11"/>
      <c r="RE100" s="11"/>
      <c r="RF100" s="11"/>
      <c r="RG100" s="11"/>
      <c r="RH100" s="11"/>
      <c r="RI100" s="11"/>
      <c r="RJ100" s="11"/>
      <c r="RK100" s="11"/>
      <c r="RL100" s="11"/>
      <c r="RM100" s="11"/>
      <c r="RN100" s="11"/>
      <c r="RO100" s="11"/>
      <c r="RP100" s="11"/>
      <c r="RQ100" s="11"/>
      <c r="RR100" s="11"/>
      <c r="RS100" s="11"/>
      <c r="RT100" s="11"/>
      <c r="RU100" s="11"/>
      <c r="RV100" s="11"/>
      <c r="RW100" s="11"/>
      <c r="RX100" s="11"/>
      <c r="RY100" s="11"/>
      <c r="RZ100" s="11"/>
      <c r="SA100" s="11"/>
      <c r="SB100" s="11"/>
      <c r="SC100" s="11"/>
      <c r="SD100" s="11"/>
      <c r="SE100" s="11"/>
      <c r="SF100" s="11"/>
      <c r="SG100" s="11"/>
      <c r="SH100" s="11">
        <v>1</v>
      </c>
    </row>
    <row r="101" spans="1:502" x14ac:dyDescent="0.2">
      <c r="A101" s="10">
        <v>1.5227025541926573E-2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1"/>
      <c r="PT101" s="11"/>
      <c r="PU101" s="11"/>
      <c r="PV101" s="11"/>
      <c r="PW101" s="11"/>
      <c r="PX101" s="11"/>
      <c r="PY101" s="11"/>
      <c r="PZ101" s="11"/>
      <c r="QA101" s="11"/>
      <c r="QB101" s="11"/>
      <c r="QC101" s="11"/>
      <c r="QD101" s="11"/>
      <c r="QE101" s="11"/>
      <c r="QF101" s="11">
        <v>1</v>
      </c>
      <c r="QG101" s="11"/>
      <c r="QH101" s="11"/>
      <c r="QI101" s="11"/>
      <c r="QJ101" s="11"/>
      <c r="QK101" s="11"/>
      <c r="QL101" s="11"/>
      <c r="QM101" s="11"/>
      <c r="QN101" s="11"/>
      <c r="QO101" s="11"/>
      <c r="QP101" s="11"/>
      <c r="QQ101" s="11"/>
      <c r="QR101" s="11"/>
      <c r="QS101" s="11"/>
      <c r="QT101" s="11"/>
      <c r="QU101" s="11"/>
      <c r="QV101" s="11"/>
      <c r="QW101" s="11"/>
      <c r="QX101" s="11"/>
      <c r="QY101" s="11"/>
      <c r="QZ101" s="11"/>
      <c r="RA101" s="11"/>
      <c r="RB101" s="11"/>
      <c r="RC101" s="11"/>
      <c r="RD101" s="11"/>
      <c r="RE101" s="11"/>
      <c r="RF101" s="11"/>
      <c r="RG101" s="11"/>
      <c r="RH101" s="11"/>
      <c r="RI101" s="11"/>
      <c r="RJ101" s="11"/>
      <c r="RK101" s="11"/>
      <c r="RL101" s="11"/>
      <c r="RM101" s="11"/>
      <c r="RN101" s="11"/>
      <c r="RO101" s="11"/>
      <c r="RP101" s="11"/>
      <c r="RQ101" s="11"/>
      <c r="RR101" s="11"/>
      <c r="RS101" s="11"/>
      <c r="RT101" s="11"/>
      <c r="RU101" s="11"/>
      <c r="RV101" s="11"/>
      <c r="RW101" s="11"/>
      <c r="RX101" s="11"/>
      <c r="RY101" s="11"/>
      <c r="RZ101" s="11"/>
      <c r="SA101" s="11"/>
      <c r="SB101" s="11"/>
      <c r="SC101" s="11"/>
      <c r="SD101" s="11"/>
      <c r="SE101" s="11"/>
      <c r="SF101" s="11"/>
      <c r="SG101" s="11"/>
      <c r="SH101" s="11">
        <v>1</v>
      </c>
    </row>
    <row r="102" spans="1:502" x14ac:dyDescent="0.2">
      <c r="A102" s="10">
        <v>1.5388649468740401E-2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>
        <v>1</v>
      </c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>
        <v>1</v>
      </c>
    </row>
    <row r="103" spans="1:502" x14ac:dyDescent="0.2">
      <c r="A103" s="10">
        <v>1.5594843470794336E-2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>
        <v>1</v>
      </c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1"/>
      <c r="PT103" s="11"/>
      <c r="PU103" s="11"/>
      <c r="PV103" s="11"/>
      <c r="PW103" s="11"/>
      <c r="PX103" s="11"/>
      <c r="PY103" s="11"/>
      <c r="PZ103" s="11"/>
      <c r="QA103" s="11"/>
      <c r="QB103" s="11"/>
      <c r="QC103" s="11"/>
      <c r="QD103" s="11"/>
      <c r="QE103" s="11"/>
      <c r="QF103" s="11"/>
      <c r="QG103" s="11"/>
      <c r="QH103" s="11"/>
      <c r="QI103" s="11"/>
      <c r="QJ103" s="11"/>
      <c r="QK103" s="11"/>
      <c r="QL103" s="11"/>
      <c r="QM103" s="11"/>
      <c r="QN103" s="11"/>
      <c r="QO103" s="11"/>
      <c r="QP103" s="11"/>
      <c r="QQ103" s="11"/>
      <c r="QR103" s="11"/>
      <c r="QS103" s="11"/>
      <c r="QT103" s="11"/>
      <c r="QU103" s="11"/>
      <c r="QV103" s="11"/>
      <c r="QW103" s="11"/>
      <c r="QX103" s="11"/>
      <c r="QY103" s="11"/>
      <c r="QZ103" s="11"/>
      <c r="RA103" s="11"/>
      <c r="RB103" s="11"/>
      <c r="RC103" s="11"/>
      <c r="RD103" s="11"/>
      <c r="RE103" s="11"/>
      <c r="RF103" s="11"/>
      <c r="RG103" s="11"/>
      <c r="RH103" s="11"/>
      <c r="RI103" s="11"/>
      <c r="RJ103" s="11"/>
      <c r="RK103" s="11"/>
      <c r="RL103" s="11"/>
      <c r="RM103" s="11"/>
      <c r="RN103" s="11"/>
      <c r="RO103" s="11"/>
      <c r="RP103" s="11"/>
      <c r="RQ103" s="11"/>
      <c r="RR103" s="11"/>
      <c r="RS103" s="11"/>
      <c r="RT103" s="11"/>
      <c r="RU103" s="11"/>
      <c r="RV103" s="11"/>
      <c r="RW103" s="11"/>
      <c r="RX103" s="11"/>
      <c r="RY103" s="11"/>
      <c r="RZ103" s="11"/>
      <c r="SA103" s="11"/>
      <c r="SB103" s="11"/>
      <c r="SC103" s="11"/>
      <c r="SD103" s="11"/>
      <c r="SE103" s="11"/>
      <c r="SF103" s="11"/>
      <c r="SG103" s="11"/>
      <c r="SH103" s="11">
        <v>1</v>
      </c>
    </row>
    <row r="104" spans="1:502" x14ac:dyDescent="0.2">
      <c r="A104" s="10">
        <v>1.571349260976395E-2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>
        <v>1</v>
      </c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11"/>
      <c r="PP104" s="11"/>
      <c r="PQ104" s="11"/>
      <c r="PR104" s="11"/>
      <c r="PS104" s="11"/>
      <c r="PT104" s="11"/>
      <c r="PU104" s="11"/>
      <c r="PV104" s="11"/>
      <c r="PW104" s="11"/>
      <c r="PX104" s="11"/>
      <c r="PY104" s="11"/>
      <c r="PZ104" s="11"/>
      <c r="QA104" s="11"/>
      <c r="QB104" s="11"/>
      <c r="QC104" s="11"/>
      <c r="QD104" s="11"/>
      <c r="QE104" s="11"/>
      <c r="QF104" s="11"/>
      <c r="QG104" s="11"/>
      <c r="QH104" s="11"/>
      <c r="QI104" s="11"/>
      <c r="QJ104" s="11"/>
      <c r="QK104" s="11"/>
      <c r="QL104" s="11"/>
      <c r="QM104" s="11"/>
      <c r="QN104" s="11"/>
      <c r="QO104" s="11"/>
      <c r="QP104" s="11"/>
      <c r="QQ104" s="11"/>
      <c r="QR104" s="11"/>
      <c r="QS104" s="11"/>
      <c r="QT104" s="11"/>
      <c r="QU104" s="11"/>
      <c r="QV104" s="11"/>
      <c r="QW104" s="11"/>
      <c r="QX104" s="11"/>
      <c r="QY104" s="11"/>
      <c r="QZ104" s="11"/>
      <c r="RA104" s="11"/>
      <c r="RB104" s="11"/>
      <c r="RC104" s="11"/>
      <c r="RD104" s="11"/>
      <c r="RE104" s="11"/>
      <c r="RF104" s="11"/>
      <c r="RG104" s="11"/>
      <c r="RH104" s="11"/>
      <c r="RI104" s="11"/>
      <c r="RJ104" s="11"/>
      <c r="RK104" s="11"/>
      <c r="RL104" s="11"/>
      <c r="RM104" s="11"/>
      <c r="RN104" s="11"/>
      <c r="RO104" s="11"/>
      <c r="RP104" s="11"/>
      <c r="RQ104" s="11"/>
      <c r="RR104" s="11"/>
      <c r="RS104" s="11"/>
      <c r="RT104" s="11"/>
      <c r="RU104" s="11"/>
      <c r="RV104" s="11"/>
      <c r="RW104" s="11"/>
      <c r="RX104" s="11"/>
      <c r="RY104" s="11"/>
      <c r="RZ104" s="11"/>
      <c r="SA104" s="11"/>
      <c r="SB104" s="11"/>
      <c r="SC104" s="11"/>
      <c r="SD104" s="11"/>
      <c r="SE104" s="11"/>
      <c r="SF104" s="11"/>
      <c r="SG104" s="11"/>
      <c r="SH104" s="11">
        <v>1</v>
      </c>
    </row>
    <row r="105" spans="1:502" x14ac:dyDescent="0.2">
      <c r="A105" s="10">
        <v>1.5779413454164708E-2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>
        <v>1</v>
      </c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1"/>
      <c r="PT105" s="11"/>
      <c r="PU105" s="11"/>
      <c r="PV105" s="11"/>
      <c r="PW105" s="11"/>
      <c r="PX105" s="11"/>
      <c r="PY105" s="11"/>
      <c r="PZ105" s="11"/>
      <c r="QA105" s="11"/>
      <c r="QB105" s="11"/>
      <c r="QC105" s="11"/>
      <c r="QD105" s="11"/>
      <c r="QE105" s="11"/>
      <c r="QF105" s="11"/>
      <c r="QG105" s="11"/>
      <c r="QH105" s="11"/>
      <c r="QI105" s="11"/>
      <c r="QJ105" s="11"/>
      <c r="QK105" s="11"/>
      <c r="QL105" s="11"/>
      <c r="QM105" s="11"/>
      <c r="QN105" s="11"/>
      <c r="QO105" s="11"/>
      <c r="QP105" s="11"/>
      <c r="QQ105" s="11"/>
      <c r="QR105" s="11"/>
      <c r="QS105" s="11"/>
      <c r="QT105" s="11"/>
      <c r="QU105" s="11"/>
      <c r="QV105" s="11"/>
      <c r="QW105" s="11"/>
      <c r="QX105" s="11"/>
      <c r="QY105" s="11"/>
      <c r="QZ105" s="11"/>
      <c r="RA105" s="11"/>
      <c r="RB105" s="11"/>
      <c r="RC105" s="11"/>
      <c r="RD105" s="11"/>
      <c r="RE105" s="11"/>
      <c r="RF105" s="11"/>
      <c r="RG105" s="11"/>
      <c r="RH105" s="11"/>
      <c r="RI105" s="11"/>
      <c r="RJ105" s="11"/>
      <c r="RK105" s="11"/>
      <c r="RL105" s="11"/>
      <c r="RM105" s="11"/>
      <c r="RN105" s="11"/>
      <c r="RO105" s="11"/>
      <c r="RP105" s="11"/>
      <c r="RQ105" s="11"/>
      <c r="RR105" s="11"/>
      <c r="RS105" s="11"/>
      <c r="RT105" s="11"/>
      <c r="RU105" s="11"/>
      <c r="RV105" s="11"/>
      <c r="RW105" s="11"/>
      <c r="RX105" s="11"/>
      <c r="RY105" s="11"/>
      <c r="RZ105" s="11"/>
      <c r="SA105" s="11"/>
      <c r="SB105" s="11"/>
      <c r="SC105" s="11"/>
      <c r="SD105" s="11"/>
      <c r="SE105" s="11"/>
      <c r="SF105" s="11"/>
      <c r="SG105" s="11"/>
      <c r="SH105" s="11">
        <v>1</v>
      </c>
    </row>
    <row r="106" spans="1:502" x14ac:dyDescent="0.2">
      <c r="A106" s="10">
        <v>1.5824519828071204E-2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>
        <v>1</v>
      </c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>
        <v>1</v>
      </c>
    </row>
    <row r="107" spans="1:502" x14ac:dyDescent="0.2">
      <c r="A107" s="10">
        <v>1.5854976890138834E-2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>
        <v>1</v>
      </c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  <c r="OM107" s="11"/>
      <c r="ON107" s="11"/>
      <c r="OO107" s="11"/>
      <c r="OP107" s="11"/>
      <c r="OQ107" s="11"/>
      <c r="OR107" s="11"/>
      <c r="OS107" s="11"/>
      <c r="OT107" s="11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1"/>
      <c r="PT107" s="11"/>
      <c r="PU107" s="11"/>
      <c r="PV107" s="11"/>
      <c r="PW107" s="11"/>
      <c r="PX107" s="11"/>
      <c r="PY107" s="11"/>
      <c r="PZ107" s="11"/>
      <c r="QA107" s="11"/>
      <c r="QB107" s="11"/>
      <c r="QC107" s="11"/>
      <c r="QD107" s="11"/>
      <c r="QE107" s="11"/>
      <c r="QF107" s="11"/>
      <c r="QG107" s="11"/>
      <c r="QH107" s="11"/>
      <c r="QI107" s="11"/>
      <c r="QJ107" s="11"/>
      <c r="QK107" s="11"/>
      <c r="QL107" s="11"/>
      <c r="QM107" s="11"/>
      <c r="QN107" s="11"/>
      <c r="QO107" s="11"/>
      <c r="QP107" s="11"/>
      <c r="QQ107" s="11"/>
      <c r="QR107" s="11"/>
      <c r="QS107" s="11"/>
      <c r="QT107" s="11"/>
      <c r="QU107" s="11"/>
      <c r="QV107" s="11"/>
      <c r="QW107" s="11"/>
      <c r="QX107" s="11"/>
      <c r="QY107" s="11"/>
      <c r="QZ107" s="11"/>
      <c r="RA107" s="11"/>
      <c r="RB107" s="11"/>
      <c r="RC107" s="11"/>
      <c r="RD107" s="11"/>
      <c r="RE107" s="11"/>
      <c r="RF107" s="11"/>
      <c r="RG107" s="11"/>
      <c r="RH107" s="11"/>
      <c r="RI107" s="11"/>
      <c r="RJ107" s="11"/>
      <c r="RK107" s="11"/>
      <c r="RL107" s="11"/>
      <c r="RM107" s="11"/>
      <c r="RN107" s="11"/>
      <c r="RO107" s="11"/>
      <c r="RP107" s="11"/>
      <c r="RQ107" s="11"/>
      <c r="RR107" s="11"/>
      <c r="RS107" s="11"/>
      <c r="RT107" s="11"/>
      <c r="RU107" s="11"/>
      <c r="RV107" s="11"/>
      <c r="RW107" s="11"/>
      <c r="RX107" s="11"/>
      <c r="RY107" s="11"/>
      <c r="RZ107" s="11"/>
      <c r="SA107" s="11"/>
      <c r="SB107" s="11"/>
      <c r="SC107" s="11"/>
      <c r="SD107" s="11"/>
      <c r="SE107" s="11"/>
      <c r="SF107" s="11"/>
      <c r="SG107" s="11"/>
      <c r="SH107" s="11">
        <v>1</v>
      </c>
    </row>
    <row r="108" spans="1:502" x14ac:dyDescent="0.2">
      <c r="A108" s="10">
        <v>1.6192878702139306E-2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>
        <v>1</v>
      </c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11"/>
      <c r="PP108" s="11"/>
      <c r="PQ108" s="11"/>
      <c r="PR108" s="11"/>
      <c r="PS108" s="11"/>
      <c r="PT108" s="11"/>
      <c r="PU108" s="11"/>
      <c r="PV108" s="11"/>
      <c r="PW108" s="11"/>
      <c r="PX108" s="11"/>
      <c r="PY108" s="11"/>
      <c r="PZ108" s="11"/>
      <c r="QA108" s="11"/>
      <c r="QB108" s="11"/>
      <c r="QC108" s="11"/>
      <c r="QD108" s="11"/>
      <c r="QE108" s="11"/>
      <c r="QF108" s="11"/>
      <c r="QG108" s="11"/>
      <c r="QH108" s="11"/>
      <c r="QI108" s="11"/>
      <c r="QJ108" s="11"/>
      <c r="QK108" s="11"/>
      <c r="QL108" s="11"/>
      <c r="QM108" s="11"/>
      <c r="QN108" s="11"/>
      <c r="QO108" s="11"/>
      <c r="QP108" s="11"/>
      <c r="QQ108" s="11"/>
      <c r="QR108" s="11"/>
      <c r="QS108" s="11"/>
      <c r="QT108" s="11"/>
      <c r="QU108" s="11"/>
      <c r="QV108" s="11"/>
      <c r="QW108" s="11"/>
      <c r="QX108" s="11"/>
      <c r="QY108" s="11"/>
      <c r="QZ108" s="11"/>
      <c r="RA108" s="11"/>
      <c r="RB108" s="11"/>
      <c r="RC108" s="11"/>
      <c r="RD108" s="11"/>
      <c r="RE108" s="11"/>
      <c r="RF108" s="11"/>
      <c r="RG108" s="11"/>
      <c r="RH108" s="11"/>
      <c r="RI108" s="11"/>
      <c r="RJ108" s="11"/>
      <c r="RK108" s="11"/>
      <c r="RL108" s="11"/>
      <c r="RM108" s="11"/>
      <c r="RN108" s="11"/>
      <c r="RO108" s="11"/>
      <c r="RP108" s="11"/>
      <c r="RQ108" s="11"/>
      <c r="RR108" s="11"/>
      <c r="RS108" s="11"/>
      <c r="RT108" s="11"/>
      <c r="RU108" s="11"/>
      <c r="RV108" s="11"/>
      <c r="RW108" s="11"/>
      <c r="RX108" s="11"/>
      <c r="RY108" s="11"/>
      <c r="RZ108" s="11"/>
      <c r="SA108" s="11"/>
      <c r="SB108" s="11"/>
      <c r="SC108" s="11"/>
      <c r="SD108" s="11"/>
      <c r="SE108" s="11"/>
      <c r="SF108" s="11"/>
      <c r="SG108" s="11"/>
      <c r="SH108" s="11">
        <v>1</v>
      </c>
    </row>
    <row r="109" spans="1:502" x14ac:dyDescent="0.2">
      <c r="A109" s="10">
        <v>1.6214990547793989E-2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>
        <v>1</v>
      </c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1"/>
      <c r="PT109" s="11"/>
      <c r="PU109" s="11"/>
      <c r="PV109" s="11"/>
      <c r="PW109" s="11"/>
      <c r="PX109" s="11"/>
      <c r="PY109" s="11"/>
      <c r="PZ109" s="11"/>
      <c r="QA109" s="11"/>
      <c r="QB109" s="11"/>
      <c r="QC109" s="11"/>
      <c r="QD109" s="11"/>
      <c r="QE109" s="11"/>
      <c r="QF109" s="11"/>
      <c r="QG109" s="11"/>
      <c r="QH109" s="11"/>
      <c r="QI109" s="11"/>
      <c r="QJ109" s="11"/>
      <c r="QK109" s="11"/>
      <c r="QL109" s="11"/>
      <c r="QM109" s="11"/>
      <c r="QN109" s="11"/>
      <c r="QO109" s="11"/>
      <c r="QP109" s="11"/>
      <c r="QQ109" s="11"/>
      <c r="QR109" s="11"/>
      <c r="QS109" s="11"/>
      <c r="QT109" s="11"/>
      <c r="QU109" s="11"/>
      <c r="QV109" s="11"/>
      <c r="QW109" s="11"/>
      <c r="QX109" s="11"/>
      <c r="QY109" s="11"/>
      <c r="QZ109" s="11"/>
      <c r="RA109" s="11"/>
      <c r="RB109" s="11"/>
      <c r="RC109" s="11"/>
      <c r="RD109" s="11"/>
      <c r="RE109" s="11"/>
      <c r="RF109" s="11"/>
      <c r="RG109" s="11"/>
      <c r="RH109" s="11"/>
      <c r="RI109" s="11"/>
      <c r="RJ109" s="11"/>
      <c r="RK109" s="11"/>
      <c r="RL109" s="11"/>
      <c r="RM109" s="11"/>
      <c r="RN109" s="11"/>
      <c r="RO109" s="11"/>
      <c r="RP109" s="11"/>
      <c r="RQ109" s="11"/>
      <c r="RR109" s="11"/>
      <c r="RS109" s="11"/>
      <c r="RT109" s="11"/>
      <c r="RU109" s="11"/>
      <c r="RV109" s="11"/>
      <c r="RW109" s="11"/>
      <c r="RX109" s="11"/>
      <c r="RY109" s="11"/>
      <c r="RZ109" s="11"/>
      <c r="SA109" s="11"/>
      <c r="SB109" s="11"/>
      <c r="SC109" s="11"/>
      <c r="SD109" s="11"/>
      <c r="SE109" s="11"/>
      <c r="SF109" s="11"/>
      <c r="SG109" s="11"/>
      <c r="SH109" s="11">
        <v>1</v>
      </c>
    </row>
    <row r="110" spans="1:502" x14ac:dyDescent="0.2">
      <c r="A110" s="10">
        <v>1.6381217462781626E-2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>
        <v>1</v>
      </c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  <c r="OM110" s="11"/>
      <c r="ON110" s="11"/>
      <c r="OO110" s="11"/>
      <c r="OP110" s="11"/>
      <c r="OQ110" s="11"/>
      <c r="OR110" s="11"/>
      <c r="OS110" s="11"/>
      <c r="OT110" s="11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/>
      <c r="PR110" s="11"/>
      <c r="PS110" s="11"/>
      <c r="PT110" s="11"/>
      <c r="PU110" s="11"/>
      <c r="PV110" s="11"/>
      <c r="PW110" s="11"/>
      <c r="PX110" s="11"/>
      <c r="PY110" s="11"/>
      <c r="PZ110" s="11"/>
      <c r="QA110" s="11"/>
      <c r="QB110" s="11"/>
      <c r="QC110" s="11"/>
      <c r="QD110" s="11"/>
      <c r="QE110" s="11"/>
      <c r="QF110" s="11"/>
      <c r="QG110" s="11"/>
      <c r="QH110" s="11"/>
      <c r="QI110" s="11"/>
      <c r="QJ110" s="11"/>
      <c r="QK110" s="11"/>
      <c r="QL110" s="11"/>
      <c r="QM110" s="11"/>
      <c r="QN110" s="11"/>
      <c r="QO110" s="11"/>
      <c r="QP110" s="11"/>
      <c r="QQ110" s="11"/>
      <c r="QR110" s="11"/>
      <c r="QS110" s="11"/>
      <c r="QT110" s="11"/>
      <c r="QU110" s="11"/>
      <c r="QV110" s="11"/>
      <c r="QW110" s="11"/>
      <c r="QX110" s="11"/>
      <c r="QY110" s="11"/>
      <c r="QZ110" s="11"/>
      <c r="RA110" s="11"/>
      <c r="RB110" s="11"/>
      <c r="RC110" s="11"/>
      <c r="RD110" s="11"/>
      <c r="RE110" s="11"/>
      <c r="RF110" s="11"/>
      <c r="RG110" s="11"/>
      <c r="RH110" s="11"/>
      <c r="RI110" s="11"/>
      <c r="RJ110" s="11"/>
      <c r="RK110" s="11"/>
      <c r="RL110" s="11"/>
      <c r="RM110" s="11"/>
      <c r="RN110" s="11"/>
      <c r="RO110" s="11"/>
      <c r="RP110" s="11"/>
      <c r="RQ110" s="11"/>
      <c r="RR110" s="11"/>
      <c r="RS110" s="11"/>
      <c r="RT110" s="11"/>
      <c r="RU110" s="11"/>
      <c r="RV110" s="11"/>
      <c r="RW110" s="11"/>
      <c r="RX110" s="11"/>
      <c r="RY110" s="11"/>
      <c r="RZ110" s="11"/>
      <c r="SA110" s="11"/>
      <c r="SB110" s="11"/>
      <c r="SC110" s="11"/>
      <c r="SD110" s="11"/>
      <c r="SE110" s="11"/>
      <c r="SF110" s="11"/>
      <c r="SG110" s="11"/>
      <c r="SH110" s="11">
        <v>1</v>
      </c>
    </row>
    <row r="111" spans="1:502" x14ac:dyDescent="0.2">
      <c r="A111" s="10">
        <v>1.639644263199368E-2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>
        <v>1</v>
      </c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1"/>
      <c r="PT111" s="11"/>
      <c r="PU111" s="11"/>
      <c r="PV111" s="11"/>
      <c r="PW111" s="11"/>
      <c r="PX111" s="11"/>
      <c r="PY111" s="11"/>
      <c r="PZ111" s="11"/>
      <c r="QA111" s="11"/>
      <c r="QB111" s="11"/>
      <c r="QC111" s="11"/>
      <c r="QD111" s="11"/>
      <c r="QE111" s="11"/>
      <c r="QF111" s="11"/>
      <c r="QG111" s="11"/>
      <c r="QH111" s="11"/>
      <c r="QI111" s="11"/>
      <c r="QJ111" s="11"/>
      <c r="QK111" s="11"/>
      <c r="QL111" s="11"/>
      <c r="QM111" s="11"/>
      <c r="QN111" s="11"/>
      <c r="QO111" s="11"/>
      <c r="QP111" s="11"/>
      <c r="QQ111" s="11"/>
      <c r="QR111" s="11"/>
      <c r="QS111" s="11"/>
      <c r="QT111" s="11"/>
      <c r="QU111" s="11"/>
      <c r="QV111" s="11"/>
      <c r="QW111" s="11"/>
      <c r="QX111" s="11"/>
      <c r="QY111" s="11"/>
      <c r="QZ111" s="11"/>
      <c r="RA111" s="11"/>
      <c r="RB111" s="11"/>
      <c r="RC111" s="11"/>
      <c r="RD111" s="11"/>
      <c r="RE111" s="11"/>
      <c r="RF111" s="11"/>
      <c r="RG111" s="11"/>
      <c r="RH111" s="11"/>
      <c r="RI111" s="11"/>
      <c r="RJ111" s="11"/>
      <c r="RK111" s="11"/>
      <c r="RL111" s="11"/>
      <c r="RM111" s="11"/>
      <c r="RN111" s="11"/>
      <c r="RO111" s="11"/>
      <c r="RP111" s="11"/>
      <c r="RQ111" s="11"/>
      <c r="RR111" s="11"/>
      <c r="RS111" s="11"/>
      <c r="RT111" s="11"/>
      <c r="RU111" s="11"/>
      <c r="RV111" s="11"/>
      <c r="RW111" s="11"/>
      <c r="RX111" s="11"/>
      <c r="RY111" s="11"/>
      <c r="RZ111" s="11"/>
      <c r="SA111" s="11"/>
      <c r="SB111" s="11"/>
      <c r="SC111" s="11"/>
      <c r="SD111" s="11"/>
      <c r="SE111" s="11"/>
      <c r="SF111" s="11"/>
      <c r="SG111" s="11"/>
      <c r="SH111" s="11">
        <v>1</v>
      </c>
    </row>
    <row r="112" spans="1:502" x14ac:dyDescent="0.2">
      <c r="A112" s="10">
        <v>1.6491482749597542E-2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>
        <v>1</v>
      </c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11"/>
      <c r="OP112" s="11"/>
      <c r="OQ112" s="11"/>
      <c r="OR112" s="11"/>
      <c r="OS112" s="11"/>
      <c r="OT112" s="11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11"/>
      <c r="PP112" s="11"/>
      <c r="PQ112" s="11"/>
      <c r="PR112" s="11"/>
      <c r="PS112" s="11"/>
      <c r="PT112" s="11"/>
      <c r="PU112" s="11"/>
      <c r="PV112" s="11"/>
      <c r="PW112" s="11"/>
      <c r="PX112" s="11"/>
      <c r="PY112" s="11"/>
      <c r="PZ112" s="11"/>
      <c r="QA112" s="11"/>
      <c r="QB112" s="11"/>
      <c r="QC112" s="11"/>
      <c r="QD112" s="11"/>
      <c r="QE112" s="11"/>
      <c r="QF112" s="11"/>
      <c r="QG112" s="11"/>
      <c r="QH112" s="11"/>
      <c r="QI112" s="11"/>
      <c r="QJ112" s="11"/>
      <c r="QK112" s="11"/>
      <c r="QL112" s="11"/>
      <c r="QM112" s="11"/>
      <c r="QN112" s="11"/>
      <c r="QO112" s="11"/>
      <c r="QP112" s="11"/>
      <c r="QQ112" s="11"/>
      <c r="QR112" s="11"/>
      <c r="QS112" s="11"/>
      <c r="QT112" s="11"/>
      <c r="QU112" s="11"/>
      <c r="QV112" s="11"/>
      <c r="QW112" s="11"/>
      <c r="QX112" s="11"/>
      <c r="QY112" s="11"/>
      <c r="QZ112" s="11"/>
      <c r="RA112" s="11"/>
      <c r="RB112" s="11"/>
      <c r="RC112" s="11"/>
      <c r="RD112" s="11"/>
      <c r="RE112" s="11"/>
      <c r="RF112" s="11"/>
      <c r="RG112" s="11"/>
      <c r="RH112" s="11"/>
      <c r="RI112" s="11"/>
      <c r="RJ112" s="11"/>
      <c r="RK112" s="11"/>
      <c r="RL112" s="11"/>
      <c r="RM112" s="11"/>
      <c r="RN112" s="11"/>
      <c r="RO112" s="11"/>
      <c r="RP112" s="11"/>
      <c r="RQ112" s="11"/>
      <c r="RR112" s="11"/>
      <c r="RS112" s="11"/>
      <c r="RT112" s="11"/>
      <c r="RU112" s="11"/>
      <c r="RV112" s="11"/>
      <c r="RW112" s="11"/>
      <c r="RX112" s="11"/>
      <c r="RY112" s="11"/>
      <c r="RZ112" s="11"/>
      <c r="SA112" s="11"/>
      <c r="SB112" s="11"/>
      <c r="SC112" s="11"/>
      <c r="SD112" s="11"/>
      <c r="SE112" s="11"/>
      <c r="SF112" s="11"/>
      <c r="SG112" s="11"/>
      <c r="SH112" s="11">
        <v>1</v>
      </c>
    </row>
    <row r="113" spans="1:502" x14ac:dyDescent="0.2">
      <c r="A113" s="10">
        <v>1.6781616799813211E-2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11"/>
      <c r="OP113" s="11"/>
      <c r="OQ113" s="11"/>
      <c r="OR113" s="11"/>
      <c r="OS113" s="11"/>
      <c r="OT113" s="11"/>
      <c r="OU113" s="11"/>
      <c r="OV113" s="11"/>
      <c r="OW113" s="11"/>
      <c r="OX113" s="11"/>
      <c r="OY113" s="11"/>
      <c r="OZ113" s="11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/>
      <c r="PO113" s="11"/>
      <c r="PP113" s="11"/>
      <c r="PQ113" s="11"/>
      <c r="PR113" s="11"/>
      <c r="PS113" s="11"/>
      <c r="PT113" s="11"/>
      <c r="PU113" s="11"/>
      <c r="PV113" s="11"/>
      <c r="PW113" s="11"/>
      <c r="PX113" s="11"/>
      <c r="PY113" s="11"/>
      <c r="PZ113" s="11"/>
      <c r="QA113" s="11"/>
      <c r="QB113" s="11"/>
      <c r="QC113" s="11"/>
      <c r="QD113" s="11"/>
      <c r="QE113" s="11"/>
      <c r="QF113" s="11"/>
      <c r="QG113" s="11"/>
      <c r="QH113" s="11"/>
      <c r="QI113" s="11"/>
      <c r="QJ113" s="11"/>
      <c r="QK113" s="11"/>
      <c r="QL113" s="11"/>
      <c r="QM113" s="11"/>
      <c r="QN113" s="11"/>
      <c r="QO113" s="11"/>
      <c r="QP113" s="11"/>
      <c r="QQ113" s="11"/>
      <c r="QR113" s="11"/>
      <c r="QS113" s="11"/>
      <c r="QT113" s="11"/>
      <c r="QU113" s="11"/>
      <c r="QV113" s="11"/>
      <c r="QW113" s="11"/>
      <c r="QX113" s="11">
        <v>1</v>
      </c>
      <c r="QY113" s="11"/>
      <c r="QZ113" s="11"/>
      <c r="RA113" s="11"/>
      <c r="RB113" s="11"/>
      <c r="RC113" s="11"/>
      <c r="RD113" s="11"/>
      <c r="RE113" s="11"/>
      <c r="RF113" s="11"/>
      <c r="RG113" s="11"/>
      <c r="RH113" s="11"/>
      <c r="RI113" s="11"/>
      <c r="RJ113" s="11"/>
      <c r="RK113" s="11"/>
      <c r="RL113" s="11"/>
      <c r="RM113" s="11"/>
      <c r="RN113" s="11"/>
      <c r="RO113" s="11"/>
      <c r="RP113" s="11"/>
      <c r="RQ113" s="11"/>
      <c r="RR113" s="11"/>
      <c r="RS113" s="11"/>
      <c r="RT113" s="11"/>
      <c r="RU113" s="11"/>
      <c r="RV113" s="11"/>
      <c r="RW113" s="11"/>
      <c r="RX113" s="11"/>
      <c r="RY113" s="11"/>
      <c r="RZ113" s="11"/>
      <c r="SA113" s="11"/>
      <c r="SB113" s="11"/>
      <c r="SC113" s="11"/>
      <c r="SD113" s="11"/>
      <c r="SE113" s="11"/>
      <c r="SF113" s="11"/>
      <c r="SG113" s="11"/>
      <c r="SH113" s="11">
        <v>1</v>
      </c>
    </row>
    <row r="114" spans="1:502" x14ac:dyDescent="0.2">
      <c r="A114" s="10">
        <v>1.6921601928903567E-2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11"/>
      <c r="OP114" s="11"/>
      <c r="OQ114" s="11"/>
      <c r="OR114" s="11"/>
      <c r="OS114" s="11"/>
      <c r="OT114" s="11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1"/>
      <c r="PL114" s="11"/>
      <c r="PM114" s="11"/>
      <c r="PN114" s="11"/>
      <c r="PO114" s="11"/>
      <c r="PP114" s="11"/>
      <c r="PQ114" s="11"/>
      <c r="PR114" s="11"/>
      <c r="PS114" s="11"/>
      <c r="PT114" s="11"/>
      <c r="PU114" s="11"/>
      <c r="PV114" s="11"/>
      <c r="PW114" s="11"/>
      <c r="PX114" s="11"/>
      <c r="PY114" s="11"/>
      <c r="PZ114" s="11"/>
      <c r="QA114" s="11"/>
      <c r="QB114" s="11"/>
      <c r="QC114" s="11"/>
      <c r="QD114" s="11"/>
      <c r="QE114" s="11"/>
      <c r="QF114" s="11"/>
      <c r="QG114" s="11"/>
      <c r="QH114" s="11"/>
      <c r="QI114" s="11"/>
      <c r="QJ114" s="11"/>
      <c r="QK114" s="11"/>
      <c r="QL114" s="11"/>
      <c r="QM114" s="11"/>
      <c r="QN114" s="11"/>
      <c r="QO114" s="11"/>
      <c r="QP114" s="11"/>
      <c r="QQ114" s="11"/>
      <c r="QR114" s="11"/>
      <c r="QS114" s="11"/>
      <c r="QT114" s="11"/>
      <c r="QU114" s="11"/>
      <c r="QV114" s="11"/>
      <c r="QW114" s="11"/>
      <c r="QX114" s="11"/>
      <c r="QY114" s="11"/>
      <c r="QZ114" s="11"/>
      <c r="RA114" s="11"/>
      <c r="RB114" s="11"/>
      <c r="RC114" s="11"/>
      <c r="RD114" s="11"/>
      <c r="RE114" s="11"/>
      <c r="RF114" s="11"/>
      <c r="RG114" s="11"/>
      <c r="RH114" s="11"/>
      <c r="RI114" s="11"/>
      <c r="RJ114" s="11"/>
      <c r="RK114" s="11"/>
      <c r="RL114" s="11"/>
      <c r="RM114" s="11"/>
      <c r="RN114" s="11"/>
      <c r="RO114" s="11"/>
      <c r="RP114" s="11">
        <v>1</v>
      </c>
      <c r="RQ114" s="11"/>
      <c r="RR114" s="11"/>
      <c r="RS114" s="11"/>
      <c r="RT114" s="11"/>
      <c r="RU114" s="11"/>
      <c r="RV114" s="11"/>
      <c r="RW114" s="11"/>
      <c r="RX114" s="11"/>
      <c r="RY114" s="11"/>
      <c r="RZ114" s="11"/>
      <c r="SA114" s="11"/>
      <c r="SB114" s="11"/>
      <c r="SC114" s="11"/>
      <c r="SD114" s="11"/>
      <c r="SE114" s="11"/>
      <c r="SF114" s="11"/>
      <c r="SG114" s="11"/>
      <c r="SH114" s="11">
        <v>1</v>
      </c>
    </row>
    <row r="115" spans="1:502" x14ac:dyDescent="0.2">
      <c r="A115" s="10">
        <v>1.7058947958029459E-2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>
        <v>1</v>
      </c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1"/>
      <c r="PT115" s="11"/>
      <c r="PU115" s="11"/>
      <c r="PV115" s="11"/>
      <c r="PW115" s="11"/>
      <c r="PX115" s="11"/>
      <c r="PY115" s="11"/>
      <c r="PZ115" s="11"/>
      <c r="QA115" s="11"/>
      <c r="QB115" s="11"/>
      <c r="QC115" s="11"/>
      <c r="QD115" s="11"/>
      <c r="QE115" s="11"/>
      <c r="QF115" s="11"/>
      <c r="QG115" s="11"/>
      <c r="QH115" s="11"/>
      <c r="QI115" s="11"/>
      <c r="QJ115" s="11"/>
      <c r="QK115" s="11"/>
      <c r="QL115" s="11"/>
      <c r="QM115" s="11"/>
      <c r="QN115" s="11"/>
      <c r="QO115" s="11"/>
      <c r="QP115" s="11"/>
      <c r="QQ115" s="11"/>
      <c r="QR115" s="11"/>
      <c r="QS115" s="11"/>
      <c r="QT115" s="11"/>
      <c r="QU115" s="11"/>
      <c r="QV115" s="11"/>
      <c r="QW115" s="11"/>
      <c r="QX115" s="11"/>
      <c r="QY115" s="11"/>
      <c r="QZ115" s="11"/>
      <c r="RA115" s="11"/>
      <c r="RB115" s="11"/>
      <c r="RC115" s="11"/>
      <c r="RD115" s="11"/>
      <c r="RE115" s="11"/>
      <c r="RF115" s="11"/>
      <c r="RG115" s="11"/>
      <c r="RH115" s="11"/>
      <c r="RI115" s="11"/>
      <c r="RJ115" s="11"/>
      <c r="RK115" s="11"/>
      <c r="RL115" s="11"/>
      <c r="RM115" s="11"/>
      <c r="RN115" s="11"/>
      <c r="RO115" s="11"/>
      <c r="RP115" s="11"/>
      <c r="RQ115" s="11"/>
      <c r="RR115" s="11"/>
      <c r="RS115" s="11"/>
      <c r="RT115" s="11"/>
      <c r="RU115" s="11"/>
      <c r="RV115" s="11"/>
      <c r="RW115" s="11"/>
      <c r="RX115" s="11"/>
      <c r="RY115" s="11"/>
      <c r="RZ115" s="11"/>
      <c r="SA115" s="11"/>
      <c r="SB115" s="11"/>
      <c r="SC115" s="11"/>
      <c r="SD115" s="11"/>
      <c r="SE115" s="11"/>
      <c r="SF115" s="11"/>
      <c r="SG115" s="11"/>
      <c r="SH115" s="11">
        <v>1</v>
      </c>
    </row>
    <row r="116" spans="1:502" x14ac:dyDescent="0.2">
      <c r="A116" s="10">
        <v>1.7102632115870948E-2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  <c r="OM116" s="11"/>
      <c r="ON116" s="11"/>
      <c r="OO116" s="11"/>
      <c r="OP116" s="11"/>
      <c r="OQ116" s="11"/>
      <c r="OR116" s="11"/>
      <c r="OS116" s="11"/>
      <c r="OT116" s="11"/>
      <c r="OU116" s="11"/>
      <c r="OV116" s="11"/>
      <c r="OW116" s="11"/>
      <c r="OX116" s="11"/>
      <c r="OY116" s="11"/>
      <c r="OZ116" s="11"/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11"/>
      <c r="PP116" s="11"/>
      <c r="PQ116" s="11"/>
      <c r="PR116" s="11"/>
      <c r="PS116" s="11"/>
      <c r="PT116" s="11"/>
      <c r="PU116" s="11"/>
      <c r="PV116" s="11"/>
      <c r="PW116" s="11"/>
      <c r="PX116" s="11"/>
      <c r="PY116" s="11"/>
      <c r="PZ116" s="11"/>
      <c r="QA116" s="11"/>
      <c r="QB116" s="11"/>
      <c r="QC116" s="11"/>
      <c r="QD116" s="11"/>
      <c r="QE116" s="11"/>
      <c r="QF116" s="11"/>
      <c r="QG116" s="11"/>
      <c r="QH116" s="11"/>
      <c r="QI116" s="11"/>
      <c r="QJ116" s="11"/>
      <c r="QK116" s="11"/>
      <c r="QL116" s="11"/>
      <c r="QM116" s="11"/>
      <c r="QN116" s="11">
        <v>1</v>
      </c>
      <c r="QO116" s="11"/>
      <c r="QP116" s="11"/>
      <c r="QQ116" s="11"/>
      <c r="QR116" s="11"/>
      <c r="QS116" s="11"/>
      <c r="QT116" s="11"/>
      <c r="QU116" s="11"/>
      <c r="QV116" s="11"/>
      <c r="QW116" s="11"/>
      <c r="QX116" s="11"/>
      <c r="QY116" s="11"/>
      <c r="QZ116" s="11"/>
      <c r="RA116" s="11"/>
      <c r="RB116" s="11"/>
      <c r="RC116" s="11"/>
      <c r="RD116" s="11"/>
      <c r="RE116" s="11"/>
      <c r="RF116" s="11"/>
      <c r="RG116" s="11"/>
      <c r="RH116" s="11"/>
      <c r="RI116" s="11"/>
      <c r="RJ116" s="11"/>
      <c r="RK116" s="11"/>
      <c r="RL116" s="11"/>
      <c r="RM116" s="11"/>
      <c r="RN116" s="11"/>
      <c r="RO116" s="11"/>
      <c r="RP116" s="11"/>
      <c r="RQ116" s="11"/>
      <c r="RR116" s="11"/>
      <c r="RS116" s="11"/>
      <c r="RT116" s="11"/>
      <c r="RU116" s="11"/>
      <c r="RV116" s="11"/>
      <c r="RW116" s="11"/>
      <c r="RX116" s="11"/>
      <c r="RY116" s="11"/>
      <c r="RZ116" s="11"/>
      <c r="SA116" s="11"/>
      <c r="SB116" s="11"/>
      <c r="SC116" s="11"/>
      <c r="SD116" s="11"/>
      <c r="SE116" s="11"/>
      <c r="SF116" s="11"/>
      <c r="SG116" s="11"/>
      <c r="SH116" s="11">
        <v>1</v>
      </c>
    </row>
    <row r="117" spans="1:502" x14ac:dyDescent="0.2">
      <c r="A117" s="10">
        <v>1.7189046355938591E-2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>
        <v>1</v>
      </c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  <c r="OM117" s="11"/>
      <c r="ON117" s="11"/>
      <c r="OO117" s="11"/>
      <c r="OP117" s="11"/>
      <c r="OQ117" s="11"/>
      <c r="OR117" s="11"/>
      <c r="OS117" s="11"/>
      <c r="OT117" s="11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11"/>
      <c r="PP117" s="11"/>
      <c r="PQ117" s="11"/>
      <c r="PR117" s="11"/>
      <c r="PS117" s="11"/>
      <c r="PT117" s="11"/>
      <c r="PU117" s="11"/>
      <c r="PV117" s="11"/>
      <c r="PW117" s="11"/>
      <c r="PX117" s="11"/>
      <c r="PY117" s="11"/>
      <c r="PZ117" s="11"/>
      <c r="QA117" s="11"/>
      <c r="QB117" s="11"/>
      <c r="QC117" s="11"/>
      <c r="QD117" s="11"/>
      <c r="QE117" s="11"/>
      <c r="QF117" s="11"/>
      <c r="QG117" s="11"/>
      <c r="QH117" s="11"/>
      <c r="QI117" s="11"/>
      <c r="QJ117" s="11"/>
      <c r="QK117" s="11"/>
      <c r="QL117" s="11"/>
      <c r="QM117" s="11"/>
      <c r="QN117" s="11"/>
      <c r="QO117" s="11"/>
      <c r="QP117" s="11"/>
      <c r="QQ117" s="11"/>
      <c r="QR117" s="11"/>
      <c r="QS117" s="11"/>
      <c r="QT117" s="11"/>
      <c r="QU117" s="11"/>
      <c r="QV117" s="11"/>
      <c r="QW117" s="11"/>
      <c r="QX117" s="11"/>
      <c r="QY117" s="11"/>
      <c r="QZ117" s="11"/>
      <c r="RA117" s="11"/>
      <c r="RB117" s="11"/>
      <c r="RC117" s="11"/>
      <c r="RD117" s="11"/>
      <c r="RE117" s="11"/>
      <c r="RF117" s="11"/>
      <c r="RG117" s="11"/>
      <c r="RH117" s="11"/>
      <c r="RI117" s="11"/>
      <c r="RJ117" s="11"/>
      <c r="RK117" s="11"/>
      <c r="RL117" s="11"/>
      <c r="RM117" s="11"/>
      <c r="RN117" s="11"/>
      <c r="RO117" s="11"/>
      <c r="RP117" s="11"/>
      <c r="RQ117" s="11"/>
      <c r="RR117" s="11"/>
      <c r="RS117" s="11"/>
      <c r="RT117" s="11"/>
      <c r="RU117" s="11"/>
      <c r="RV117" s="11"/>
      <c r="RW117" s="11"/>
      <c r="RX117" s="11"/>
      <c r="RY117" s="11"/>
      <c r="RZ117" s="11"/>
      <c r="SA117" s="11"/>
      <c r="SB117" s="11"/>
      <c r="SC117" s="11"/>
      <c r="SD117" s="11"/>
      <c r="SE117" s="11"/>
      <c r="SF117" s="11"/>
      <c r="SG117" s="11"/>
      <c r="SH117" s="11">
        <v>1</v>
      </c>
    </row>
    <row r="118" spans="1:502" x14ac:dyDescent="0.2">
      <c r="A118" s="10">
        <v>1.7317841677975974E-2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>
        <v>1</v>
      </c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/>
      <c r="RI118" s="11"/>
      <c r="RJ118" s="11"/>
      <c r="RK118" s="11"/>
      <c r="RL118" s="11"/>
      <c r="RM118" s="11"/>
      <c r="RN118" s="11"/>
      <c r="RO118" s="11"/>
      <c r="RP118" s="11"/>
      <c r="RQ118" s="11"/>
      <c r="RR118" s="11"/>
      <c r="RS118" s="11"/>
      <c r="RT118" s="11"/>
      <c r="RU118" s="11"/>
      <c r="RV118" s="11"/>
      <c r="RW118" s="11"/>
      <c r="RX118" s="11"/>
      <c r="RY118" s="11"/>
      <c r="RZ118" s="11"/>
      <c r="SA118" s="11"/>
      <c r="SB118" s="11"/>
      <c r="SC118" s="11"/>
      <c r="SD118" s="11"/>
      <c r="SE118" s="11"/>
      <c r="SF118" s="11"/>
      <c r="SG118" s="11"/>
      <c r="SH118" s="11">
        <v>1</v>
      </c>
    </row>
    <row r="119" spans="1:502" x14ac:dyDescent="0.2">
      <c r="A119" s="10">
        <v>1.7343554555990182E-2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>
        <v>1</v>
      </c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  <c r="OM119" s="11"/>
      <c r="ON119" s="11"/>
      <c r="OO119" s="11"/>
      <c r="OP119" s="11"/>
      <c r="OQ119" s="11"/>
      <c r="OR119" s="11"/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11"/>
      <c r="PP119" s="11"/>
      <c r="PQ119" s="11"/>
      <c r="PR119" s="11"/>
      <c r="PS119" s="11"/>
      <c r="PT119" s="11"/>
      <c r="PU119" s="11"/>
      <c r="PV119" s="11"/>
      <c r="PW119" s="11"/>
      <c r="PX119" s="11"/>
      <c r="PY119" s="11"/>
      <c r="PZ119" s="11"/>
      <c r="QA119" s="11"/>
      <c r="QB119" s="11"/>
      <c r="QC119" s="11"/>
      <c r="QD119" s="11"/>
      <c r="QE119" s="11"/>
      <c r="QF119" s="11"/>
      <c r="QG119" s="11"/>
      <c r="QH119" s="11"/>
      <c r="QI119" s="11"/>
      <c r="QJ119" s="11"/>
      <c r="QK119" s="11"/>
      <c r="QL119" s="11"/>
      <c r="QM119" s="11"/>
      <c r="QN119" s="11"/>
      <c r="QO119" s="11"/>
      <c r="QP119" s="11"/>
      <c r="QQ119" s="11"/>
      <c r="QR119" s="11"/>
      <c r="QS119" s="11"/>
      <c r="QT119" s="11"/>
      <c r="QU119" s="11"/>
      <c r="QV119" s="11"/>
      <c r="QW119" s="11"/>
      <c r="QX119" s="11"/>
      <c r="QY119" s="11"/>
      <c r="QZ119" s="11"/>
      <c r="RA119" s="11"/>
      <c r="RB119" s="11"/>
      <c r="RC119" s="11"/>
      <c r="RD119" s="11"/>
      <c r="RE119" s="11"/>
      <c r="RF119" s="11"/>
      <c r="RG119" s="11"/>
      <c r="RH119" s="11"/>
      <c r="RI119" s="11"/>
      <c r="RJ119" s="11"/>
      <c r="RK119" s="11"/>
      <c r="RL119" s="11"/>
      <c r="RM119" s="11"/>
      <c r="RN119" s="11"/>
      <c r="RO119" s="11"/>
      <c r="RP119" s="11"/>
      <c r="RQ119" s="11"/>
      <c r="RR119" s="11"/>
      <c r="RS119" s="11"/>
      <c r="RT119" s="11"/>
      <c r="RU119" s="11"/>
      <c r="RV119" s="11"/>
      <c r="RW119" s="11"/>
      <c r="RX119" s="11"/>
      <c r="RY119" s="11"/>
      <c r="RZ119" s="11"/>
      <c r="SA119" s="11"/>
      <c r="SB119" s="11"/>
      <c r="SC119" s="11"/>
      <c r="SD119" s="11"/>
      <c r="SE119" s="11"/>
      <c r="SF119" s="11"/>
      <c r="SG119" s="11"/>
      <c r="SH119" s="11">
        <v>1</v>
      </c>
    </row>
    <row r="120" spans="1:502" x14ac:dyDescent="0.2">
      <c r="A120" s="10">
        <v>1.736015203689786E-2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>
        <v>1</v>
      </c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  <c r="OM120" s="11"/>
      <c r="ON120" s="11"/>
      <c r="OO120" s="11"/>
      <c r="OP120" s="11"/>
      <c r="OQ120" s="11"/>
      <c r="OR120" s="11"/>
      <c r="OS120" s="11"/>
      <c r="OT120" s="11"/>
      <c r="OU120" s="11"/>
      <c r="OV120" s="11"/>
      <c r="OW120" s="11"/>
      <c r="OX120" s="11"/>
      <c r="OY120" s="11"/>
      <c r="OZ120" s="11"/>
      <c r="PA120" s="11"/>
      <c r="PB120" s="11"/>
      <c r="PC120" s="11"/>
      <c r="PD120" s="11"/>
      <c r="PE120" s="11"/>
      <c r="PF120" s="11"/>
      <c r="PG120" s="11"/>
      <c r="PH120" s="11"/>
      <c r="PI120" s="11"/>
      <c r="PJ120" s="11"/>
      <c r="PK120" s="11"/>
      <c r="PL120" s="11"/>
      <c r="PM120" s="11"/>
      <c r="PN120" s="11"/>
      <c r="PO120" s="11"/>
      <c r="PP120" s="11"/>
      <c r="PQ120" s="11"/>
      <c r="PR120" s="11"/>
      <c r="PS120" s="11"/>
      <c r="PT120" s="11"/>
      <c r="PU120" s="11"/>
      <c r="PV120" s="11"/>
      <c r="PW120" s="11"/>
      <c r="PX120" s="11"/>
      <c r="PY120" s="11"/>
      <c r="PZ120" s="11"/>
      <c r="QA120" s="11"/>
      <c r="QB120" s="11"/>
      <c r="QC120" s="11"/>
      <c r="QD120" s="11"/>
      <c r="QE120" s="11"/>
      <c r="QF120" s="11"/>
      <c r="QG120" s="11"/>
      <c r="QH120" s="11"/>
      <c r="QI120" s="11"/>
      <c r="QJ120" s="11"/>
      <c r="QK120" s="11"/>
      <c r="QL120" s="11"/>
      <c r="QM120" s="11"/>
      <c r="QN120" s="11"/>
      <c r="QO120" s="11"/>
      <c r="QP120" s="11"/>
      <c r="QQ120" s="11"/>
      <c r="QR120" s="11"/>
      <c r="QS120" s="11"/>
      <c r="QT120" s="11"/>
      <c r="QU120" s="11"/>
      <c r="QV120" s="11"/>
      <c r="QW120" s="11"/>
      <c r="QX120" s="11"/>
      <c r="QY120" s="11"/>
      <c r="QZ120" s="11"/>
      <c r="RA120" s="11"/>
      <c r="RB120" s="11"/>
      <c r="RC120" s="11"/>
      <c r="RD120" s="11"/>
      <c r="RE120" s="11"/>
      <c r="RF120" s="11"/>
      <c r="RG120" s="11"/>
      <c r="RH120" s="11"/>
      <c r="RI120" s="11"/>
      <c r="RJ120" s="11"/>
      <c r="RK120" s="11"/>
      <c r="RL120" s="11"/>
      <c r="RM120" s="11"/>
      <c r="RN120" s="11"/>
      <c r="RO120" s="11"/>
      <c r="RP120" s="11"/>
      <c r="RQ120" s="11"/>
      <c r="RR120" s="11"/>
      <c r="RS120" s="11"/>
      <c r="RT120" s="11"/>
      <c r="RU120" s="11"/>
      <c r="RV120" s="11"/>
      <c r="RW120" s="11"/>
      <c r="RX120" s="11"/>
      <c r="RY120" s="11"/>
      <c r="RZ120" s="11"/>
      <c r="SA120" s="11"/>
      <c r="SB120" s="11"/>
      <c r="SC120" s="11"/>
      <c r="SD120" s="11"/>
      <c r="SE120" s="11"/>
      <c r="SF120" s="11"/>
      <c r="SG120" s="11"/>
      <c r="SH120" s="11">
        <v>1</v>
      </c>
    </row>
    <row r="121" spans="1:502" x14ac:dyDescent="0.2">
      <c r="A121" s="10">
        <v>1.7602630515481228E-2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>
        <v>1</v>
      </c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  <c r="OM121" s="11"/>
      <c r="ON121" s="11"/>
      <c r="OO121" s="11"/>
      <c r="OP121" s="11"/>
      <c r="OQ121" s="11"/>
      <c r="OR121" s="11"/>
      <c r="OS121" s="11"/>
      <c r="OT121" s="11"/>
      <c r="OU121" s="11"/>
      <c r="OV121" s="11"/>
      <c r="OW121" s="11"/>
      <c r="OX121" s="11"/>
      <c r="OY121" s="11"/>
      <c r="OZ121" s="11"/>
      <c r="PA121" s="11"/>
      <c r="PB121" s="11"/>
      <c r="PC121" s="11"/>
      <c r="PD121" s="11"/>
      <c r="PE121" s="11"/>
      <c r="PF121" s="11"/>
      <c r="PG121" s="11"/>
      <c r="PH121" s="11"/>
      <c r="PI121" s="11"/>
      <c r="PJ121" s="11"/>
      <c r="PK121" s="11"/>
      <c r="PL121" s="11"/>
      <c r="PM121" s="11"/>
      <c r="PN121" s="11"/>
      <c r="PO121" s="11"/>
      <c r="PP121" s="11"/>
      <c r="PQ121" s="11"/>
      <c r="PR121" s="11"/>
      <c r="PS121" s="11"/>
      <c r="PT121" s="11"/>
      <c r="PU121" s="11"/>
      <c r="PV121" s="11"/>
      <c r="PW121" s="11"/>
      <c r="PX121" s="11"/>
      <c r="PY121" s="11"/>
      <c r="PZ121" s="11"/>
      <c r="QA121" s="11"/>
      <c r="QB121" s="11"/>
      <c r="QC121" s="11"/>
      <c r="QD121" s="11"/>
      <c r="QE121" s="11"/>
      <c r="QF121" s="11"/>
      <c r="QG121" s="11"/>
      <c r="QH121" s="11"/>
      <c r="QI121" s="11"/>
      <c r="QJ121" s="11"/>
      <c r="QK121" s="11"/>
      <c r="QL121" s="11"/>
      <c r="QM121" s="11"/>
      <c r="QN121" s="11"/>
      <c r="QO121" s="11"/>
      <c r="QP121" s="11"/>
      <c r="QQ121" s="11"/>
      <c r="QR121" s="11"/>
      <c r="QS121" s="11"/>
      <c r="QT121" s="11"/>
      <c r="QU121" s="11"/>
      <c r="QV121" s="11"/>
      <c r="QW121" s="11"/>
      <c r="QX121" s="11"/>
      <c r="QY121" s="11"/>
      <c r="QZ121" s="11"/>
      <c r="RA121" s="11"/>
      <c r="RB121" s="11"/>
      <c r="RC121" s="11"/>
      <c r="RD121" s="11"/>
      <c r="RE121" s="11"/>
      <c r="RF121" s="11"/>
      <c r="RG121" s="11"/>
      <c r="RH121" s="11"/>
      <c r="RI121" s="11"/>
      <c r="RJ121" s="11"/>
      <c r="RK121" s="11"/>
      <c r="RL121" s="11"/>
      <c r="RM121" s="11"/>
      <c r="RN121" s="11"/>
      <c r="RO121" s="11"/>
      <c r="RP121" s="11"/>
      <c r="RQ121" s="11"/>
      <c r="RR121" s="11"/>
      <c r="RS121" s="11"/>
      <c r="RT121" s="11"/>
      <c r="RU121" s="11"/>
      <c r="RV121" s="11"/>
      <c r="RW121" s="11"/>
      <c r="RX121" s="11"/>
      <c r="RY121" s="11"/>
      <c r="RZ121" s="11"/>
      <c r="SA121" s="11"/>
      <c r="SB121" s="11"/>
      <c r="SC121" s="11"/>
      <c r="SD121" s="11"/>
      <c r="SE121" s="11"/>
      <c r="SF121" s="11"/>
      <c r="SG121" s="11"/>
      <c r="SH121" s="11">
        <v>1</v>
      </c>
    </row>
    <row r="122" spans="1:502" x14ac:dyDescent="0.2">
      <c r="A122" s="10">
        <v>1.765380967959948E-2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>
        <v>1</v>
      </c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  <c r="OM122" s="11"/>
      <c r="ON122" s="11"/>
      <c r="OO122" s="11"/>
      <c r="OP122" s="11"/>
      <c r="OQ122" s="11"/>
      <c r="OR122" s="11"/>
      <c r="OS122" s="11"/>
      <c r="OT122" s="11"/>
      <c r="OU122" s="11"/>
      <c r="OV122" s="11"/>
      <c r="OW122" s="11"/>
      <c r="OX122" s="11"/>
      <c r="OY122" s="11"/>
      <c r="OZ122" s="11"/>
      <c r="PA122" s="11"/>
      <c r="PB122" s="11"/>
      <c r="PC122" s="11"/>
      <c r="PD122" s="11"/>
      <c r="PE122" s="11"/>
      <c r="PF122" s="11"/>
      <c r="PG122" s="11"/>
      <c r="PH122" s="11"/>
      <c r="PI122" s="11"/>
      <c r="PJ122" s="11"/>
      <c r="PK122" s="11"/>
      <c r="PL122" s="11"/>
      <c r="PM122" s="11"/>
      <c r="PN122" s="11"/>
      <c r="PO122" s="11"/>
      <c r="PP122" s="11"/>
      <c r="PQ122" s="11"/>
      <c r="PR122" s="11"/>
      <c r="PS122" s="11"/>
      <c r="PT122" s="11"/>
      <c r="PU122" s="11"/>
      <c r="PV122" s="11"/>
      <c r="PW122" s="11"/>
      <c r="PX122" s="11"/>
      <c r="PY122" s="11"/>
      <c r="PZ122" s="11"/>
      <c r="QA122" s="11"/>
      <c r="QB122" s="11"/>
      <c r="QC122" s="11"/>
      <c r="QD122" s="11"/>
      <c r="QE122" s="11"/>
      <c r="QF122" s="11"/>
      <c r="QG122" s="11"/>
      <c r="QH122" s="11"/>
      <c r="QI122" s="11"/>
      <c r="QJ122" s="11"/>
      <c r="QK122" s="11"/>
      <c r="QL122" s="11"/>
      <c r="QM122" s="11"/>
      <c r="QN122" s="11"/>
      <c r="QO122" s="11"/>
      <c r="QP122" s="11"/>
      <c r="QQ122" s="11"/>
      <c r="QR122" s="11"/>
      <c r="QS122" s="11"/>
      <c r="QT122" s="11"/>
      <c r="QU122" s="11"/>
      <c r="QV122" s="11"/>
      <c r="QW122" s="11"/>
      <c r="QX122" s="11"/>
      <c r="QY122" s="11"/>
      <c r="QZ122" s="11"/>
      <c r="RA122" s="11"/>
      <c r="RB122" s="11"/>
      <c r="RC122" s="11"/>
      <c r="RD122" s="11"/>
      <c r="RE122" s="11"/>
      <c r="RF122" s="11"/>
      <c r="RG122" s="11"/>
      <c r="RH122" s="11"/>
      <c r="RI122" s="11"/>
      <c r="RJ122" s="11"/>
      <c r="RK122" s="11"/>
      <c r="RL122" s="11"/>
      <c r="RM122" s="11"/>
      <c r="RN122" s="11"/>
      <c r="RO122" s="11"/>
      <c r="RP122" s="11"/>
      <c r="RQ122" s="11"/>
      <c r="RR122" s="11"/>
      <c r="RS122" s="11"/>
      <c r="RT122" s="11"/>
      <c r="RU122" s="11"/>
      <c r="RV122" s="11"/>
      <c r="RW122" s="11"/>
      <c r="RX122" s="11"/>
      <c r="RY122" s="11"/>
      <c r="RZ122" s="11"/>
      <c r="SA122" s="11"/>
      <c r="SB122" s="11"/>
      <c r="SC122" s="11"/>
      <c r="SD122" s="11"/>
      <c r="SE122" s="11"/>
      <c r="SF122" s="11"/>
      <c r="SG122" s="11"/>
      <c r="SH122" s="11">
        <v>1</v>
      </c>
    </row>
    <row r="123" spans="1:502" x14ac:dyDescent="0.2">
      <c r="A123" s="10">
        <v>1.7801711292534578E-2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>
        <v>1</v>
      </c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  <c r="OM123" s="11"/>
      <c r="ON123" s="11"/>
      <c r="OO123" s="11"/>
      <c r="OP123" s="11"/>
      <c r="OQ123" s="11"/>
      <c r="OR123" s="11"/>
      <c r="OS123" s="11"/>
      <c r="OT123" s="11"/>
      <c r="OU123" s="11"/>
      <c r="OV123" s="11"/>
      <c r="OW123" s="11"/>
      <c r="OX123" s="11"/>
      <c r="OY123" s="11"/>
      <c r="OZ123" s="11"/>
      <c r="PA123" s="11"/>
      <c r="PB123" s="11"/>
      <c r="PC123" s="11"/>
      <c r="PD123" s="11"/>
      <c r="PE123" s="11"/>
      <c r="PF123" s="11"/>
      <c r="PG123" s="11"/>
      <c r="PH123" s="11"/>
      <c r="PI123" s="11"/>
      <c r="PJ123" s="11"/>
      <c r="PK123" s="11"/>
      <c r="PL123" s="11"/>
      <c r="PM123" s="11"/>
      <c r="PN123" s="11"/>
      <c r="PO123" s="11"/>
      <c r="PP123" s="11"/>
      <c r="PQ123" s="11"/>
      <c r="PR123" s="11"/>
      <c r="PS123" s="11"/>
      <c r="PT123" s="11"/>
      <c r="PU123" s="11"/>
      <c r="PV123" s="11"/>
      <c r="PW123" s="11"/>
      <c r="PX123" s="11"/>
      <c r="PY123" s="11"/>
      <c r="PZ123" s="11"/>
      <c r="QA123" s="11"/>
      <c r="QB123" s="11"/>
      <c r="QC123" s="11"/>
      <c r="QD123" s="11"/>
      <c r="QE123" s="11"/>
      <c r="QF123" s="11"/>
      <c r="QG123" s="11"/>
      <c r="QH123" s="11"/>
      <c r="QI123" s="11"/>
      <c r="QJ123" s="11"/>
      <c r="QK123" s="11"/>
      <c r="QL123" s="11"/>
      <c r="QM123" s="11"/>
      <c r="QN123" s="11"/>
      <c r="QO123" s="11"/>
      <c r="QP123" s="11"/>
      <c r="QQ123" s="11"/>
      <c r="QR123" s="11"/>
      <c r="QS123" s="11"/>
      <c r="QT123" s="11"/>
      <c r="QU123" s="11"/>
      <c r="QV123" s="11"/>
      <c r="QW123" s="11"/>
      <c r="QX123" s="11"/>
      <c r="QY123" s="11"/>
      <c r="QZ123" s="11"/>
      <c r="RA123" s="11"/>
      <c r="RB123" s="11"/>
      <c r="RC123" s="11"/>
      <c r="RD123" s="11"/>
      <c r="RE123" s="11"/>
      <c r="RF123" s="11"/>
      <c r="RG123" s="11"/>
      <c r="RH123" s="11"/>
      <c r="RI123" s="11"/>
      <c r="RJ123" s="11"/>
      <c r="RK123" s="11"/>
      <c r="RL123" s="11"/>
      <c r="RM123" s="11"/>
      <c r="RN123" s="11"/>
      <c r="RO123" s="11"/>
      <c r="RP123" s="11"/>
      <c r="RQ123" s="11"/>
      <c r="RR123" s="11"/>
      <c r="RS123" s="11"/>
      <c r="RT123" s="11"/>
      <c r="RU123" s="11"/>
      <c r="RV123" s="11"/>
      <c r="RW123" s="11"/>
      <c r="RX123" s="11"/>
      <c r="RY123" s="11"/>
      <c r="RZ123" s="11"/>
      <c r="SA123" s="11"/>
      <c r="SB123" s="11"/>
      <c r="SC123" s="11"/>
      <c r="SD123" s="11"/>
      <c r="SE123" s="11"/>
      <c r="SF123" s="11"/>
      <c r="SG123" s="11"/>
      <c r="SH123" s="11">
        <v>1</v>
      </c>
    </row>
    <row r="124" spans="1:502" x14ac:dyDescent="0.2">
      <c r="A124" s="10">
        <v>1.7864382153444328E-2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>
        <v>1</v>
      </c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/>
      <c r="PQ124" s="11"/>
      <c r="PR124" s="11"/>
      <c r="PS124" s="11"/>
      <c r="PT124" s="11"/>
      <c r="PU124" s="11"/>
      <c r="PV124" s="11"/>
      <c r="PW124" s="11"/>
      <c r="PX124" s="11"/>
      <c r="PY124" s="11"/>
      <c r="PZ124" s="11"/>
      <c r="QA124" s="11"/>
      <c r="QB124" s="11"/>
      <c r="QC124" s="11"/>
      <c r="QD124" s="11"/>
      <c r="QE124" s="11"/>
      <c r="QF124" s="11"/>
      <c r="QG124" s="11"/>
      <c r="QH124" s="11"/>
      <c r="QI124" s="11"/>
      <c r="QJ124" s="11"/>
      <c r="QK124" s="11"/>
      <c r="QL124" s="11"/>
      <c r="QM124" s="11"/>
      <c r="QN124" s="11"/>
      <c r="QO124" s="11"/>
      <c r="QP124" s="11"/>
      <c r="QQ124" s="11"/>
      <c r="QR124" s="11"/>
      <c r="QS124" s="11"/>
      <c r="QT124" s="11"/>
      <c r="QU124" s="11"/>
      <c r="QV124" s="11"/>
      <c r="QW124" s="11"/>
      <c r="QX124" s="11"/>
      <c r="QY124" s="11"/>
      <c r="QZ124" s="11"/>
      <c r="RA124" s="11"/>
      <c r="RB124" s="11"/>
      <c r="RC124" s="11"/>
      <c r="RD124" s="11"/>
      <c r="RE124" s="11"/>
      <c r="RF124" s="11"/>
      <c r="RG124" s="11"/>
      <c r="RH124" s="11"/>
      <c r="RI124" s="11"/>
      <c r="RJ124" s="11"/>
      <c r="RK124" s="11"/>
      <c r="RL124" s="11"/>
      <c r="RM124" s="11"/>
      <c r="RN124" s="11"/>
      <c r="RO124" s="11"/>
      <c r="RP124" s="11"/>
      <c r="RQ124" s="11"/>
      <c r="RR124" s="11"/>
      <c r="RS124" s="11"/>
      <c r="RT124" s="11"/>
      <c r="RU124" s="11"/>
      <c r="RV124" s="11"/>
      <c r="RW124" s="11"/>
      <c r="RX124" s="11"/>
      <c r="RY124" s="11"/>
      <c r="RZ124" s="11"/>
      <c r="SA124" s="11"/>
      <c r="SB124" s="11"/>
      <c r="SC124" s="11"/>
      <c r="SD124" s="11"/>
      <c r="SE124" s="11"/>
      <c r="SF124" s="11"/>
      <c r="SG124" s="11"/>
      <c r="SH124" s="11">
        <v>1</v>
      </c>
    </row>
    <row r="125" spans="1:502" x14ac:dyDescent="0.2">
      <c r="A125" s="10">
        <v>1.809878302394876E-2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>
        <v>1</v>
      </c>
      <c r="OE125" s="11"/>
      <c r="OF125" s="11"/>
      <c r="OG125" s="11"/>
      <c r="OH125" s="11"/>
      <c r="OI125" s="11"/>
      <c r="OJ125" s="11"/>
      <c r="OK125" s="11"/>
      <c r="OL125" s="11"/>
      <c r="OM125" s="11"/>
      <c r="ON125" s="11"/>
      <c r="OO125" s="11"/>
      <c r="OP125" s="11"/>
      <c r="OQ125" s="11"/>
      <c r="OR125" s="11"/>
      <c r="OS125" s="11"/>
      <c r="OT125" s="11"/>
      <c r="OU125" s="11"/>
      <c r="OV125" s="11"/>
      <c r="OW125" s="11"/>
      <c r="OX125" s="11"/>
      <c r="OY125" s="11"/>
      <c r="OZ125" s="11"/>
      <c r="PA125" s="11"/>
      <c r="PB125" s="11"/>
      <c r="PC125" s="11"/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1"/>
      <c r="PT125" s="11"/>
      <c r="PU125" s="11"/>
      <c r="PV125" s="11"/>
      <c r="PW125" s="11"/>
      <c r="PX125" s="11"/>
      <c r="PY125" s="11"/>
      <c r="PZ125" s="11"/>
      <c r="QA125" s="11"/>
      <c r="QB125" s="11"/>
      <c r="QC125" s="11"/>
      <c r="QD125" s="11"/>
      <c r="QE125" s="11"/>
      <c r="QF125" s="11"/>
      <c r="QG125" s="11"/>
      <c r="QH125" s="11"/>
      <c r="QI125" s="11"/>
      <c r="QJ125" s="11"/>
      <c r="QK125" s="11"/>
      <c r="QL125" s="11"/>
      <c r="QM125" s="11"/>
      <c r="QN125" s="11"/>
      <c r="QO125" s="11"/>
      <c r="QP125" s="11"/>
      <c r="QQ125" s="11"/>
      <c r="QR125" s="11"/>
      <c r="QS125" s="11"/>
      <c r="QT125" s="11"/>
      <c r="QU125" s="11"/>
      <c r="QV125" s="11"/>
      <c r="QW125" s="11"/>
      <c r="QX125" s="11"/>
      <c r="QY125" s="11"/>
      <c r="QZ125" s="11"/>
      <c r="RA125" s="11"/>
      <c r="RB125" s="11"/>
      <c r="RC125" s="11"/>
      <c r="RD125" s="11"/>
      <c r="RE125" s="11"/>
      <c r="RF125" s="11"/>
      <c r="RG125" s="11"/>
      <c r="RH125" s="11"/>
      <c r="RI125" s="11"/>
      <c r="RJ125" s="11"/>
      <c r="RK125" s="11"/>
      <c r="RL125" s="11"/>
      <c r="RM125" s="11"/>
      <c r="RN125" s="11"/>
      <c r="RO125" s="11"/>
      <c r="RP125" s="11"/>
      <c r="RQ125" s="11"/>
      <c r="RR125" s="11"/>
      <c r="RS125" s="11"/>
      <c r="RT125" s="11"/>
      <c r="RU125" s="11"/>
      <c r="RV125" s="11"/>
      <c r="RW125" s="11"/>
      <c r="RX125" s="11"/>
      <c r="RY125" s="11"/>
      <c r="RZ125" s="11"/>
      <c r="SA125" s="11"/>
      <c r="SB125" s="11"/>
      <c r="SC125" s="11"/>
      <c r="SD125" s="11"/>
      <c r="SE125" s="11"/>
      <c r="SF125" s="11"/>
      <c r="SG125" s="11"/>
      <c r="SH125" s="11">
        <v>1</v>
      </c>
    </row>
    <row r="126" spans="1:502" x14ac:dyDescent="0.2">
      <c r="A126" s="10">
        <v>1.8182978790060058E-2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1"/>
      <c r="PT126" s="11"/>
      <c r="PU126" s="11"/>
      <c r="PV126" s="11"/>
      <c r="PW126" s="11"/>
      <c r="PX126" s="11"/>
      <c r="PY126" s="11"/>
      <c r="PZ126" s="11"/>
      <c r="QA126" s="11"/>
      <c r="QB126" s="11"/>
      <c r="QC126" s="11"/>
      <c r="QD126" s="11"/>
      <c r="QE126" s="11"/>
      <c r="QF126" s="11"/>
      <c r="QG126" s="11"/>
      <c r="QH126" s="11"/>
      <c r="QI126" s="11"/>
      <c r="QJ126" s="11"/>
      <c r="QK126" s="11"/>
      <c r="QL126" s="11"/>
      <c r="QM126" s="11"/>
      <c r="QN126" s="11"/>
      <c r="QO126" s="11"/>
      <c r="QP126" s="11"/>
      <c r="QQ126" s="11"/>
      <c r="QR126" s="11"/>
      <c r="QS126" s="11"/>
      <c r="QT126" s="11"/>
      <c r="QU126" s="11"/>
      <c r="QV126" s="11"/>
      <c r="QW126" s="11"/>
      <c r="QX126" s="11"/>
      <c r="QY126" s="11"/>
      <c r="QZ126" s="11"/>
      <c r="RA126" s="11"/>
      <c r="RB126" s="11"/>
      <c r="RC126" s="11"/>
      <c r="RD126" s="11"/>
      <c r="RE126" s="11"/>
      <c r="RF126" s="11"/>
      <c r="RG126" s="11"/>
      <c r="RH126" s="11"/>
      <c r="RI126" s="11"/>
      <c r="RJ126" s="11"/>
      <c r="RK126" s="11">
        <v>1</v>
      </c>
      <c r="RL126" s="11"/>
      <c r="RM126" s="11"/>
      <c r="RN126" s="11"/>
      <c r="RO126" s="11"/>
      <c r="RP126" s="11"/>
      <c r="RQ126" s="11"/>
      <c r="RR126" s="11"/>
      <c r="RS126" s="11"/>
      <c r="RT126" s="11"/>
      <c r="RU126" s="11"/>
      <c r="RV126" s="11"/>
      <c r="RW126" s="11"/>
      <c r="RX126" s="11"/>
      <c r="RY126" s="11"/>
      <c r="RZ126" s="11"/>
      <c r="SA126" s="11"/>
      <c r="SB126" s="11"/>
      <c r="SC126" s="11"/>
      <c r="SD126" s="11"/>
      <c r="SE126" s="11"/>
      <c r="SF126" s="11"/>
      <c r="SG126" s="11"/>
      <c r="SH126" s="11">
        <v>1</v>
      </c>
    </row>
    <row r="127" spans="1:502" x14ac:dyDescent="0.2">
      <c r="A127" s="10">
        <v>1.8301321021729152E-2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>
        <v>1</v>
      </c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  <c r="OM127" s="11"/>
      <c r="ON127" s="11"/>
      <c r="OO127" s="11"/>
      <c r="OP127" s="11"/>
      <c r="OQ127" s="11"/>
      <c r="OR127" s="11"/>
      <c r="OS127" s="11"/>
      <c r="OT127" s="11"/>
      <c r="OU127" s="11"/>
      <c r="OV127" s="11"/>
      <c r="OW127" s="11"/>
      <c r="OX127" s="11"/>
      <c r="OY127" s="11"/>
      <c r="OZ127" s="11"/>
      <c r="PA127" s="11"/>
      <c r="PB127" s="11"/>
      <c r="PC127" s="11"/>
      <c r="PD127" s="11"/>
      <c r="PE127" s="11"/>
      <c r="PF127" s="11"/>
      <c r="PG127" s="11"/>
      <c r="PH127" s="11"/>
      <c r="PI127" s="11"/>
      <c r="PJ127" s="11"/>
      <c r="PK127" s="11"/>
      <c r="PL127" s="11"/>
      <c r="PM127" s="11"/>
      <c r="PN127" s="11"/>
      <c r="PO127" s="11"/>
      <c r="PP127" s="11"/>
      <c r="PQ127" s="11"/>
      <c r="PR127" s="11"/>
      <c r="PS127" s="11"/>
      <c r="PT127" s="11"/>
      <c r="PU127" s="11"/>
      <c r="PV127" s="11"/>
      <c r="PW127" s="11"/>
      <c r="PX127" s="11"/>
      <c r="PY127" s="11"/>
      <c r="PZ127" s="11"/>
      <c r="QA127" s="11"/>
      <c r="QB127" s="11"/>
      <c r="QC127" s="11"/>
      <c r="QD127" s="11"/>
      <c r="QE127" s="11"/>
      <c r="QF127" s="11"/>
      <c r="QG127" s="11"/>
      <c r="QH127" s="11"/>
      <c r="QI127" s="11"/>
      <c r="QJ127" s="11"/>
      <c r="QK127" s="11"/>
      <c r="QL127" s="11"/>
      <c r="QM127" s="11"/>
      <c r="QN127" s="11"/>
      <c r="QO127" s="11"/>
      <c r="QP127" s="11"/>
      <c r="QQ127" s="11"/>
      <c r="QR127" s="11"/>
      <c r="QS127" s="11"/>
      <c r="QT127" s="11"/>
      <c r="QU127" s="11"/>
      <c r="QV127" s="11"/>
      <c r="QW127" s="11"/>
      <c r="QX127" s="11"/>
      <c r="QY127" s="11"/>
      <c r="QZ127" s="11"/>
      <c r="RA127" s="11"/>
      <c r="RB127" s="11"/>
      <c r="RC127" s="11"/>
      <c r="RD127" s="11"/>
      <c r="RE127" s="11"/>
      <c r="RF127" s="11"/>
      <c r="RG127" s="11"/>
      <c r="RH127" s="11"/>
      <c r="RI127" s="11"/>
      <c r="RJ127" s="11"/>
      <c r="RK127" s="11"/>
      <c r="RL127" s="11"/>
      <c r="RM127" s="11"/>
      <c r="RN127" s="11"/>
      <c r="RO127" s="11"/>
      <c r="RP127" s="11"/>
      <c r="RQ127" s="11"/>
      <c r="RR127" s="11"/>
      <c r="RS127" s="11"/>
      <c r="RT127" s="11"/>
      <c r="RU127" s="11"/>
      <c r="RV127" s="11"/>
      <c r="RW127" s="11"/>
      <c r="RX127" s="11"/>
      <c r="RY127" s="11"/>
      <c r="RZ127" s="11"/>
      <c r="SA127" s="11"/>
      <c r="SB127" s="11"/>
      <c r="SC127" s="11"/>
      <c r="SD127" s="11"/>
      <c r="SE127" s="11"/>
      <c r="SF127" s="11"/>
      <c r="SG127" s="11"/>
      <c r="SH127" s="11">
        <v>1</v>
      </c>
    </row>
    <row r="128" spans="1:502" x14ac:dyDescent="0.2">
      <c r="A128" s="10">
        <v>1.8609201741983033E-2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>
        <v>1</v>
      </c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  <c r="OM128" s="11"/>
      <c r="ON128" s="11"/>
      <c r="OO128" s="11"/>
      <c r="OP128" s="11"/>
      <c r="OQ128" s="11"/>
      <c r="OR128" s="11"/>
      <c r="OS128" s="11"/>
      <c r="OT128" s="11"/>
      <c r="OU128" s="11"/>
      <c r="OV128" s="11"/>
      <c r="OW128" s="11"/>
      <c r="OX128" s="11"/>
      <c r="OY128" s="11"/>
      <c r="OZ128" s="11"/>
      <c r="PA128" s="11"/>
      <c r="PB128" s="11"/>
      <c r="PC128" s="11"/>
      <c r="PD128" s="11"/>
      <c r="PE128" s="11"/>
      <c r="PF128" s="11"/>
      <c r="PG128" s="11"/>
      <c r="PH128" s="11"/>
      <c r="PI128" s="11"/>
      <c r="PJ128" s="11"/>
      <c r="PK128" s="11"/>
      <c r="PL128" s="11"/>
      <c r="PM128" s="11"/>
      <c r="PN128" s="11"/>
      <c r="PO128" s="11"/>
      <c r="PP128" s="11"/>
      <c r="PQ128" s="11"/>
      <c r="PR128" s="11"/>
      <c r="PS128" s="11"/>
      <c r="PT128" s="11"/>
      <c r="PU128" s="11"/>
      <c r="PV128" s="11"/>
      <c r="PW128" s="11"/>
      <c r="PX128" s="11"/>
      <c r="PY128" s="11"/>
      <c r="PZ128" s="11"/>
      <c r="QA128" s="11"/>
      <c r="QB128" s="11"/>
      <c r="QC128" s="11"/>
      <c r="QD128" s="11"/>
      <c r="QE128" s="11"/>
      <c r="QF128" s="11"/>
      <c r="QG128" s="11"/>
      <c r="QH128" s="11"/>
      <c r="QI128" s="11"/>
      <c r="QJ128" s="11"/>
      <c r="QK128" s="11"/>
      <c r="QL128" s="11"/>
      <c r="QM128" s="11"/>
      <c r="QN128" s="11"/>
      <c r="QO128" s="11"/>
      <c r="QP128" s="11"/>
      <c r="QQ128" s="11"/>
      <c r="QR128" s="11"/>
      <c r="QS128" s="11"/>
      <c r="QT128" s="11"/>
      <c r="QU128" s="11"/>
      <c r="QV128" s="11"/>
      <c r="QW128" s="11"/>
      <c r="QX128" s="11"/>
      <c r="QY128" s="11"/>
      <c r="QZ128" s="11"/>
      <c r="RA128" s="11"/>
      <c r="RB128" s="11"/>
      <c r="RC128" s="11"/>
      <c r="RD128" s="11"/>
      <c r="RE128" s="11"/>
      <c r="RF128" s="11"/>
      <c r="RG128" s="11"/>
      <c r="RH128" s="11"/>
      <c r="RI128" s="11"/>
      <c r="RJ128" s="11"/>
      <c r="RK128" s="11"/>
      <c r="RL128" s="11"/>
      <c r="RM128" s="11"/>
      <c r="RN128" s="11"/>
      <c r="RO128" s="11"/>
      <c r="RP128" s="11"/>
      <c r="RQ128" s="11"/>
      <c r="RR128" s="11"/>
      <c r="RS128" s="11"/>
      <c r="RT128" s="11"/>
      <c r="RU128" s="11"/>
      <c r="RV128" s="11"/>
      <c r="RW128" s="11"/>
      <c r="RX128" s="11"/>
      <c r="RY128" s="11"/>
      <c r="RZ128" s="11"/>
      <c r="SA128" s="11"/>
      <c r="SB128" s="11"/>
      <c r="SC128" s="11"/>
      <c r="SD128" s="11"/>
      <c r="SE128" s="11"/>
      <c r="SF128" s="11"/>
      <c r="SG128" s="11"/>
      <c r="SH128" s="11">
        <v>1</v>
      </c>
    </row>
    <row r="129" spans="1:502" x14ac:dyDescent="0.2">
      <c r="A129" s="10">
        <v>1.8792283790141254E-2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>
        <v>1</v>
      </c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  <c r="OM129" s="11"/>
      <c r="ON129" s="11"/>
      <c r="OO129" s="11"/>
      <c r="OP129" s="11"/>
      <c r="OQ129" s="11"/>
      <c r="OR129" s="11"/>
      <c r="OS129" s="11"/>
      <c r="OT129" s="11"/>
      <c r="OU129" s="11"/>
      <c r="OV129" s="11"/>
      <c r="OW129" s="11"/>
      <c r="OX129" s="11"/>
      <c r="OY129" s="11"/>
      <c r="OZ129" s="11"/>
      <c r="PA129" s="11"/>
      <c r="PB129" s="11"/>
      <c r="PC129" s="11"/>
      <c r="PD129" s="11"/>
      <c r="PE129" s="11"/>
      <c r="PF129" s="11"/>
      <c r="PG129" s="11"/>
      <c r="PH129" s="11"/>
      <c r="PI129" s="11"/>
      <c r="PJ129" s="11"/>
      <c r="PK129" s="11"/>
      <c r="PL129" s="11"/>
      <c r="PM129" s="11"/>
      <c r="PN129" s="11"/>
      <c r="PO129" s="11"/>
      <c r="PP129" s="11"/>
      <c r="PQ129" s="11"/>
      <c r="PR129" s="11"/>
      <c r="PS129" s="11"/>
      <c r="PT129" s="11"/>
      <c r="PU129" s="11"/>
      <c r="PV129" s="11"/>
      <c r="PW129" s="11"/>
      <c r="PX129" s="11"/>
      <c r="PY129" s="11"/>
      <c r="PZ129" s="11"/>
      <c r="QA129" s="11"/>
      <c r="QB129" s="11"/>
      <c r="QC129" s="11"/>
      <c r="QD129" s="11"/>
      <c r="QE129" s="11"/>
      <c r="QF129" s="11"/>
      <c r="QG129" s="11"/>
      <c r="QH129" s="11"/>
      <c r="QI129" s="11"/>
      <c r="QJ129" s="11"/>
      <c r="QK129" s="11"/>
      <c r="QL129" s="11"/>
      <c r="QM129" s="11"/>
      <c r="QN129" s="11"/>
      <c r="QO129" s="11"/>
      <c r="QP129" s="11"/>
      <c r="QQ129" s="11"/>
      <c r="QR129" s="11"/>
      <c r="QS129" s="11"/>
      <c r="QT129" s="11"/>
      <c r="QU129" s="11"/>
      <c r="QV129" s="11"/>
      <c r="QW129" s="11"/>
      <c r="QX129" s="11"/>
      <c r="QY129" s="11"/>
      <c r="QZ129" s="11"/>
      <c r="RA129" s="11"/>
      <c r="RB129" s="11"/>
      <c r="RC129" s="11"/>
      <c r="RD129" s="11"/>
      <c r="RE129" s="11"/>
      <c r="RF129" s="11"/>
      <c r="RG129" s="11"/>
      <c r="RH129" s="11"/>
      <c r="RI129" s="11"/>
      <c r="RJ129" s="11"/>
      <c r="RK129" s="11"/>
      <c r="RL129" s="11"/>
      <c r="RM129" s="11"/>
      <c r="RN129" s="11"/>
      <c r="RO129" s="11"/>
      <c r="RP129" s="11"/>
      <c r="RQ129" s="11"/>
      <c r="RR129" s="11"/>
      <c r="RS129" s="11"/>
      <c r="RT129" s="11"/>
      <c r="RU129" s="11"/>
      <c r="RV129" s="11"/>
      <c r="RW129" s="11"/>
      <c r="RX129" s="11"/>
      <c r="RY129" s="11"/>
      <c r="RZ129" s="11"/>
      <c r="SA129" s="11"/>
      <c r="SB129" s="11"/>
      <c r="SC129" s="11"/>
      <c r="SD129" s="11"/>
      <c r="SE129" s="11"/>
      <c r="SF129" s="11"/>
      <c r="SG129" s="11"/>
      <c r="SH129" s="11">
        <v>1</v>
      </c>
    </row>
    <row r="130" spans="1:502" x14ac:dyDescent="0.2">
      <c r="A130" s="10">
        <v>1.8842702466439164E-2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>
        <v>1</v>
      </c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  <c r="OO130" s="11"/>
      <c r="OP130" s="11"/>
      <c r="OQ130" s="11"/>
      <c r="OR130" s="11"/>
      <c r="OS130" s="11"/>
      <c r="OT130" s="11"/>
      <c r="OU130" s="11"/>
      <c r="OV130" s="11"/>
      <c r="OW130" s="11"/>
      <c r="OX130" s="11"/>
      <c r="OY130" s="11"/>
      <c r="OZ130" s="11"/>
      <c r="PA130" s="11"/>
      <c r="PB130" s="11"/>
      <c r="PC130" s="11"/>
      <c r="PD130" s="11"/>
      <c r="PE130" s="11"/>
      <c r="PF130" s="11"/>
      <c r="PG130" s="11"/>
      <c r="PH130" s="11"/>
      <c r="PI130" s="11"/>
      <c r="PJ130" s="11"/>
      <c r="PK130" s="11"/>
      <c r="PL130" s="11"/>
      <c r="PM130" s="11"/>
      <c r="PN130" s="11"/>
      <c r="PO130" s="11"/>
      <c r="PP130" s="11"/>
      <c r="PQ130" s="11"/>
      <c r="PR130" s="11"/>
      <c r="PS130" s="11"/>
      <c r="PT130" s="11"/>
      <c r="PU130" s="11"/>
      <c r="PV130" s="11"/>
      <c r="PW130" s="11"/>
      <c r="PX130" s="11"/>
      <c r="PY130" s="11"/>
      <c r="PZ130" s="11"/>
      <c r="QA130" s="11"/>
      <c r="QB130" s="11"/>
      <c r="QC130" s="11"/>
      <c r="QD130" s="11"/>
      <c r="QE130" s="11"/>
      <c r="QF130" s="11"/>
      <c r="QG130" s="11"/>
      <c r="QH130" s="11"/>
      <c r="QI130" s="11"/>
      <c r="QJ130" s="11"/>
      <c r="QK130" s="11"/>
      <c r="QL130" s="11"/>
      <c r="QM130" s="11"/>
      <c r="QN130" s="11"/>
      <c r="QO130" s="11"/>
      <c r="QP130" s="11"/>
      <c r="QQ130" s="11"/>
      <c r="QR130" s="11"/>
      <c r="QS130" s="11"/>
      <c r="QT130" s="11"/>
      <c r="QU130" s="11"/>
      <c r="QV130" s="11"/>
      <c r="QW130" s="11"/>
      <c r="QX130" s="11"/>
      <c r="QY130" s="11"/>
      <c r="QZ130" s="11"/>
      <c r="RA130" s="11"/>
      <c r="RB130" s="11"/>
      <c r="RC130" s="11"/>
      <c r="RD130" s="11"/>
      <c r="RE130" s="11"/>
      <c r="RF130" s="11"/>
      <c r="RG130" s="11"/>
      <c r="RH130" s="11"/>
      <c r="RI130" s="11"/>
      <c r="RJ130" s="11"/>
      <c r="RK130" s="11"/>
      <c r="RL130" s="11"/>
      <c r="RM130" s="11"/>
      <c r="RN130" s="11"/>
      <c r="RO130" s="11"/>
      <c r="RP130" s="11"/>
      <c r="RQ130" s="11"/>
      <c r="RR130" s="11"/>
      <c r="RS130" s="11"/>
      <c r="RT130" s="11"/>
      <c r="RU130" s="11"/>
      <c r="RV130" s="11"/>
      <c r="RW130" s="11"/>
      <c r="RX130" s="11"/>
      <c r="RY130" s="11"/>
      <c r="RZ130" s="11"/>
      <c r="SA130" s="11"/>
      <c r="SB130" s="11"/>
      <c r="SC130" s="11"/>
      <c r="SD130" s="11"/>
      <c r="SE130" s="11"/>
      <c r="SF130" s="11"/>
      <c r="SG130" s="11"/>
      <c r="SH130" s="11">
        <v>1</v>
      </c>
    </row>
    <row r="131" spans="1:502" x14ac:dyDescent="0.2">
      <c r="A131" s="10">
        <v>1.8860003663010032E-2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>
        <v>1</v>
      </c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  <c r="OM131" s="11"/>
      <c r="ON131" s="11"/>
      <c r="OO131" s="11"/>
      <c r="OP131" s="11"/>
      <c r="OQ131" s="11"/>
      <c r="OR131" s="11"/>
      <c r="OS131" s="11"/>
      <c r="OT131" s="11"/>
      <c r="OU131" s="11"/>
      <c r="OV131" s="11"/>
      <c r="OW131" s="11"/>
      <c r="OX131" s="11"/>
      <c r="OY131" s="11"/>
      <c r="OZ131" s="11"/>
      <c r="PA131" s="11"/>
      <c r="PB131" s="11"/>
      <c r="PC131" s="11"/>
      <c r="PD131" s="11"/>
      <c r="PE131" s="11"/>
      <c r="PF131" s="11"/>
      <c r="PG131" s="11"/>
      <c r="PH131" s="11"/>
      <c r="PI131" s="11"/>
      <c r="PJ131" s="11"/>
      <c r="PK131" s="11"/>
      <c r="PL131" s="11"/>
      <c r="PM131" s="11"/>
      <c r="PN131" s="11"/>
      <c r="PO131" s="11"/>
      <c r="PP131" s="11"/>
      <c r="PQ131" s="11"/>
      <c r="PR131" s="11"/>
      <c r="PS131" s="11"/>
      <c r="PT131" s="11"/>
      <c r="PU131" s="11"/>
      <c r="PV131" s="11"/>
      <c r="PW131" s="11"/>
      <c r="PX131" s="11"/>
      <c r="PY131" s="11"/>
      <c r="PZ131" s="11"/>
      <c r="QA131" s="11"/>
      <c r="QB131" s="11"/>
      <c r="QC131" s="11"/>
      <c r="QD131" s="11"/>
      <c r="QE131" s="11"/>
      <c r="QF131" s="11"/>
      <c r="QG131" s="11"/>
      <c r="QH131" s="11"/>
      <c r="QI131" s="11"/>
      <c r="QJ131" s="11"/>
      <c r="QK131" s="11"/>
      <c r="QL131" s="11"/>
      <c r="QM131" s="11"/>
      <c r="QN131" s="11"/>
      <c r="QO131" s="11"/>
      <c r="QP131" s="11"/>
      <c r="QQ131" s="11"/>
      <c r="QR131" s="11"/>
      <c r="QS131" s="11"/>
      <c r="QT131" s="11"/>
      <c r="QU131" s="11"/>
      <c r="QV131" s="11"/>
      <c r="QW131" s="11"/>
      <c r="QX131" s="11"/>
      <c r="QY131" s="11"/>
      <c r="QZ131" s="11"/>
      <c r="RA131" s="11"/>
      <c r="RB131" s="11"/>
      <c r="RC131" s="11"/>
      <c r="RD131" s="11"/>
      <c r="RE131" s="11"/>
      <c r="RF131" s="11"/>
      <c r="RG131" s="11"/>
      <c r="RH131" s="11"/>
      <c r="RI131" s="11"/>
      <c r="RJ131" s="11"/>
      <c r="RK131" s="11"/>
      <c r="RL131" s="11"/>
      <c r="RM131" s="11"/>
      <c r="RN131" s="11"/>
      <c r="RO131" s="11"/>
      <c r="RP131" s="11"/>
      <c r="RQ131" s="11"/>
      <c r="RR131" s="11"/>
      <c r="RS131" s="11"/>
      <c r="RT131" s="11"/>
      <c r="RU131" s="11"/>
      <c r="RV131" s="11"/>
      <c r="RW131" s="11"/>
      <c r="RX131" s="11"/>
      <c r="RY131" s="11"/>
      <c r="RZ131" s="11"/>
      <c r="SA131" s="11"/>
      <c r="SB131" s="11"/>
      <c r="SC131" s="11"/>
      <c r="SD131" s="11"/>
      <c r="SE131" s="11"/>
      <c r="SF131" s="11"/>
      <c r="SG131" s="11"/>
      <c r="SH131" s="11">
        <v>1</v>
      </c>
    </row>
    <row r="132" spans="1:502" x14ac:dyDescent="0.2">
      <c r="A132" s="10">
        <v>1.8870232643468154E-2</v>
      </c>
      <c r="B132" s="11"/>
      <c r="C132" s="11"/>
      <c r="D132" s="11"/>
      <c r="E132" s="11"/>
      <c r="F132" s="11"/>
      <c r="G132" s="11"/>
      <c r="H132" s="11">
        <v>1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  <c r="OM132" s="11"/>
      <c r="ON132" s="11"/>
      <c r="OO132" s="11"/>
      <c r="OP132" s="11"/>
      <c r="OQ132" s="11"/>
      <c r="OR132" s="11"/>
      <c r="OS132" s="11"/>
      <c r="OT132" s="11"/>
      <c r="OU132" s="11"/>
      <c r="OV132" s="11"/>
      <c r="OW132" s="11"/>
      <c r="OX132" s="11"/>
      <c r="OY132" s="11"/>
      <c r="OZ132" s="11"/>
      <c r="PA132" s="11"/>
      <c r="PB132" s="11"/>
      <c r="PC132" s="11"/>
      <c r="PD132" s="11"/>
      <c r="PE132" s="11"/>
      <c r="PF132" s="11"/>
      <c r="PG132" s="11"/>
      <c r="PH132" s="11"/>
      <c r="PI132" s="11"/>
      <c r="PJ132" s="11"/>
      <c r="PK132" s="11"/>
      <c r="PL132" s="11"/>
      <c r="PM132" s="11"/>
      <c r="PN132" s="11"/>
      <c r="PO132" s="11"/>
      <c r="PP132" s="11"/>
      <c r="PQ132" s="11"/>
      <c r="PR132" s="11"/>
      <c r="PS132" s="11"/>
      <c r="PT132" s="11"/>
      <c r="PU132" s="11"/>
      <c r="PV132" s="11"/>
      <c r="PW132" s="11"/>
      <c r="PX132" s="11"/>
      <c r="PY132" s="11"/>
      <c r="PZ132" s="11"/>
      <c r="QA132" s="11"/>
      <c r="QB132" s="11"/>
      <c r="QC132" s="11"/>
      <c r="QD132" s="11"/>
      <c r="QE132" s="11"/>
      <c r="QF132" s="11"/>
      <c r="QG132" s="11"/>
      <c r="QH132" s="11"/>
      <c r="QI132" s="11"/>
      <c r="QJ132" s="11"/>
      <c r="QK132" s="11"/>
      <c r="QL132" s="11"/>
      <c r="QM132" s="11"/>
      <c r="QN132" s="11"/>
      <c r="QO132" s="11"/>
      <c r="QP132" s="11"/>
      <c r="QQ132" s="11"/>
      <c r="QR132" s="11"/>
      <c r="QS132" s="11"/>
      <c r="QT132" s="11"/>
      <c r="QU132" s="11"/>
      <c r="QV132" s="11"/>
      <c r="QW132" s="11"/>
      <c r="QX132" s="11"/>
      <c r="QY132" s="11"/>
      <c r="QZ132" s="11"/>
      <c r="RA132" s="11"/>
      <c r="RB132" s="11"/>
      <c r="RC132" s="11"/>
      <c r="RD132" s="11"/>
      <c r="RE132" s="11"/>
      <c r="RF132" s="11"/>
      <c r="RG132" s="11"/>
      <c r="RH132" s="11"/>
      <c r="RI132" s="11"/>
      <c r="RJ132" s="11"/>
      <c r="RK132" s="11"/>
      <c r="RL132" s="11"/>
      <c r="RM132" s="11"/>
      <c r="RN132" s="11"/>
      <c r="RO132" s="11"/>
      <c r="RP132" s="11"/>
      <c r="RQ132" s="11"/>
      <c r="RR132" s="11"/>
      <c r="RS132" s="11"/>
      <c r="RT132" s="11"/>
      <c r="RU132" s="11"/>
      <c r="RV132" s="11"/>
      <c r="RW132" s="11"/>
      <c r="RX132" s="11"/>
      <c r="RY132" s="11"/>
      <c r="RZ132" s="11"/>
      <c r="SA132" s="11"/>
      <c r="SB132" s="11"/>
      <c r="SC132" s="11"/>
      <c r="SD132" s="11"/>
      <c r="SE132" s="11"/>
      <c r="SF132" s="11"/>
      <c r="SG132" s="11"/>
      <c r="SH132" s="11">
        <v>1</v>
      </c>
    </row>
    <row r="133" spans="1:502" x14ac:dyDescent="0.2">
      <c r="A133" s="10">
        <v>1.8968916769134231E-2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>
        <v>1</v>
      </c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  <c r="OM133" s="11"/>
      <c r="ON133" s="11"/>
      <c r="OO133" s="11"/>
      <c r="OP133" s="11"/>
      <c r="OQ133" s="11"/>
      <c r="OR133" s="11"/>
      <c r="OS133" s="11"/>
      <c r="OT133" s="11"/>
      <c r="OU133" s="11"/>
      <c r="OV133" s="11"/>
      <c r="OW133" s="11"/>
      <c r="OX133" s="11"/>
      <c r="OY133" s="11"/>
      <c r="OZ133" s="11"/>
      <c r="PA133" s="11"/>
      <c r="PB133" s="11"/>
      <c r="PC133" s="11"/>
      <c r="PD133" s="11"/>
      <c r="PE133" s="11"/>
      <c r="PF133" s="11"/>
      <c r="PG133" s="11"/>
      <c r="PH133" s="11"/>
      <c r="PI133" s="11"/>
      <c r="PJ133" s="11"/>
      <c r="PK133" s="11"/>
      <c r="PL133" s="11"/>
      <c r="PM133" s="11"/>
      <c r="PN133" s="11"/>
      <c r="PO133" s="11"/>
      <c r="PP133" s="11"/>
      <c r="PQ133" s="11"/>
      <c r="PR133" s="11"/>
      <c r="PS133" s="11"/>
      <c r="PT133" s="11"/>
      <c r="PU133" s="11"/>
      <c r="PV133" s="11"/>
      <c r="PW133" s="11"/>
      <c r="PX133" s="11"/>
      <c r="PY133" s="11"/>
      <c r="PZ133" s="11"/>
      <c r="QA133" s="11"/>
      <c r="QB133" s="11"/>
      <c r="QC133" s="11"/>
      <c r="QD133" s="11"/>
      <c r="QE133" s="11"/>
      <c r="QF133" s="11"/>
      <c r="QG133" s="11"/>
      <c r="QH133" s="11"/>
      <c r="QI133" s="11"/>
      <c r="QJ133" s="11"/>
      <c r="QK133" s="11"/>
      <c r="QL133" s="11"/>
      <c r="QM133" s="11"/>
      <c r="QN133" s="11"/>
      <c r="QO133" s="11"/>
      <c r="QP133" s="11"/>
      <c r="QQ133" s="11"/>
      <c r="QR133" s="11"/>
      <c r="QS133" s="11"/>
      <c r="QT133" s="11"/>
      <c r="QU133" s="11"/>
      <c r="QV133" s="11"/>
      <c r="QW133" s="11"/>
      <c r="QX133" s="11"/>
      <c r="QY133" s="11"/>
      <c r="QZ133" s="11"/>
      <c r="RA133" s="11"/>
      <c r="RB133" s="11"/>
      <c r="RC133" s="11"/>
      <c r="RD133" s="11"/>
      <c r="RE133" s="11"/>
      <c r="RF133" s="11"/>
      <c r="RG133" s="11"/>
      <c r="RH133" s="11"/>
      <c r="RI133" s="11"/>
      <c r="RJ133" s="11"/>
      <c r="RK133" s="11"/>
      <c r="RL133" s="11"/>
      <c r="RM133" s="11"/>
      <c r="RN133" s="11"/>
      <c r="RO133" s="11"/>
      <c r="RP133" s="11"/>
      <c r="RQ133" s="11"/>
      <c r="RR133" s="11"/>
      <c r="RS133" s="11"/>
      <c r="RT133" s="11"/>
      <c r="RU133" s="11"/>
      <c r="RV133" s="11"/>
      <c r="RW133" s="11"/>
      <c r="RX133" s="11"/>
      <c r="RY133" s="11"/>
      <c r="RZ133" s="11"/>
      <c r="SA133" s="11"/>
      <c r="SB133" s="11"/>
      <c r="SC133" s="11"/>
      <c r="SD133" s="11"/>
      <c r="SE133" s="11"/>
      <c r="SF133" s="11"/>
      <c r="SG133" s="11"/>
      <c r="SH133" s="11">
        <v>1</v>
      </c>
    </row>
    <row r="134" spans="1:502" x14ac:dyDescent="0.2">
      <c r="A134" s="10">
        <v>1.9042850786396906E-2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>
        <v>1</v>
      </c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  <c r="OM134" s="11"/>
      <c r="ON134" s="11"/>
      <c r="OO134" s="11"/>
      <c r="OP134" s="11"/>
      <c r="OQ134" s="11"/>
      <c r="OR134" s="11"/>
      <c r="OS134" s="11"/>
      <c r="OT134" s="11"/>
      <c r="OU134" s="11"/>
      <c r="OV134" s="11"/>
      <c r="OW134" s="11"/>
      <c r="OX134" s="11"/>
      <c r="OY134" s="11"/>
      <c r="OZ134" s="11"/>
      <c r="PA134" s="11"/>
      <c r="PB134" s="11"/>
      <c r="PC134" s="11"/>
      <c r="PD134" s="11"/>
      <c r="PE134" s="11"/>
      <c r="PF134" s="11"/>
      <c r="PG134" s="11"/>
      <c r="PH134" s="11"/>
      <c r="PI134" s="11"/>
      <c r="PJ134" s="11"/>
      <c r="PK134" s="11"/>
      <c r="PL134" s="11"/>
      <c r="PM134" s="11"/>
      <c r="PN134" s="11"/>
      <c r="PO134" s="11"/>
      <c r="PP134" s="11"/>
      <c r="PQ134" s="11"/>
      <c r="PR134" s="11"/>
      <c r="PS134" s="11"/>
      <c r="PT134" s="11"/>
      <c r="PU134" s="11"/>
      <c r="PV134" s="11"/>
      <c r="PW134" s="11"/>
      <c r="PX134" s="11"/>
      <c r="PY134" s="11"/>
      <c r="PZ134" s="11"/>
      <c r="QA134" s="11"/>
      <c r="QB134" s="11"/>
      <c r="QC134" s="11"/>
      <c r="QD134" s="11"/>
      <c r="QE134" s="11"/>
      <c r="QF134" s="11"/>
      <c r="QG134" s="11"/>
      <c r="QH134" s="11"/>
      <c r="QI134" s="11"/>
      <c r="QJ134" s="11"/>
      <c r="QK134" s="11"/>
      <c r="QL134" s="11"/>
      <c r="QM134" s="11"/>
      <c r="QN134" s="11"/>
      <c r="QO134" s="11"/>
      <c r="QP134" s="11"/>
      <c r="QQ134" s="11"/>
      <c r="QR134" s="11"/>
      <c r="QS134" s="11"/>
      <c r="QT134" s="11"/>
      <c r="QU134" s="11"/>
      <c r="QV134" s="11"/>
      <c r="QW134" s="11"/>
      <c r="QX134" s="11"/>
      <c r="QY134" s="11"/>
      <c r="QZ134" s="11"/>
      <c r="RA134" s="11"/>
      <c r="RB134" s="11"/>
      <c r="RC134" s="11"/>
      <c r="RD134" s="11"/>
      <c r="RE134" s="11"/>
      <c r="RF134" s="11"/>
      <c r="RG134" s="11"/>
      <c r="RH134" s="11"/>
      <c r="RI134" s="11"/>
      <c r="RJ134" s="11"/>
      <c r="RK134" s="11"/>
      <c r="RL134" s="11"/>
      <c r="RM134" s="11"/>
      <c r="RN134" s="11"/>
      <c r="RO134" s="11"/>
      <c r="RP134" s="11"/>
      <c r="RQ134" s="11"/>
      <c r="RR134" s="11"/>
      <c r="RS134" s="11"/>
      <c r="RT134" s="11"/>
      <c r="RU134" s="11"/>
      <c r="RV134" s="11"/>
      <c r="RW134" s="11"/>
      <c r="RX134" s="11"/>
      <c r="RY134" s="11"/>
      <c r="RZ134" s="11"/>
      <c r="SA134" s="11"/>
      <c r="SB134" s="11"/>
      <c r="SC134" s="11"/>
      <c r="SD134" s="11"/>
      <c r="SE134" s="11"/>
      <c r="SF134" s="11"/>
      <c r="SG134" s="11"/>
      <c r="SH134" s="11">
        <v>1</v>
      </c>
    </row>
    <row r="135" spans="1:502" x14ac:dyDescent="0.2">
      <c r="A135" s="10">
        <v>1.9099845755057313E-2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  <c r="OM135" s="11"/>
      <c r="ON135" s="11"/>
      <c r="OO135" s="11"/>
      <c r="OP135" s="11"/>
      <c r="OQ135" s="11"/>
      <c r="OR135" s="11"/>
      <c r="OS135" s="11">
        <v>1</v>
      </c>
      <c r="OT135" s="11"/>
      <c r="OU135" s="11"/>
      <c r="OV135" s="11"/>
      <c r="OW135" s="11"/>
      <c r="OX135" s="11"/>
      <c r="OY135" s="11"/>
      <c r="OZ135" s="11"/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1"/>
      <c r="PL135" s="11"/>
      <c r="PM135" s="11"/>
      <c r="PN135" s="11"/>
      <c r="PO135" s="11"/>
      <c r="PP135" s="11"/>
      <c r="PQ135" s="11"/>
      <c r="PR135" s="11"/>
      <c r="PS135" s="11"/>
      <c r="PT135" s="11"/>
      <c r="PU135" s="11"/>
      <c r="PV135" s="11"/>
      <c r="PW135" s="11"/>
      <c r="PX135" s="11"/>
      <c r="PY135" s="11"/>
      <c r="PZ135" s="11"/>
      <c r="QA135" s="11"/>
      <c r="QB135" s="11"/>
      <c r="QC135" s="11"/>
      <c r="QD135" s="11"/>
      <c r="QE135" s="11"/>
      <c r="QF135" s="11"/>
      <c r="QG135" s="11"/>
      <c r="QH135" s="11"/>
      <c r="QI135" s="11"/>
      <c r="QJ135" s="11"/>
      <c r="QK135" s="11"/>
      <c r="QL135" s="11"/>
      <c r="QM135" s="11"/>
      <c r="QN135" s="11"/>
      <c r="QO135" s="11"/>
      <c r="QP135" s="11"/>
      <c r="QQ135" s="11"/>
      <c r="QR135" s="11"/>
      <c r="QS135" s="11"/>
      <c r="QT135" s="11"/>
      <c r="QU135" s="11"/>
      <c r="QV135" s="11"/>
      <c r="QW135" s="11"/>
      <c r="QX135" s="11"/>
      <c r="QY135" s="11"/>
      <c r="QZ135" s="11"/>
      <c r="RA135" s="11"/>
      <c r="RB135" s="11"/>
      <c r="RC135" s="11"/>
      <c r="RD135" s="11"/>
      <c r="RE135" s="11"/>
      <c r="RF135" s="11"/>
      <c r="RG135" s="11"/>
      <c r="RH135" s="11"/>
      <c r="RI135" s="11"/>
      <c r="RJ135" s="11"/>
      <c r="RK135" s="11"/>
      <c r="RL135" s="11"/>
      <c r="RM135" s="11"/>
      <c r="RN135" s="11"/>
      <c r="RO135" s="11"/>
      <c r="RP135" s="11"/>
      <c r="RQ135" s="11"/>
      <c r="RR135" s="11"/>
      <c r="RS135" s="11"/>
      <c r="RT135" s="11"/>
      <c r="RU135" s="11"/>
      <c r="RV135" s="11"/>
      <c r="RW135" s="11"/>
      <c r="RX135" s="11"/>
      <c r="RY135" s="11"/>
      <c r="RZ135" s="11"/>
      <c r="SA135" s="11"/>
      <c r="SB135" s="11"/>
      <c r="SC135" s="11"/>
      <c r="SD135" s="11"/>
      <c r="SE135" s="11"/>
      <c r="SF135" s="11"/>
      <c r="SG135" s="11"/>
      <c r="SH135" s="11">
        <v>1</v>
      </c>
    </row>
    <row r="136" spans="1:502" x14ac:dyDescent="0.2">
      <c r="A136" s="10">
        <v>1.9133575378847596E-2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>
        <v>1</v>
      </c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  <c r="OM136" s="11"/>
      <c r="ON136" s="11"/>
      <c r="OO136" s="11"/>
      <c r="OP136" s="11"/>
      <c r="OQ136" s="11"/>
      <c r="OR136" s="11"/>
      <c r="OS136" s="11"/>
      <c r="OT136" s="11"/>
      <c r="OU136" s="11"/>
      <c r="OV136" s="11"/>
      <c r="OW136" s="11"/>
      <c r="OX136" s="11"/>
      <c r="OY136" s="11"/>
      <c r="OZ136" s="11"/>
      <c r="PA136" s="11"/>
      <c r="PB136" s="11"/>
      <c r="PC136" s="11"/>
      <c r="PD136" s="11"/>
      <c r="PE136" s="11"/>
      <c r="PF136" s="11"/>
      <c r="PG136" s="11"/>
      <c r="PH136" s="11"/>
      <c r="PI136" s="11"/>
      <c r="PJ136" s="11"/>
      <c r="PK136" s="11"/>
      <c r="PL136" s="11"/>
      <c r="PM136" s="11"/>
      <c r="PN136" s="11"/>
      <c r="PO136" s="11"/>
      <c r="PP136" s="11"/>
      <c r="PQ136" s="11"/>
      <c r="PR136" s="11"/>
      <c r="PS136" s="11"/>
      <c r="PT136" s="11"/>
      <c r="PU136" s="11"/>
      <c r="PV136" s="11"/>
      <c r="PW136" s="11"/>
      <c r="PX136" s="11"/>
      <c r="PY136" s="11"/>
      <c r="PZ136" s="11"/>
      <c r="QA136" s="11"/>
      <c r="QB136" s="11"/>
      <c r="QC136" s="11"/>
      <c r="QD136" s="11"/>
      <c r="QE136" s="11"/>
      <c r="QF136" s="11"/>
      <c r="QG136" s="11"/>
      <c r="QH136" s="11"/>
      <c r="QI136" s="11"/>
      <c r="QJ136" s="11"/>
      <c r="QK136" s="11"/>
      <c r="QL136" s="11"/>
      <c r="QM136" s="11"/>
      <c r="QN136" s="11"/>
      <c r="QO136" s="11"/>
      <c r="QP136" s="11"/>
      <c r="QQ136" s="11"/>
      <c r="QR136" s="11"/>
      <c r="QS136" s="11"/>
      <c r="QT136" s="11"/>
      <c r="QU136" s="11"/>
      <c r="QV136" s="11"/>
      <c r="QW136" s="11"/>
      <c r="QX136" s="11"/>
      <c r="QY136" s="11"/>
      <c r="QZ136" s="11"/>
      <c r="RA136" s="11"/>
      <c r="RB136" s="11"/>
      <c r="RC136" s="11"/>
      <c r="RD136" s="11"/>
      <c r="RE136" s="11"/>
      <c r="RF136" s="11"/>
      <c r="RG136" s="11"/>
      <c r="RH136" s="11"/>
      <c r="RI136" s="11"/>
      <c r="RJ136" s="11"/>
      <c r="RK136" s="11"/>
      <c r="RL136" s="11"/>
      <c r="RM136" s="11"/>
      <c r="RN136" s="11"/>
      <c r="RO136" s="11"/>
      <c r="RP136" s="11"/>
      <c r="RQ136" s="11"/>
      <c r="RR136" s="11"/>
      <c r="RS136" s="11"/>
      <c r="RT136" s="11"/>
      <c r="RU136" s="11"/>
      <c r="RV136" s="11"/>
      <c r="RW136" s="11"/>
      <c r="RX136" s="11"/>
      <c r="RY136" s="11"/>
      <c r="RZ136" s="11"/>
      <c r="SA136" s="11"/>
      <c r="SB136" s="11"/>
      <c r="SC136" s="11"/>
      <c r="SD136" s="11"/>
      <c r="SE136" s="11"/>
      <c r="SF136" s="11"/>
      <c r="SG136" s="11"/>
      <c r="SH136" s="11">
        <v>1</v>
      </c>
    </row>
    <row r="137" spans="1:502" x14ac:dyDescent="0.2">
      <c r="A137" s="10">
        <v>1.9345149064637981E-2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>
        <v>1</v>
      </c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  <c r="OM137" s="11"/>
      <c r="ON137" s="11"/>
      <c r="OO137" s="11"/>
      <c r="OP137" s="11"/>
      <c r="OQ137" s="11"/>
      <c r="OR137" s="11"/>
      <c r="OS137" s="11"/>
      <c r="OT137" s="11"/>
      <c r="OU137" s="11"/>
      <c r="OV137" s="11"/>
      <c r="OW137" s="11"/>
      <c r="OX137" s="11"/>
      <c r="OY137" s="11"/>
      <c r="OZ137" s="11"/>
      <c r="PA137" s="11"/>
      <c r="PB137" s="11"/>
      <c r="PC137" s="11"/>
      <c r="PD137" s="11"/>
      <c r="PE137" s="11"/>
      <c r="PF137" s="11"/>
      <c r="PG137" s="11"/>
      <c r="PH137" s="11"/>
      <c r="PI137" s="11"/>
      <c r="PJ137" s="11"/>
      <c r="PK137" s="11"/>
      <c r="PL137" s="11"/>
      <c r="PM137" s="11"/>
      <c r="PN137" s="11"/>
      <c r="PO137" s="11"/>
      <c r="PP137" s="11"/>
      <c r="PQ137" s="11"/>
      <c r="PR137" s="11"/>
      <c r="PS137" s="11"/>
      <c r="PT137" s="11"/>
      <c r="PU137" s="11"/>
      <c r="PV137" s="11"/>
      <c r="PW137" s="11"/>
      <c r="PX137" s="11"/>
      <c r="PY137" s="11"/>
      <c r="PZ137" s="11"/>
      <c r="QA137" s="11"/>
      <c r="QB137" s="11"/>
      <c r="QC137" s="11"/>
      <c r="QD137" s="11"/>
      <c r="QE137" s="11"/>
      <c r="QF137" s="11"/>
      <c r="QG137" s="11"/>
      <c r="QH137" s="11"/>
      <c r="QI137" s="11"/>
      <c r="QJ137" s="11"/>
      <c r="QK137" s="11"/>
      <c r="QL137" s="11"/>
      <c r="QM137" s="11"/>
      <c r="QN137" s="11"/>
      <c r="QO137" s="11"/>
      <c r="QP137" s="11"/>
      <c r="QQ137" s="11"/>
      <c r="QR137" s="11"/>
      <c r="QS137" s="11"/>
      <c r="QT137" s="11"/>
      <c r="QU137" s="11"/>
      <c r="QV137" s="11"/>
      <c r="QW137" s="11"/>
      <c r="QX137" s="11"/>
      <c r="QY137" s="11"/>
      <c r="QZ137" s="11"/>
      <c r="RA137" s="11"/>
      <c r="RB137" s="11"/>
      <c r="RC137" s="11"/>
      <c r="RD137" s="11"/>
      <c r="RE137" s="11"/>
      <c r="RF137" s="11"/>
      <c r="RG137" s="11"/>
      <c r="RH137" s="11"/>
      <c r="RI137" s="11"/>
      <c r="RJ137" s="11"/>
      <c r="RK137" s="11"/>
      <c r="RL137" s="11"/>
      <c r="RM137" s="11"/>
      <c r="RN137" s="11"/>
      <c r="RO137" s="11"/>
      <c r="RP137" s="11"/>
      <c r="RQ137" s="11"/>
      <c r="RR137" s="11"/>
      <c r="RS137" s="11"/>
      <c r="RT137" s="11"/>
      <c r="RU137" s="11"/>
      <c r="RV137" s="11"/>
      <c r="RW137" s="11"/>
      <c r="RX137" s="11"/>
      <c r="RY137" s="11"/>
      <c r="RZ137" s="11"/>
      <c r="SA137" s="11"/>
      <c r="SB137" s="11"/>
      <c r="SC137" s="11"/>
      <c r="SD137" s="11"/>
      <c r="SE137" s="11"/>
      <c r="SF137" s="11"/>
      <c r="SG137" s="11"/>
      <c r="SH137" s="11">
        <v>1</v>
      </c>
    </row>
    <row r="138" spans="1:502" x14ac:dyDescent="0.2">
      <c r="A138" s="10">
        <v>1.9406680300689056E-2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>
        <v>1</v>
      </c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  <c r="OM138" s="11"/>
      <c r="ON138" s="11"/>
      <c r="OO138" s="11"/>
      <c r="OP138" s="11"/>
      <c r="OQ138" s="11"/>
      <c r="OR138" s="11"/>
      <c r="OS138" s="11"/>
      <c r="OT138" s="11"/>
      <c r="OU138" s="11"/>
      <c r="OV138" s="11"/>
      <c r="OW138" s="11"/>
      <c r="OX138" s="11"/>
      <c r="OY138" s="11"/>
      <c r="OZ138" s="11"/>
      <c r="PA138" s="11"/>
      <c r="PB138" s="11"/>
      <c r="PC138" s="11"/>
      <c r="PD138" s="11"/>
      <c r="PE138" s="11"/>
      <c r="PF138" s="11"/>
      <c r="PG138" s="11"/>
      <c r="PH138" s="11"/>
      <c r="PI138" s="11"/>
      <c r="PJ138" s="11"/>
      <c r="PK138" s="11"/>
      <c r="PL138" s="11"/>
      <c r="PM138" s="11"/>
      <c r="PN138" s="11"/>
      <c r="PO138" s="11"/>
      <c r="PP138" s="11"/>
      <c r="PQ138" s="11"/>
      <c r="PR138" s="11"/>
      <c r="PS138" s="11"/>
      <c r="PT138" s="11"/>
      <c r="PU138" s="11"/>
      <c r="PV138" s="11"/>
      <c r="PW138" s="11"/>
      <c r="PX138" s="11"/>
      <c r="PY138" s="11"/>
      <c r="PZ138" s="11"/>
      <c r="QA138" s="11"/>
      <c r="QB138" s="11"/>
      <c r="QC138" s="11"/>
      <c r="QD138" s="11"/>
      <c r="QE138" s="11"/>
      <c r="QF138" s="11"/>
      <c r="QG138" s="11"/>
      <c r="QH138" s="11"/>
      <c r="QI138" s="11"/>
      <c r="QJ138" s="11"/>
      <c r="QK138" s="11"/>
      <c r="QL138" s="11"/>
      <c r="QM138" s="11"/>
      <c r="QN138" s="11"/>
      <c r="QO138" s="11"/>
      <c r="QP138" s="11"/>
      <c r="QQ138" s="11"/>
      <c r="QR138" s="11"/>
      <c r="QS138" s="11"/>
      <c r="QT138" s="11"/>
      <c r="QU138" s="11"/>
      <c r="QV138" s="11"/>
      <c r="QW138" s="11"/>
      <c r="QX138" s="11"/>
      <c r="QY138" s="11"/>
      <c r="QZ138" s="11"/>
      <c r="RA138" s="11"/>
      <c r="RB138" s="11"/>
      <c r="RC138" s="11"/>
      <c r="RD138" s="11"/>
      <c r="RE138" s="11"/>
      <c r="RF138" s="11"/>
      <c r="RG138" s="11"/>
      <c r="RH138" s="11"/>
      <c r="RI138" s="11"/>
      <c r="RJ138" s="11"/>
      <c r="RK138" s="11"/>
      <c r="RL138" s="11"/>
      <c r="RM138" s="11"/>
      <c r="RN138" s="11"/>
      <c r="RO138" s="11"/>
      <c r="RP138" s="11"/>
      <c r="RQ138" s="11"/>
      <c r="RR138" s="11"/>
      <c r="RS138" s="11"/>
      <c r="RT138" s="11"/>
      <c r="RU138" s="11"/>
      <c r="RV138" s="11"/>
      <c r="RW138" s="11"/>
      <c r="RX138" s="11"/>
      <c r="RY138" s="11"/>
      <c r="RZ138" s="11"/>
      <c r="SA138" s="11"/>
      <c r="SB138" s="11"/>
      <c r="SC138" s="11"/>
      <c r="SD138" s="11"/>
      <c r="SE138" s="11"/>
      <c r="SF138" s="11"/>
      <c r="SG138" s="11"/>
      <c r="SH138" s="11">
        <v>1</v>
      </c>
    </row>
    <row r="139" spans="1:502" x14ac:dyDescent="0.2">
      <c r="A139" s="10">
        <v>1.9438182256773018E-2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>
        <v>1</v>
      </c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  <c r="OM139" s="11"/>
      <c r="ON139" s="11"/>
      <c r="OO139" s="11"/>
      <c r="OP139" s="11"/>
      <c r="OQ139" s="11"/>
      <c r="OR139" s="11"/>
      <c r="OS139" s="11"/>
      <c r="OT139" s="11"/>
      <c r="OU139" s="11"/>
      <c r="OV139" s="11"/>
      <c r="OW139" s="11"/>
      <c r="OX139" s="11"/>
      <c r="OY139" s="11"/>
      <c r="OZ139" s="11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1"/>
      <c r="PT139" s="11"/>
      <c r="PU139" s="11"/>
      <c r="PV139" s="11"/>
      <c r="PW139" s="11"/>
      <c r="PX139" s="11"/>
      <c r="PY139" s="11"/>
      <c r="PZ139" s="11"/>
      <c r="QA139" s="11"/>
      <c r="QB139" s="11"/>
      <c r="QC139" s="11"/>
      <c r="QD139" s="11"/>
      <c r="QE139" s="11"/>
      <c r="QF139" s="11"/>
      <c r="QG139" s="11"/>
      <c r="QH139" s="11"/>
      <c r="QI139" s="11"/>
      <c r="QJ139" s="11"/>
      <c r="QK139" s="11"/>
      <c r="QL139" s="11"/>
      <c r="QM139" s="11"/>
      <c r="QN139" s="11"/>
      <c r="QO139" s="11"/>
      <c r="QP139" s="11"/>
      <c r="QQ139" s="11"/>
      <c r="QR139" s="11"/>
      <c r="QS139" s="11"/>
      <c r="QT139" s="11"/>
      <c r="QU139" s="11"/>
      <c r="QV139" s="11"/>
      <c r="QW139" s="11"/>
      <c r="QX139" s="11"/>
      <c r="QY139" s="11"/>
      <c r="QZ139" s="11"/>
      <c r="RA139" s="11"/>
      <c r="RB139" s="11"/>
      <c r="RC139" s="11"/>
      <c r="RD139" s="11"/>
      <c r="RE139" s="11"/>
      <c r="RF139" s="11"/>
      <c r="RG139" s="11"/>
      <c r="RH139" s="11"/>
      <c r="RI139" s="11"/>
      <c r="RJ139" s="11"/>
      <c r="RK139" s="11"/>
      <c r="RL139" s="11"/>
      <c r="RM139" s="11"/>
      <c r="RN139" s="11"/>
      <c r="RO139" s="11"/>
      <c r="RP139" s="11"/>
      <c r="RQ139" s="11"/>
      <c r="RR139" s="11"/>
      <c r="RS139" s="11"/>
      <c r="RT139" s="11"/>
      <c r="RU139" s="11"/>
      <c r="RV139" s="11"/>
      <c r="RW139" s="11"/>
      <c r="RX139" s="11"/>
      <c r="RY139" s="11"/>
      <c r="RZ139" s="11"/>
      <c r="SA139" s="11"/>
      <c r="SB139" s="11"/>
      <c r="SC139" s="11"/>
      <c r="SD139" s="11"/>
      <c r="SE139" s="11"/>
      <c r="SF139" s="11"/>
      <c r="SG139" s="11"/>
      <c r="SH139" s="11">
        <v>1</v>
      </c>
    </row>
    <row r="140" spans="1:502" x14ac:dyDescent="0.2">
      <c r="A140" s="10">
        <v>1.9500754643291176E-2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>
        <v>1</v>
      </c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  <c r="OM140" s="11"/>
      <c r="ON140" s="11"/>
      <c r="OO140" s="11"/>
      <c r="OP140" s="11"/>
      <c r="OQ140" s="11"/>
      <c r="OR140" s="11"/>
      <c r="OS140" s="11"/>
      <c r="OT140" s="11"/>
      <c r="OU140" s="11"/>
      <c r="OV140" s="11"/>
      <c r="OW140" s="11"/>
      <c r="OX140" s="11"/>
      <c r="OY140" s="11"/>
      <c r="OZ140" s="11"/>
      <c r="PA140" s="11"/>
      <c r="PB140" s="11"/>
      <c r="PC140" s="11"/>
      <c r="PD140" s="11"/>
      <c r="PE140" s="11"/>
      <c r="PF140" s="11"/>
      <c r="PG140" s="11"/>
      <c r="PH140" s="11"/>
      <c r="PI140" s="11"/>
      <c r="PJ140" s="11"/>
      <c r="PK140" s="11"/>
      <c r="PL140" s="11"/>
      <c r="PM140" s="11"/>
      <c r="PN140" s="11"/>
      <c r="PO140" s="11"/>
      <c r="PP140" s="11"/>
      <c r="PQ140" s="11"/>
      <c r="PR140" s="11"/>
      <c r="PS140" s="11"/>
      <c r="PT140" s="11"/>
      <c r="PU140" s="11"/>
      <c r="PV140" s="11"/>
      <c r="PW140" s="11"/>
      <c r="PX140" s="11"/>
      <c r="PY140" s="11"/>
      <c r="PZ140" s="11"/>
      <c r="QA140" s="11"/>
      <c r="QB140" s="11"/>
      <c r="QC140" s="11"/>
      <c r="QD140" s="11"/>
      <c r="QE140" s="11"/>
      <c r="QF140" s="11"/>
      <c r="QG140" s="11"/>
      <c r="QH140" s="11"/>
      <c r="QI140" s="11"/>
      <c r="QJ140" s="11"/>
      <c r="QK140" s="11"/>
      <c r="QL140" s="11"/>
      <c r="QM140" s="11"/>
      <c r="QN140" s="11"/>
      <c r="QO140" s="11"/>
      <c r="QP140" s="11"/>
      <c r="QQ140" s="11"/>
      <c r="QR140" s="11"/>
      <c r="QS140" s="11"/>
      <c r="QT140" s="11"/>
      <c r="QU140" s="11"/>
      <c r="QV140" s="11"/>
      <c r="QW140" s="11"/>
      <c r="QX140" s="11"/>
      <c r="QY140" s="11"/>
      <c r="QZ140" s="11"/>
      <c r="RA140" s="11"/>
      <c r="RB140" s="11"/>
      <c r="RC140" s="11"/>
      <c r="RD140" s="11"/>
      <c r="RE140" s="11"/>
      <c r="RF140" s="11"/>
      <c r="RG140" s="11"/>
      <c r="RH140" s="11"/>
      <c r="RI140" s="11"/>
      <c r="RJ140" s="11"/>
      <c r="RK140" s="11"/>
      <c r="RL140" s="11"/>
      <c r="RM140" s="11"/>
      <c r="RN140" s="11"/>
      <c r="RO140" s="11"/>
      <c r="RP140" s="11"/>
      <c r="RQ140" s="11"/>
      <c r="RR140" s="11"/>
      <c r="RS140" s="11"/>
      <c r="RT140" s="11"/>
      <c r="RU140" s="11"/>
      <c r="RV140" s="11"/>
      <c r="RW140" s="11"/>
      <c r="RX140" s="11"/>
      <c r="RY140" s="11"/>
      <c r="RZ140" s="11"/>
      <c r="SA140" s="11"/>
      <c r="SB140" s="11"/>
      <c r="SC140" s="11"/>
      <c r="SD140" s="11"/>
      <c r="SE140" s="11"/>
      <c r="SF140" s="11"/>
      <c r="SG140" s="11"/>
      <c r="SH140" s="11">
        <v>1</v>
      </c>
    </row>
    <row r="141" spans="1:502" x14ac:dyDescent="0.2">
      <c r="A141" s="10">
        <v>1.9552059080480345E-2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>
        <v>1</v>
      </c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1"/>
      <c r="PL141" s="11"/>
      <c r="PM141" s="11"/>
      <c r="PN141" s="11"/>
      <c r="PO141" s="11"/>
      <c r="PP141" s="11"/>
      <c r="PQ141" s="11"/>
      <c r="PR141" s="11"/>
      <c r="PS141" s="11"/>
      <c r="PT141" s="11"/>
      <c r="PU141" s="11"/>
      <c r="PV141" s="11"/>
      <c r="PW141" s="11"/>
      <c r="PX141" s="11"/>
      <c r="PY141" s="11"/>
      <c r="PZ141" s="11"/>
      <c r="QA141" s="11"/>
      <c r="QB141" s="11"/>
      <c r="QC141" s="11"/>
      <c r="QD141" s="11"/>
      <c r="QE141" s="11"/>
      <c r="QF141" s="11"/>
      <c r="QG141" s="11"/>
      <c r="QH141" s="11"/>
      <c r="QI141" s="11"/>
      <c r="QJ141" s="11"/>
      <c r="QK141" s="11"/>
      <c r="QL141" s="11"/>
      <c r="QM141" s="11"/>
      <c r="QN141" s="11"/>
      <c r="QO141" s="11"/>
      <c r="QP141" s="11"/>
      <c r="QQ141" s="11"/>
      <c r="QR141" s="11"/>
      <c r="QS141" s="11"/>
      <c r="QT141" s="11"/>
      <c r="QU141" s="11"/>
      <c r="QV141" s="11"/>
      <c r="QW141" s="11"/>
      <c r="QX141" s="11"/>
      <c r="QY141" s="11"/>
      <c r="QZ141" s="11"/>
      <c r="RA141" s="11"/>
      <c r="RB141" s="11"/>
      <c r="RC141" s="11"/>
      <c r="RD141" s="11"/>
      <c r="RE141" s="11"/>
      <c r="RF141" s="11"/>
      <c r="RG141" s="11"/>
      <c r="RH141" s="11"/>
      <c r="RI141" s="11"/>
      <c r="RJ141" s="11"/>
      <c r="RK141" s="11"/>
      <c r="RL141" s="11"/>
      <c r="RM141" s="11"/>
      <c r="RN141" s="11"/>
      <c r="RO141" s="11"/>
      <c r="RP141" s="11"/>
      <c r="RQ141" s="11"/>
      <c r="RR141" s="11"/>
      <c r="RS141" s="11"/>
      <c r="RT141" s="11"/>
      <c r="RU141" s="11"/>
      <c r="RV141" s="11"/>
      <c r="RW141" s="11"/>
      <c r="RX141" s="11"/>
      <c r="RY141" s="11"/>
      <c r="RZ141" s="11"/>
      <c r="SA141" s="11"/>
      <c r="SB141" s="11"/>
      <c r="SC141" s="11"/>
      <c r="SD141" s="11"/>
      <c r="SE141" s="11"/>
      <c r="SF141" s="11"/>
      <c r="SG141" s="11"/>
      <c r="SH141" s="11">
        <v>1</v>
      </c>
    </row>
    <row r="142" spans="1:502" x14ac:dyDescent="0.2">
      <c r="A142" s="10">
        <v>1.9567760622704607E-2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>
        <v>1</v>
      </c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  <c r="OM142" s="11"/>
      <c r="ON142" s="11"/>
      <c r="OO142" s="11"/>
      <c r="OP142" s="11"/>
      <c r="OQ142" s="11"/>
      <c r="OR142" s="11"/>
      <c r="OS142" s="11"/>
      <c r="OT142" s="11"/>
      <c r="OU142" s="11"/>
      <c r="OV142" s="11"/>
      <c r="OW142" s="11"/>
      <c r="OX142" s="11"/>
      <c r="OY142" s="11"/>
      <c r="OZ142" s="11"/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1"/>
      <c r="PT142" s="11"/>
      <c r="PU142" s="11"/>
      <c r="PV142" s="11"/>
      <c r="PW142" s="11"/>
      <c r="PX142" s="11"/>
      <c r="PY142" s="11"/>
      <c r="PZ142" s="11"/>
      <c r="QA142" s="11"/>
      <c r="QB142" s="11"/>
      <c r="QC142" s="11"/>
      <c r="QD142" s="11"/>
      <c r="QE142" s="11"/>
      <c r="QF142" s="11"/>
      <c r="QG142" s="11"/>
      <c r="QH142" s="11"/>
      <c r="QI142" s="11"/>
      <c r="QJ142" s="11"/>
      <c r="QK142" s="11"/>
      <c r="QL142" s="11"/>
      <c r="QM142" s="11"/>
      <c r="QN142" s="11"/>
      <c r="QO142" s="11"/>
      <c r="QP142" s="11"/>
      <c r="QQ142" s="11"/>
      <c r="QR142" s="11"/>
      <c r="QS142" s="11"/>
      <c r="QT142" s="11"/>
      <c r="QU142" s="11"/>
      <c r="QV142" s="11"/>
      <c r="QW142" s="11"/>
      <c r="QX142" s="11"/>
      <c r="QY142" s="11"/>
      <c r="QZ142" s="11"/>
      <c r="RA142" s="11"/>
      <c r="RB142" s="11"/>
      <c r="RC142" s="11"/>
      <c r="RD142" s="11"/>
      <c r="RE142" s="11"/>
      <c r="RF142" s="11"/>
      <c r="RG142" s="11"/>
      <c r="RH142" s="11"/>
      <c r="RI142" s="11"/>
      <c r="RJ142" s="11"/>
      <c r="RK142" s="11"/>
      <c r="RL142" s="11"/>
      <c r="RM142" s="11"/>
      <c r="RN142" s="11"/>
      <c r="RO142" s="11"/>
      <c r="RP142" s="11"/>
      <c r="RQ142" s="11"/>
      <c r="RR142" s="11"/>
      <c r="RS142" s="11"/>
      <c r="RT142" s="11"/>
      <c r="RU142" s="11"/>
      <c r="RV142" s="11"/>
      <c r="RW142" s="11"/>
      <c r="RX142" s="11"/>
      <c r="RY142" s="11"/>
      <c r="RZ142" s="11"/>
      <c r="SA142" s="11"/>
      <c r="SB142" s="11"/>
      <c r="SC142" s="11"/>
      <c r="SD142" s="11"/>
      <c r="SE142" s="11"/>
      <c r="SF142" s="11"/>
      <c r="SG142" s="11"/>
      <c r="SH142" s="11">
        <v>1</v>
      </c>
    </row>
    <row r="143" spans="1:502" x14ac:dyDescent="0.2">
      <c r="A143" s="10">
        <v>1.963717784976847E-2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1"/>
      <c r="PT143" s="11">
        <v>1</v>
      </c>
      <c r="PU143" s="11"/>
      <c r="PV143" s="11"/>
      <c r="PW143" s="11"/>
      <c r="PX143" s="11"/>
      <c r="PY143" s="11"/>
      <c r="PZ143" s="11"/>
      <c r="QA143" s="11"/>
      <c r="QB143" s="11"/>
      <c r="QC143" s="11"/>
      <c r="QD143" s="11"/>
      <c r="QE143" s="11"/>
      <c r="QF143" s="11"/>
      <c r="QG143" s="11"/>
      <c r="QH143" s="11"/>
      <c r="QI143" s="11"/>
      <c r="QJ143" s="11"/>
      <c r="QK143" s="11"/>
      <c r="QL143" s="11"/>
      <c r="QM143" s="11"/>
      <c r="QN143" s="11"/>
      <c r="QO143" s="11"/>
      <c r="QP143" s="11"/>
      <c r="QQ143" s="11"/>
      <c r="QR143" s="11"/>
      <c r="QS143" s="11"/>
      <c r="QT143" s="11"/>
      <c r="QU143" s="11"/>
      <c r="QV143" s="11"/>
      <c r="QW143" s="11"/>
      <c r="QX143" s="11"/>
      <c r="QY143" s="11"/>
      <c r="QZ143" s="11"/>
      <c r="RA143" s="11"/>
      <c r="RB143" s="11"/>
      <c r="RC143" s="11"/>
      <c r="RD143" s="11"/>
      <c r="RE143" s="11"/>
      <c r="RF143" s="11"/>
      <c r="RG143" s="11"/>
      <c r="RH143" s="11"/>
      <c r="RI143" s="11"/>
      <c r="RJ143" s="11"/>
      <c r="RK143" s="11"/>
      <c r="RL143" s="11"/>
      <c r="RM143" s="11"/>
      <c r="RN143" s="11"/>
      <c r="RO143" s="11"/>
      <c r="RP143" s="11"/>
      <c r="RQ143" s="11"/>
      <c r="RR143" s="11"/>
      <c r="RS143" s="11"/>
      <c r="RT143" s="11"/>
      <c r="RU143" s="11"/>
      <c r="RV143" s="11"/>
      <c r="RW143" s="11"/>
      <c r="RX143" s="11"/>
      <c r="RY143" s="11"/>
      <c r="RZ143" s="11"/>
      <c r="SA143" s="11"/>
      <c r="SB143" s="11"/>
      <c r="SC143" s="11"/>
      <c r="SD143" s="11"/>
      <c r="SE143" s="11"/>
      <c r="SF143" s="11"/>
      <c r="SG143" s="11"/>
      <c r="SH143" s="11">
        <v>1</v>
      </c>
    </row>
    <row r="144" spans="1:502" x14ac:dyDescent="0.2">
      <c r="A144" s="10">
        <v>1.972590167913137E-2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>
        <v>1</v>
      </c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1"/>
      <c r="PT144" s="11"/>
      <c r="PU144" s="11"/>
      <c r="PV144" s="11"/>
      <c r="PW144" s="11"/>
      <c r="PX144" s="11"/>
      <c r="PY144" s="11"/>
      <c r="PZ144" s="11"/>
      <c r="QA144" s="11"/>
      <c r="QB144" s="11"/>
      <c r="QC144" s="11"/>
      <c r="QD144" s="11"/>
      <c r="QE144" s="11"/>
      <c r="QF144" s="11"/>
      <c r="QG144" s="11"/>
      <c r="QH144" s="11"/>
      <c r="QI144" s="11"/>
      <c r="QJ144" s="11"/>
      <c r="QK144" s="11"/>
      <c r="QL144" s="11"/>
      <c r="QM144" s="11"/>
      <c r="QN144" s="11"/>
      <c r="QO144" s="11"/>
      <c r="QP144" s="11"/>
      <c r="QQ144" s="11"/>
      <c r="QR144" s="11"/>
      <c r="QS144" s="11"/>
      <c r="QT144" s="11"/>
      <c r="QU144" s="11"/>
      <c r="QV144" s="11"/>
      <c r="QW144" s="11"/>
      <c r="QX144" s="11"/>
      <c r="QY144" s="11"/>
      <c r="QZ144" s="11"/>
      <c r="RA144" s="11"/>
      <c r="RB144" s="11"/>
      <c r="RC144" s="11"/>
      <c r="RD144" s="11"/>
      <c r="RE144" s="11"/>
      <c r="RF144" s="11"/>
      <c r="RG144" s="11"/>
      <c r="RH144" s="11"/>
      <c r="RI144" s="11"/>
      <c r="RJ144" s="11"/>
      <c r="RK144" s="11"/>
      <c r="RL144" s="11"/>
      <c r="RM144" s="11"/>
      <c r="RN144" s="11"/>
      <c r="RO144" s="11"/>
      <c r="RP144" s="11"/>
      <c r="RQ144" s="11"/>
      <c r="RR144" s="11"/>
      <c r="RS144" s="11"/>
      <c r="RT144" s="11"/>
      <c r="RU144" s="11"/>
      <c r="RV144" s="11"/>
      <c r="RW144" s="11"/>
      <c r="RX144" s="11"/>
      <c r="RY144" s="11"/>
      <c r="RZ144" s="11"/>
      <c r="SA144" s="11"/>
      <c r="SB144" s="11"/>
      <c r="SC144" s="11"/>
      <c r="SD144" s="11"/>
      <c r="SE144" s="11"/>
      <c r="SF144" s="11"/>
      <c r="SG144" s="11"/>
      <c r="SH144" s="11">
        <v>1</v>
      </c>
    </row>
    <row r="145" spans="1:502" x14ac:dyDescent="0.2">
      <c r="A145" s="10">
        <v>1.9751293060322458E-2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>
        <v>1</v>
      </c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1"/>
      <c r="PT145" s="11"/>
      <c r="PU145" s="11"/>
      <c r="PV145" s="11"/>
      <c r="PW145" s="11"/>
      <c r="PX145" s="11"/>
      <c r="PY145" s="11"/>
      <c r="PZ145" s="11"/>
      <c r="QA145" s="11"/>
      <c r="QB145" s="11"/>
      <c r="QC145" s="11"/>
      <c r="QD145" s="11"/>
      <c r="QE145" s="11"/>
      <c r="QF145" s="11"/>
      <c r="QG145" s="11"/>
      <c r="QH145" s="11"/>
      <c r="QI145" s="11"/>
      <c r="QJ145" s="11"/>
      <c r="QK145" s="11"/>
      <c r="QL145" s="11"/>
      <c r="QM145" s="11"/>
      <c r="QN145" s="11"/>
      <c r="QO145" s="11"/>
      <c r="QP145" s="11"/>
      <c r="QQ145" s="11"/>
      <c r="QR145" s="11"/>
      <c r="QS145" s="11"/>
      <c r="QT145" s="11"/>
      <c r="QU145" s="11"/>
      <c r="QV145" s="11"/>
      <c r="QW145" s="11"/>
      <c r="QX145" s="11"/>
      <c r="QY145" s="11"/>
      <c r="QZ145" s="11"/>
      <c r="RA145" s="11"/>
      <c r="RB145" s="11"/>
      <c r="RC145" s="11"/>
      <c r="RD145" s="11"/>
      <c r="RE145" s="11"/>
      <c r="RF145" s="11"/>
      <c r="RG145" s="11"/>
      <c r="RH145" s="11"/>
      <c r="RI145" s="11"/>
      <c r="RJ145" s="11"/>
      <c r="RK145" s="11"/>
      <c r="RL145" s="11"/>
      <c r="RM145" s="11"/>
      <c r="RN145" s="11"/>
      <c r="RO145" s="11"/>
      <c r="RP145" s="11"/>
      <c r="RQ145" s="11"/>
      <c r="RR145" s="11"/>
      <c r="RS145" s="11"/>
      <c r="RT145" s="11"/>
      <c r="RU145" s="11"/>
      <c r="RV145" s="11"/>
      <c r="RW145" s="11"/>
      <c r="RX145" s="11"/>
      <c r="RY145" s="11"/>
      <c r="RZ145" s="11"/>
      <c r="SA145" s="11"/>
      <c r="SB145" s="11"/>
      <c r="SC145" s="11"/>
      <c r="SD145" s="11"/>
      <c r="SE145" s="11"/>
      <c r="SF145" s="11"/>
      <c r="SG145" s="11"/>
      <c r="SH145" s="11">
        <v>1</v>
      </c>
    </row>
    <row r="146" spans="1:502" x14ac:dyDescent="0.2">
      <c r="A146" s="10">
        <v>1.9843909511921786E-2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>
        <v>1</v>
      </c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  <c r="OM146" s="11"/>
      <c r="ON146" s="11"/>
      <c r="OO146" s="11"/>
      <c r="OP146" s="11"/>
      <c r="OQ146" s="11"/>
      <c r="OR146" s="11"/>
      <c r="OS146" s="11"/>
      <c r="OT146" s="11"/>
      <c r="OU146" s="11"/>
      <c r="OV146" s="11"/>
      <c r="OW146" s="11"/>
      <c r="OX146" s="11"/>
      <c r="OY146" s="11"/>
      <c r="OZ146" s="11"/>
      <c r="PA146" s="11"/>
      <c r="PB146" s="11"/>
      <c r="PC146" s="11"/>
      <c r="PD146" s="11"/>
      <c r="PE146" s="11"/>
      <c r="PF146" s="11"/>
      <c r="PG146" s="11"/>
      <c r="PH146" s="11"/>
      <c r="PI146" s="11"/>
      <c r="PJ146" s="11"/>
      <c r="PK146" s="11"/>
      <c r="PL146" s="11"/>
      <c r="PM146" s="11"/>
      <c r="PN146" s="11"/>
      <c r="PO146" s="11"/>
      <c r="PP146" s="11"/>
      <c r="PQ146" s="11"/>
      <c r="PR146" s="11"/>
      <c r="PS146" s="11"/>
      <c r="PT146" s="11"/>
      <c r="PU146" s="11"/>
      <c r="PV146" s="11"/>
      <c r="PW146" s="11"/>
      <c r="PX146" s="11"/>
      <c r="PY146" s="11"/>
      <c r="PZ146" s="11"/>
      <c r="QA146" s="11"/>
      <c r="QB146" s="11"/>
      <c r="QC146" s="11"/>
      <c r="QD146" s="11"/>
      <c r="QE146" s="11"/>
      <c r="QF146" s="11"/>
      <c r="QG146" s="11"/>
      <c r="QH146" s="11"/>
      <c r="QI146" s="11"/>
      <c r="QJ146" s="11"/>
      <c r="QK146" s="11"/>
      <c r="QL146" s="11"/>
      <c r="QM146" s="11"/>
      <c r="QN146" s="11"/>
      <c r="QO146" s="11"/>
      <c r="QP146" s="11"/>
      <c r="QQ146" s="11"/>
      <c r="QR146" s="11"/>
      <c r="QS146" s="11"/>
      <c r="QT146" s="11"/>
      <c r="QU146" s="11"/>
      <c r="QV146" s="11"/>
      <c r="QW146" s="11"/>
      <c r="QX146" s="11"/>
      <c r="QY146" s="11"/>
      <c r="QZ146" s="11"/>
      <c r="RA146" s="11"/>
      <c r="RB146" s="11"/>
      <c r="RC146" s="11"/>
      <c r="RD146" s="11"/>
      <c r="RE146" s="11"/>
      <c r="RF146" s="11"/>
      <c r="RG146" s="11"/>
      <c r="RH146" s="11"/>
      <c r="RI146" s="11"/>
      <c r="RJ146" s="11"/>
      <c r="RK146" s="11"/>
      <c r="RL146" s="11"/>
      <c r="RM146" s="11"/>
      <c r="RN146" s="11"/>
      <c r="RO146" s="11"/>
      <c r="RP146" s="11"/>
      <c r="RQ146" s="11"/>
      <c r="RR146" s="11"/>
      <c r="RS146" s="11"/>
      <c r="RT146" s="11"/>
      <c r="RU146" s="11"/>
      <c r="RV146" s="11"/>
      <c r="RW146" s="11"/>
      <c r="RX146" s="11"/>
      <c r="RY146" s="11"/>
      <c r="RZ146" s="11"/>
      <c r="SA146" s="11"/>
      <c r="SB146" s="11"/>
      <c r="SC146" s="11"/>
      <c r="SD146" s="11"/>
      <c r="SE146" s="11"/>
      <c r="SF146" s="11"/>
      <c r="SG146" s="11"/>
      <c r="SH146" s="11">
        <v>1</v>
      </c>
    </row>
    <row r="147" spans="1:502" x14ac:dyDescent="0.2">
      <c r="A147" s="10">
        <v>1.9854468530669404E-2</v>
      </c>
      <c r="B147" s="11"/>
      <c r="C147" s="11"/>
      <c r="D147" s="11"/>
      <c r="E147" s="11"/>
      <c r="F147" s="11"/>
      <c r="G147" s="11"/>
      <c r="H147" s="11"/>
      <c r="I147" s="11">
        <v>1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  <c r="OM147" s="11"/>
      <c r="ON147" s="11"/>
      <c r="OO147" s="11"/>
      <c r="OP147" s="11"/>
      <c r="OQ147" s="11"/>
      <c r="OR147" s="11"/>
      <c r="OS147" s="11"/>
      <c r="OT147" s="11"/>
      <c r="OU147" s="11"/>
      <c r="OV147" s="11"/>
      <c r="OW147" s="11"/>
      <c r="OX147" s="11"/>
      <c r="OY147" s="11"/>
      <c r="OZ147" s="11"/>
      <c r="PA147" s="11"/>
      <c r="PB147" s="11"/>
      <c r="PC147" s="11"/>
      <c r="PD147" s="11"/>
      <c r="PE147" s="11"/>
      <c r="PF147" s="11"/>
      <c r="PG147" s="11"/>
      <c r="PH147" s="11"/>
      <c r="PI147" s="11"/>
      <c r="PJ147" s="11"/>
      <c r="PK147" s="11"/>
      <c r="PL147" s="11"/>
      <c r="PM147" s="11"/>
      <c r="PN147" s="11"/>
      <c r="PO147" s="11"/>
      <c r="PP147" s="11"/>
      <c r="PQ147" s="11"/>
      <c r="PR147" s="11"/>
      <c r="PS147" s="11"/>
      <c r="PT147" s="11"/>
      <c r="PU147" s="11"/>
      <c r="PV147" s="11"/>
      <c r="PW147" s="11"/>
      <c r="PX147" s="11"/>
      <c r="PY147" s="11"/>
      <c r="PZ147" s="11"/>
      <c r="QA147" s="11"/>
      <c r="QB147" s="11"/>
      <c r="QC147" s="11"/>
      <c r="QD147" s="11"/>
      <c r="QE147" s="11"/>
      <c r="QF147" s="11"/>
      <c r="QG147" s="11"/>
      <c r="QH147" s="11"/>
      <c r="QI147" s="11"/>
      <c r="QJ147" s="11"/>
      <c r="QK147" s="11"/>
      <c r="QL147" s="11"/>
      <c r="QM147" s="11"/>
      <c r="QN147" s="11"/>
      <c r="QO147" s="11"/>
      <c r="QP147" s="11"/>
      <c r="QQ147" s="11"/>
      <c r="QR147" s="11"/>
      <c r="QS147" s="11"/>
      <c r="QT147" s="11"/>
      <c r="QU147" s="11"/>
      <c r="QV147" s="11"/>
      <c r="QW147" s="11"/>
      <c r="QX147" s="11"/>
      <c r="QY147" s="11"/>
      <c r="QZ147" s="11"/>
      <c r="RA147" s="11"/>
      <c r="RB147" s="11"/>
      <c r="RC147" s="11"/>
      <c r="RD147" s="11"/>
      <c r="RE147" s="11"/>
      <c r="RF147" s="11"/>
      <c r="RG147" s="11"/>
      <c r="RH147" s="11"/>
      <c r="RI147" s="11"/>
      <c r="RJ147" s="11"/>
      <c r="RK147" s="11"/>
      <c r="RL147" s="11"/>
      <c r="RM147" s="11"/>
      <c r="RN147" s="11"/>
      <c r="RO147" s="11"/>
      <c r="RP147" s="11"/>
      <c r="RQ147" s="11"/>
      <c r="RR147" s="11"/>
      <c r="RS147" s="11"/>
      <c r="RT147" s="11"/>
      <c r="RU147" s="11"/>
      <c r="RV147" s="11"/>
      <c r="RW147" s="11"/>
      <c r="RX147" s="11"/>
      <c r="RY147" s="11"/>
      <c r="RZ147" s="11"/>
      <c r="SA147" s="11"/>
      <c r="SB147" s="11"/>
      <c r="SC147" s="11"/>
      <c r="SD147" s="11"/>
      <c r="SE147" s="11"/>
      <c r="SF147" s="11"/>
      <c r="SG147" s="11"/>
      <c r="SH147" s="11">
        <v>1</v>
      </c>
    </row>
    <row r="148" spans="1:502" x14ac:dyDescent="0.2">
      <c r="A148" s="10">
        <v>1.9874390965149293E-2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>
        <v>1</v>
      </c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1"/>
      <c r="PT148" s="11"/>
      <c r="PU148" s="11"/>
      <c r="PV148" s="11"/>
      <c r="PW148" s="11"/>
      <c r="PX148" s="11"/>
      <c r="PY148" s="11"/>
      <c r="PZ148" s="11"/>
      <c r="QA148" s="11"/>
      <c r="QB148" s="11"/>
      <c r="QC148" s="11"/>
      <c r="QD148" s="11"/>
      <c r="QE148" s="11"/>
      <c r="QF148" s="11"/>
      <c r="QG148" s="11"/>
      <c r="QH148" s="11"/>
      <c r="QI148" s="11"/>
      <c r="QJ148" s="11"/>
      <c r="QK148" s="11"/>
      <c r="QL148" s="11"/>
      <c r="QM148" s="11"/>
      <c r="QN148" s="11"/>
      <c r="QO148" s="11"/>
      <c r="QP148" s="11"/>
      <c r="QQ148" s="11"/>
      <c r="QR148" s="11"/>
      <c r="QS148" s="11"/>
      <c r="QT148" s="11"/>
      <c r="QU148" s="11"/>
      <c r="QV148" s="11"/>
      <c r="QW148" s="11"/>
      <c r="QX148" s="11"/>
      <c r="QY148" s="11"/>
      <c r="QZ148" s="11"/>
      <c r="RA148" s="11"/>
      <c r="RB148" s="11"/>
      <c r="RC148" s="11"/>
      <c r="RD148" s="11"/>
      <c r="RE148" s="11"/>
      <c r="RF148" s="11"/>
      <c r="RG148" s="11"/>
      <c r="RH148" s="11"/>
      <c r="RI148" s="11"/>
      <c r="RJ148" s="11"/>
      <c r="RK148" s="11"/>
      <c r="RL148" s="11"/>
      <c r="RM148" s="11"/>
      <c r="RN148" s="11"/>
      <c r="RO148" s="11"/>
      <c r="RP148" s="11"/>
      <c r="RQ148" s="11"/>
      <c r="RR148" s="11"/>
      <c r="RS148" s="11"/>
      <c r="RT148" s="11"/>
      <c r="RU148" s="11"/>
      <c r="RV148" s="11"/>
      <c r="RW148" s="11"/>
      <c r="RX148" s="11"/>
      <c r="RY148" s="11"/>
      <c r="RZ148" s="11"/>
      <c r="SA148" s="11"/>
      <c r="SB148" s="11"/>
      <c r="SC148" s="11"/>
      <c r="SD148" s="11"/>
      <c r="SE148" s="11"/>
      <c r="SF148" s="11"/>
      <c r="SG148" s="11"/>
      <c r="SH148" s="11">
        <v>1</v>
      </c>
    </row>
    <row r="149" spans="1:502" x14ac:dyDescent="0.2">
      <c r="A149" s="10">
        <v>1.991320087621451E-2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>
        <v>1</v>
      </c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  <c r="OM149" s="11"/>
      <c r="ON149" s="11"/>
      <c r="OO149" s="11"/>
      <c r="OP149" s="11"/>
      <c r="OQ149" s="11"/>
      <c r="OR149" s="11"/>
      <c r="OS149" s="11"/>
      <c r="OT149" s="11"/>
      <c r="OU149" s="11"/>
      <c r="OV149" s="11"/>
      <c r="OW149" s="11"/>
      <c r="OX149" s="11"/>
      <c r="OY149" s="11"/>
      <c r="OZ149" s="11"/>
      <c r="PA149" s="11"/>
      <c r="PB149" s="11"/>
      <c r="PC149" s="11"/>
      <c r="PD149" s="11"/>
      <c r="PE149" s="11"/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/>
      <c r="PQ149" s="11"/>
      <c r="PR149" s="11"/>
      <c r="PS149" s="11"/>
      <c r="PT149" s="11"/>
      <c r="PU149" s="11"/>
      <c r="PV149" s="11"/>
      <c r="PW149" s="11"/>
      <c r="PX149" s="11"/>
      <c r="PY149" s="11"/>
      <c r="PZ149" s="11"/>
      <c r="QA149" s="11"/>
      <c r="QB149" s="11"/>
      <c r="QC149" s="11"/>
      <c r="QD149" s="11"/>
      <c r="QE149" s="11"/>
      <c r="QF149" s="11"/>
      <c r="QG149" s="11"/>
      <c r="QH149" s="11"/>
      <c r="QI149" s="11"/>
      <c r="QJ149" s="11"/>
      <c r="QK149" s="11"/>
      <c r="QL149" s="11"/>
      <c r="QM149" s="11"/>
      <c r="QN149" s="11"/>
      <c r="QO149" s="11"/>
      <c r="QP149" s="11"/>
      <c r="QQ149" s="11"/>
      <c r="QR149" s="11"/>
      <c r="QS149" s="11"/>
      <c r="QT149" s="11"/>
      <c r="QU149" s="11"/>
      <c r="QV149" s="11"/>
      <c r="QW149" s="11"/>
      <c r="QX149" s="11"/>
      <c r="QY149" s="11"/>
      <c r="QZ149" s="11"/>
      <c r="RA149" s="11"/>
      <c r="RB149" s="11"/>
      <c r="RC149" s="11"/>
      <c r="RD149" s="11"/>
      <c r="RE149" s="11"/>
      <c r="RF149" s="11"/>
      <c r="RG149" s="11"/>
      <c r="RH149" s="11"/>
      <c r="RI149" s="11"/>
      <c r="RJ149" s="11"/>
      <c r="RK149" s="11"/>
      <c r="RL149" s="11"/>
      <c r="RM149" s="11"/>
      <c r="RN149" s="11"/>
      <c r="RO149" s="11"/>
      <c r="RP149" s="11"/>
      <c r="RQ149" s="11"/>
      <c r="RR149" s="11"/>
      <c r="RS149" s="11"/>
      <c r="RT149" s="11"/>
      <c r="RU149" s="11"/>
      <c r="RV149" s="11"/>
      <c r="RW149" s="11"/>
      <c r="RX149" s="11"/>
      <c r="RY149" s="11"/>
      <c r="RZ149" s="11"/>
      <c r="SA149" s="11"/>
      <c r="SB149" s="11"/>
      <c r="SC149" s="11"/>
      <c r="SD149" s="11"/>
      <c r="SE149" s="11"/>
      <c r="SF149" s="11"/>
      <c r="SG149" s="11"/>
      <c r="SH149" s="11">
        <v>1</v>
      </c>
    </row>
    <row r="150" spans="1:502" x14ac:dyDescent="0.2">
      <c r="A150" s="10">
        <v>1.995416860673219E-2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>
        <v>1</v>
      </c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  <c r="OO150" s="11"/>
      <c r="OP150" s="11"/>
      <c r="OQ150" s="11"/>
      <c r="OR150" s="11"/>
      <c r="OS150" s="11"/>
      <c r="OT150" s="11"/>
      <c r="OU150" s="11"/>
      <c r="OV150" s="11"/>
      <c r="OW150" s="11"/>
      <c r="OX150" s="11"/>
      <c r="OY150" s="11"/>
      <c r="OZ150" s="11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1"/>
      <c r="PT150" s="11"/>
      <c r="PU150" s="11"/>
      <c r="PV150" s="11"/>
      <c r="PW150" s="11"/>
      <c r="PX150" s="11"/>
      <c r="PY150" s="11"/>
      <c r="PZ150" s="11"/>
      <c r="QA150" s="11"/>
      <c r="QB150" s="11"/>
      <c r="QC150" s="11"/>
      <c r="QD150" s="11"/>
      <c r="QE150" s="11"/>
      <c r="QF150" s="11"/>
      <c r="QG150" s="11"/>
      <c r="QH150" s="11"/>
      <c r="QI150" s="11"/>
      <c r="QJ150" s="11"/>
      <c r="QK150" s="11"/>
      <c r="QL150" s="11"/>
      <c r="QM150" s="11"/>
      <c r="QN150" s="11"/>
      <c r="QO150" s="11"/>
      <c r="QP150" s="11"/>
      <c r="QQ150" s="11"/>
      <c r="QR150" s="11"/>
      <c r="QS150" s="11"/>
      <c r="QT150" s="11"/>
      <c r="QU150" s="11"/>
      <c r="QV150" s="11"/>
      <c r="QW150" s="11"/>
      <c r="QX150" s="11"/>
      <c r="QY150" s="11"/>
      <c r="QZ150" s="11"/>
      <c r="RA150" s="11"/>
      <c r="RB150" s="11"/>
      <c r="RC150" s="11"/>
      <c r="RD150" s="11"/>
      <c r="RE150" s="11"/>
      <c r="RF150" s="11"/>
      <c r="RG150" s="11"/>
      <c r="RH150" s="11"/>
      <c r="RI150" s="11"/>
      <c r="RJ150" s="11"/>
      <c r="RK150" s="11"/>
      <c r="RL150" s="11"/>
      <c r="RM150" s="11"/>
      <c r="RN150" s="11"/>
      <c r="RO150" s="11"/>
      <c r="RP150" s="11"/>
      <c r="RQ150" s="11"/>
      <c r="RR150" s="11"/>
      <c r="RS150" s="11"/>
      <c r="RT150" s="11"/>
      <c r="RU150" s="11"/>
      <c r="RV150" s="11"/>
      <c r="RW150" s="11"/>
      <c r="RX150" s="11"/>
      <c r="RY150" s="11"/>
      <c r="RZ150" s="11"/>
      <c r="SA150" s="11"/>
      <c r="SB150" s="11"/>
      <c r="SC150" s="11"/>
      <c r="SD150" s="11"/>
      <c r="SE150" s="11"/>
      <c r="SF150" s="11"/>
      <c r="SG150" s="11"/>
      <c r="SH150" s="11">
        <v>1</v>
      </c>
    </row>
    <row r="151" spans="1:502" x14ac:dyDescent="0.2">
      <c r="A151" s="10">
        <v>1.9988822698109719E-2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  <c r="OM151" s="11"/>
      <c r="ON151" s="11"/>
      <c r="OO151" s="11"/>
      <c r="OP151" s="11"/>
      <c r="OQ151" s="11"/>
      <c r="OR151" s="11"/>
      <c r="OS151" s="11"/>
      <c r="OT151" s="11"/>
      <c r="OU151" s="11"/>
      <c r="OV151" s="11"/>
      <c r="OW151" s="11"/>
      <c r="OX151" s="11"/>
      <c r="OY151" s="11"/>
      <c r="OZ151" s="11"/>
      <c r="PA151" s="11"/>
      <c r="PB151" s="11"/>
      <c r="PC151" s="11"/>
      <c r="PD151" s="11"/>
      <c r="PE151" s="11"/>
      <c r="PF151" s="11"/>
      <c r="PG151" s="11"/>
      <c r="PH151" s="11"/>
      <c r="PI151" s="11"/>
      <c r="PJ151" s="11"/>
      <c r="PK151" s="11"/>
      <c r="PL151" s="11"/>
      <c r="PM151" s="11"/>
      <c r="PN151" s="11"/>
      <c r="PO151" s="11"/>
      <c r="PP151" s="11"/>
      <c r="PQ151" s="11"/>
      <c r="PR151" s="11"/>
      <c r="PS151" s="11"/>
      <c r="PT151" s="11"/>
      <c r="PU151" s="11"/>
      <c r="PV151" s="11"/>
      <c r="PW151" s="11"/>
      <c r="PX151" s="11"/>
      <c r="PY151" s="11"/>
      <c r="PZ151" s="11"/>
      <c r="QA151" s="11"/>
      <c r="QB151" s="11"/>
      <c r="QC151" s="11"/>
      <c r="QD151" s="11"/>
      <c r="QE151" s="11"/>
      <c r="QF151" s="11"/>
      <c r="QG151" s="11"/>
      <c r="QH151" s="11"/>
      <c r="QI151" s="11"/>
      <c r="QJ151" s="11"/>
      <c r="QK151" s="11"/>
      <c r="QL151" s="11"/>
      <c r="QM151" s="11"/>
      <c r="QN151" s="11"/>
      <c r="QO151" s="11"/>
      <c r="QP151" s="11"/>
      <c r="QQ151" s="11"/>
      <c r="QR151" s="11"/>
      <c r="QS151" s="11"/>
      <c r="QT151" s="11"/>
      <c r="QU151" s="11"/>
      <c r="QV151" s="11"/>
      <c r="QW151" s="11"/>
      <c r="QX151" s="11"/>
      <c r="QY151" s="11"/>
      <c r="QZ151" s="11"/>
      <c r="RA151" s="11"/>
      <c r="RB151" s="11"/>
      <c r="RC151" s="11"/>
      <c r="RD151" s="11"/>
      <c r="RE151" s="11"/>
      <c r="RF151" s="11"/>
      <c r="RG151" s="11"/>
      <c r="RH151" s="11"/>
      <c r="RI151" s="11">
        <v>1</v>
      </c>
      <c r="RJ151" s="11"/>
      <c r="RK151" s="11"/>
      <c r="RL151" s="11"/>
      <c r="RM151" s="11"/>
      <c r="RN151" s="11"/>
      <c r="RO151" s="11"/>
      <c r="RP151" s="11"/>
      <c r="RQ151" s="11"/>
      <c r="RR151" s="11"/>
      <c r="RS151" s="11"/>
      <c r="RT151" s="11"/>
      <c r="RU151" s="11"/>
      <c r="RV151" s="11"/>
      <c r="RW151" s="11"/>
      <c r="RX151" s="11"/>
      <c r="RY151" s="11"/>
      <c r="RZ151" s="11"/>
      <c r="SA151" s="11"/>
      <c r="SB151" s="11"/>
      <c r="SC151" s="11"/>
      <c r="SD151" s="11"/>
      <c r="SE151" s="11"/>
      <c r="SF151" s="11"/>
      <c r="SG151" s="11"/>
      <c r="SH151" s="11">
        <v>1</v>
      </c>
    </row>
    <row r="152" spans="1:502" x14ac:dyDescent="0.2">
      <c r="A152" s="10">
        <v>2.0121725289972258E-2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>
        <v>1</v>
      </c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1"/>
      <c r="PL152" s="11"/>
      <c r="PM152" s="11"/>
      <c r="PN152" s="11"/>
      <c r="PO152" s="11"/>
      <c r="PP152" s="11"/>
      <c r="PQ152" s="11"/>
      <c r="PR152" s="11"/>
      <c r="PS152" s="11"/>
      <c r="PT152" s="11"/>
      <c r="PU152" s="11"/>
      <c r="PV152" s="11"/>
      <c r="PW152" s="11"/>
      <c r="PX152" s="11"/>
      <c r="PY152" s="11"/>
      <c r="PZ152" s="11"/>
      <c r="QA152" s="11"/>
      <c r="QB152" s="11"/>
      <c r="QC152" s="11"/>
      <c r="QD152" s="11"/>
      <c r="QE152" s="11"/>
      <c r="QF152" s="11"/>
      <c r="QG152" s="11"/>
      <c r="QH152" s="11"/>
      <c r="QI152" s="11"/>
      <c r="QJ152" s="11"/>
      <c r="QK152" s="11"/>
      <c r="QL152" s="11"/>
      <c r="QM152" s="11"/>
      <c r="QN152" s="11"/>
      <c r="QO152" s="11"/>
      <c r="QP152" s="11"/>
      <c r="QQ152" s="11"/>
      <c r="QR152" s="11"/>
      <c r="QS152" s="11"/>
      <c r="QT152" s="11"/>
      <c r="QU152" s="11"/>
      <c r="QV152" s="11"/>
      <c r="QW152" s="11"/>
      <c r="QX152" s="11"/>
      <c r="QY152" s="11"/>
      <c r="QZ152" s="11"/>
      <c r="RA152" s="11"/>
      <c r="RB152" s="11"/>
      <c r="RC152" s="11"/>
      <c r="RD152" s="11"/>
      <c r="RE152" s="11"/>
      <c r="RF152" s="11"/>
      <c r="RG152" s="11"/>
      <c r="RH152" s="11"/>
      <c r="RI152" s="11"/>
      <c r="RJ152" s="11"/>
      <c r="RK152" s="11"/>
      <c r="RL152" s="11"/>
      <c r="RM152" s="11"/>
      <c r="RN152" s="11"/>
      <c r="RO152" s="11"/>
      <c r="RP152" s="11"/>
      <c r="RQ152" s="11"/>
      <c r="RR152" s="11"/>
      <c r="RS152" s="11"/>
      <c r="RT152" s="11"/>
      <c r="RU152" s="11"/>
      <c r="RV152" s="11"/>
      <c r="RW152" s="11"/>
      <c r="RX152" s="11"/>
      <c r="RY152" s="11"/>
      <c r="RZ152" s="11"/>
      <c r="SA152" s="11"/>
      <c r="SB152" s="11"/>
      <c r="SC152" s="11"/>
      <c r="SD152" s="11"/>
      <c r="SE152" s="11"/>
      <c r="SF152" s="11"/>
      <c r="SG152" s="11"/>
      <c r="SH152" s="11">
        <v>1</v>
      </c>
    </row>
    <row r="153" spans="1:502" x14ac:dyDescent="0.2">
      <c r="A153" s="10">
        <v>2.0126349487885539E-2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  <c r="OM153" s="11"/>
      <c r="ON153" s="11"/>
      <c r="OO153" s="11"/>
      <c r="OP153" s="11"/>
      <c r="OQ153" s="11"/>
      <c r="OR153" s="11"/>
      <c r="OS153" s="11"/>
      <c r="OT153" s="11"/>
      <c r="OU153" s="11"/>
      <c r="OV153" s="11"/>
      <c r="OW153" s="11"/>
      <c r="OX153" s="11"/>
      <c r="OY153" s="11"/>
      <c r="OZ153" s="11"/>
      <c r="PA153" s="11"/>
      <c r="PB153" s="11"/>
      <c r="PC153" s="11"/>
      <c r="PD153" s="11"/>
      <c r="PE153" s="11"/>
      <c r="PF153" s="11"/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/>
      <c r="PS153" s="11"/>
      <c r="PT153" s="11"/>
      <c r="PU153" s="11"/>
      <c r="PV153" s="11"/>
      <c r="PW153" s="11"/>
      <c r="PX153" s="11"/>
      <c r="PY153" s="11"/>
      <c r="PZ153" s="11"/>
      <c r="QA153" s="11"/>
      <c r="QB153" s="11"/>
      <c r="QC153" s="11"/>
      <c r="QD153" s="11"/>
      <c r="QE153" s="11"/>
      <c r="QF153" s="11"/>
      <c r="QG153" s="11"/>
      <c r="QH153" s="11"/>
      <c r="QI153" s="11"/>
      <c r="QJ153" s="11"/>
      <c r="QK153" s="11"/>
      <c r="QL153" s="11"/>
      <c r="QM153" s="11"/>
      <c r="QN153" s="11"/>
      <c r="QO153" s="11"/>
      <c r="QP153" s="11"/>
      <c r="QQ153" s="11"/>
      <c r="QR153" s="11"/>
      <c r="QS153" s="11"/>
      <c r="QT153" s="11"/>
      <c r="QU153" s="11"/>
      <c r="QV153" s="11"/>
      <c r="QW153" s="11"/>
      <c r="QX153" s="11"/>
      <c r="QY153" s="11"/>
      <c r="QZ153" s="11"/>
      <c r="RA153" s="11"/>
      <c r="RB153" s="11"/>
      <c r="RC153" s="11"/>
      <c r="RD153" s="11"/>
      <c r="RE153" s="11"/>
      <c r="RF153" s="11"/>
      <c r="RG153" s="11"/>
      <c r="RH153" s="11"/>
      <c r="RI153" s="11"/>
      <c r="RJ153" s="11"/>
      <c r="RK153" s="11"/>
      <c r="RL153" s="11"/>
      <c r="RM153" s="11"/>
      <c r="RN153" s="11"/>
      <c r="RO153" s="11">
        <v>1</v>
      </c>
      <c r="RP153" s="11"/>
      <c r="RQ153" s="11"/>
      <c r="RR153" s="11"/>
      <c r="RS153" s="11"/>
      <c r="RT153" s="11"/>
      <c r="RU153" s="11"/>
      <c r="RV153" s="11"/>
      <c r="RW153" s="11"/>
      <c r="RX153" s="11"/>
      <c r="RY153" s="11"/>
      <c r="RZ153" s="11"/>
      <c r="SA153" s="11"/>
      <c r="SB153" s="11"/>
      <c r="SC153" s="11"/>
      <c r="SD153" s="11"/>
      <c r="SE153" s="11"/>
      <c r="SF153" s="11"/>
      <c r="SG153" s="11"/>
      <c r="SH153" s="11">
        <v>1</v>
      </c>
    </row>
    <row r="154" spans="1:502" x14ac:dyDescent="0.2">
      <c r="A154" s="10">
        <v>2.013124761078422E-2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  <c r="OM154" s="11"/>
      <c r="ON154" s="11"/>
      <c r="OO154" s="11"/>
      <c r="OP154" s="11"/>
      <c r="OQ154" s="11"/>
      <c r="OR154" s="11"/>
      <c r="OS154" s="11"/>
      <c r="OT154" s="11"/>
      <c r="OU154" s="11"/>
      <c r="OV154" s="11"/>
      <c r="OW154" s="11"/>
      <c r="OX154" s="11"/>
      <c r="OY154" s="11"/>
      <c r="OZ154" s="11"/>
      <c r="PA154" s="11"/>
      <c r="PB154" s="11"/>
      <c r="PC154" s="11"/>
      <c r="PD154" s="11"/>
      <c r="PE154" s="11"/>
      <c r="PF154" s="11"/>
      <c r="PG154" s="11"/>
      <c r="PH154" s="11"/>
      <c r="PI154" s="11"/>
      <c r="PJ154" s="11"/>
      <c r="PK154" s="11"/>
      <c r="PL154" s="11"/>
      <c r="PM154" s="11"/>
      <c r="PN154" s="11"/>
      <c r="PO154" s="11"/>
      <c r="PP154" s="11"/>
      <c r="PQ154" s="11"/>
      <c r="PR154" s="11"/>
      <c r="PS154" s="11"/>
      <c r="PT154" s="11"/>
      <c r="PU154" s="11"/>
      <c r="PV154" s="11"/>
      <c r="PW154" s="11"/>
      <c r="PX154" s="11"/>
      <c r="PY154" s="11"/>
      <c r="PZ154" s="11"/>
      <c r="QA154" s="11"/>
      <c r="QB154" s="11"/>
      <c r="QC154" s="11"/>
      <c r="QD154" s="11"/>
      <c r="QE154" s="11"/>
      <c r="QF154" s="11"/>
      <c r="QG154" s="11"/>
      <c r="QH154" s="11"/>
      <c r="QI154" s="11"/>
      <c r="QJ154" s="11"/>
      <c r="QK154" s="11"/>
      <c r="QL154" s="11"/>
      <c r="QM154" s="11"/>
      <c r="QN154" s="11"/>
      <c r="QO154" s="11"/>
      <c r="QP154" s="11"/>
      <c r="QQ154" s="11"/>
      <c r="QR154" s="11"/>
      <c r="QS154" s="11"/>
      <c r="QT154" s="11"/>
      <c r="QU154" s="11"/>
      <c r="QV154" s="11"/>
      <c r="QW154" s="11"/>
      <c r="QX154" s="11"/>
      <c r="QY154" s="11">
        <v>1</v>
      </c>
      <c r="QZ154" s="11"/>
      <c r="RA154" s="11"/>
      <c r="RB154" s="11"/>
      <c r="RC154" s="11"/>
      <c r="RD154" s="11"/>
      <c r="RE154" s="11"/>
      <c r="RF154" s="11"/>
      <c r="RG154" s="11"/>
      <c r="RH154" s="11"/>
      <c r="RI154" s="11"/>
      <c r="RJ154" s="11"/>
      <c r="RK154" s="11"/>
      <c r="RL154" s="11"/>
      <c r="RM154" s="11"/>
      <c r="RN154" s="11"/>
      <c r="RO154" s="11"/>
      <c r="RP154" s="11"/>
      <c r="RQ154" s="11"/>
      <c r="RR154" s="11"/>
      <c r="RS154" s="11"/>
      <c r="RT154" s="11"/>
      <c r="RU154" s="11"/>
      <c r="RV154" s="11"/>
      <c r="RW154" s="11"/>
      <c r="RX154" s="11"/>
      <c r="RY154" s="11"/>
      <c r="RZ154" s="11"/>
      <c r="SA154" s="11"/>
      <c r="SB154" s="11"/>
      <c r="SC154" s="11"/>
      <c r="SD154" s="11"/>
      <c r="SE154" s="11"/>
      <c r="SF154" s="11"/>
      <c r="SG154" s="11"/>
      <c r="SH154" s="11">
        <v>1</v>
      </c>
    </row>
    <row r="155" spans="1:502" x14ac:dyDescent="0.2">
      <c r="A155" s="10">
        <v>2.0191692378321829E-2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>
        <v>1</v>
      </c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  <c r="OM155" s="11"/>
      <c r="ON155" s="11"/>
      <c r="OO155" s="11"/>
      <c r="OP155" s="11"/>
      <c r="OQ155" s="11"/>
      <c r="OR155" s="11"/>
      <c r="OS155" s="11"/>
      <c r="OT155" s="11"/>
      <c r="OU155" s="11"/>
      <c r="OV155" s="11"/>
      <c r="OW155" s="11"/>
      <c r="OX155" s="11"/>
      <c r="OY155" s="11"/>
      <c r="OZ155" s="11"/>
      <c r="PA155" s="11"/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1"/>
      <c r="PT155" s="11"/>
      <c r="PU155" s="11"/>
      <c r="PV155" s="11"/>
      <c r="PW155" s="11"/>
      <c r="PX155" s="11"/>
      <c r="PY155" s="11"/>
      <c r="PZ155" s="11"/>
      <c r="QA155" s="11"/>
      <c r="QB155" s="11"/>
      <c r="QC155" s="11"/>
      <c r="QD155" s="11"/>
      <c r="QE155" s="11"/>
      <c r="QF155" s="11"/>
      <c r="QG155" s="11"/>
      <c r="QH155" s="11"/>
      <c r="QI155" s="11"/>
      <c r="QJ155" s="11"/>
      <c r="QK155" s="11"/>
      <c r="QL155" s="11"/>
      <c r="QM155" s="11"/>
      <c r="QN155" s="11"/>
      <c r="QO155" s="11"/>
      <c r="QP155" s="11"/>
      <c r="QQ155" s="11"/>
      <c r="QR155" s="11"/>
      <c r="QS155" s="11"/>
      <c r="QT155" s="11"/>
      <c r="QU155" s="11"/>
      <c r="QV155" s="11"/>
      <c r="QW155" s="11"/>
      <c r="QX155" s="11"/>
      <c r="QY155" s="11"/>
      <c r="QZ155" s="11"/>
      <c r="RA155" s="11"/>
      <c r="RB155" s="11"/>
      <c r="RC155" s="11"/>
      <c r="RD155" s="11"/>
      <c r="RE155" s="11"/>
      <c r="RF155" s="11"/>
      <c r="RG155" s="11"/>
      <c r="RH155" s="11"/>
      <c r="RI155" s="11"/>
      <c r="RJ155" s="11"/>
      <c r="RK155" s="11"/>
      <c r="RL155" s="11"/>
      <c r="RM155" s="11"/>
      <c r="RN155" s="11"/>
      <c r="RO155" s="11"/>
      <c r="RP155" s="11"/>
      <c r="RQ155" s="11"/>
      <c r="RR155" s="11"/>
      <c r="RS155" s="11"/>
      <c r="RT155" s="11"/>
      <c r="RU155" s="11"/>
      <c r="RV155" s="11"/>
      <c r="RW155" s="11"/>
      <c r="RX155" s="11"/>
      <c r="RY155" s="11"/>
      <c r="RZ155" s="11"/>
      <c r="SA155" s="11"/>
      <c r="SB155" s="11"/>
      <c r="SC155" s="11"/>
      <c r="SD155" s="11"/>
      <c r="SE155" s="11"/>
      <c r="SF155" s="11"/>
      <c r="SG155" s="11"/>
      <c r="SH155" s="11">
        <v>1</v>
      </c>
    </row>
    <row r="156" spans="1:502" x14ac:dyDescent="0.2">
      <c r="A156" s="10">
        <v>2.026276362357686E-2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>
        <v>1</v>
      </c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  <c r="OM156" s="11"/>
      <c r="ON156" s="11"/>
      <c r="OO156" s="11"/>
      <c r="OP156" s="11"/>
      <c r="OQ156" s="11"/>
      <c r="OR156" s="11"/>
      <c r="OS156" s="11"/>
      <c r="OT156" s="11"/>
      <c r="OU156" s="11"/>
      <c r="OV156" s="11"/>
      <c r="OW156" s="11"/>
      <c r="OX156" s="11"/>
      <c r="OY156" s="11"/>
      <c r="OZ156" s="11"/>
      <c r="PA156" s="11"/>
      <c r="PB156" s="11"/>
      <c r="PC156" s="11"/>
      <c r="PD156" s="11"/>
      <c r="PE156" s="11"/>
      <c r="PF156" s="11"/>
      <c r="PG156" s="11"/>
      <c r="PH156" s="11"/>
      <c r="PI156" s="11"/>
      <c r="PJ156" s="11"/>
      <c r="PK156" s="11"/>
      <c r="PL156" s="11"/>
      <c r="PM156" s="11"/>
      <c r="PN156" s="11"/>
      <c r="PO156" s="11"/>
      <c r="PP156" s="11"/>
      <c r="PQ156" s="11"/>
      <c r="PR156" s="11"/>
      <c r="PS156" s="11"/>
      <c r="PT156" s="11"/>
      <c r="PU156" s="11"/>
      <c r="PV156" s="11"/>
      <c r="PW156" s="11"/>
      <c r="PX156" s="11"/>
      <c r="PY156" s="11"/>
      <c r="PZ156" s="11"/>
      <c r="QA156" s="11"/>
      <c r="QB156" s="11"/>
      <c r="QC156" s="11"/>
      <c r="QD156" s="11"/>
      <c r="QE156" s="11"/>
      <c r="QF156" s="11"/>
      <c r="QG156" s="11"/>
      <c r="QH156" s="11"/>
      <c r="QI156" s="11"/>
      <c r="QJ156" s="11"/>
      <c r="QK156" s="11"/>
      <c r="QL156" s="11"/>
      <c r="QM156" s="11"/>
      <c r="QN156" s="11"/>
      <c r="QO156" s="11"/>
      <c r="QP156" s="11"/>
      <c r="QQ156" s="11"/>
      <c r="QR156" s="11"/>
      <c r="QS156" s="11"/>
      <c r="QT156" s="11"/>
      <c r="QU156" s="11"/>
      <c r="QV156" s="11"/>
      <c r="QW156" s="11"/>
      <c r="QX156" s="11"/>
      <c r="QY156" s="11"/>
      <c r="QZ156" s="11"/>
      <c r="RA156" s="11"/>
      <c r="RB156" s="11"/>
      <c r="RC156" s="11"/>
      <c r="RD156" s="11"/>
      <c r="RE156" s="11"/>
      <c r="RF156" s="11"/>
      <c r="RG156" s="11"/>
      <c r="RH156" s="11"/>
      <c r="RI156" s="11"/>
      <c r="RJ156" s="11"/>
      <c r="RK156" s="11"/>
      <c r="RL156" s="11"/>
      <c r="RM156" s="11"/>
      <c r="RN156" s="11"/>
      <c r="RO156" s="11"/>
      <c r="RP156" s="11"/>
      <c r="RQ156" s="11"/>
      <c r="RR156" s="11"/>
      <c r="RS156" s="11"/>
      <c r="RT156" s="11"/>
      <c r="RU156" s="11"/>
      <c r="RV156" s="11"/>
      <c r="RW156" s="11"/>
      <c r="RX156" s="11"/>
      <c r="RY156" s="11"/>
      <c r="RZ156" s="11"/>
      <c r="SA156" s="11"/>
      <c r="SB156" s="11"/>
      <c r="SC156" s="11"/>
      <c r="SD156" s="11"/>
      <c r="SE156" s="11"/>
      <c r="SF156" s="11"/>
      <c r="SG156" s="11"/>
      <c r="SH156" s="11">
        <v>1</v>
      </c>
    </row>
    <row r="157" spans="1:502" x14ac:dyDescent="0.2">
      <c r="A157" s="10">
        <v>2.0263918966113865E-2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>
        <v>1</v>
      </c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  <c r="OM157" s="11"/>
      <c r="ON157" s="11"/>
      <c r="OO157" s="11"/>
      <c r="OP157" s="11"/>
      <c r="OQ157" s="11"/>
      <c r="OR157" s="11"/>
      <c r="OS157" s="11"/>
      <c r="OT157" s="11"/>
      <c r="OU157" s="11"/>
      <c r="OV157" s="11"/>
      <c r="OW157" s="11"/>
      <c r="OX157" s="11"/>
      <c r="OY157" s="11"/>
      <c r="OZ157" s="11"/>
      <c r="PA157" s="11"/>
      <c r="PB157" s="11"/>
      <c r="PC157" s="11"/>
      <c r="PD157" s="11"/>
      <c r="PE157" s="11"/>
      <c r="PF157" s="11"/>
      <c r="PG157" s="11"/>
      <c r="PH157" s="11"/>
      <c r="PI157" s="11"/>
      <c r="PJ157" s="11"/>
      <c r="PK157" s="11"/>
      <c r="PL157" s="11"/>
      <c r="PM157" s="11"/>
      <c r="PN157" s="11"/>
      <c r="PO157" s="11"/>
      <c r="PP157" s="11"/>
      <c r="PQ157" s="11"/>
      <c r="PR157" s="11"/>
      <c r="PS157" s="11"/>
      <c r="PT157" s="11"/>
      <c r="PU157" s="11"/>
      <c r="PV157" s="11"/>
      <c r="PW157" s="11"/>
      <c r="PX157" s="11"/>
      <c r="PY157" s="11"/>
      <c r="PZ157" s="11"/>
      <c r="QA157" s="11"/>
      <c r="QB157" s="11"/>
      <c r="QC157" s="11"/>
      <c r="QD157" s="11"/>
      <c r="QE157" s="11"/>
      <c r="QF157" s="11"/>
      <c r="QG157" s="11"/>
      <c r="QH157" s="11"/>
      <c r="QI157" s="11"/>
      <c r="QJ157" s="11"/>
      <c r="QK157" s="11"/>
      <c r="QL157" s="11"/>
      <c r="QM157" s="11"/>
      <c r="QN157" s="11"/>
      <c r="QO157" s="11"/>
      <c r="QP157" s="11"/>
      <c r="QQ157" s="11"/>
      <c r="QR157" s="11"/>
      <c r="QS157" s="11"/>
      <c r="QT157" s="11"/>
      <c r="QU157" s="11"/>
      <c r="QV157" s="11"/>
      <c r="QW157" s="11"/>
      <c r="QX157" s="11"/>
      <c r="QY157" s="11"/>
      <c r="QZ157" s="11"/>
      <c r="RA157" s="11"/>
      <c r="RB157" s="11"/>
      <c r="RC157" s="11"/>
      <c r="RD157" s="11"/>
      <c r="RE157" s="11"/>
      <c r="RF157" s="11"/>
      <c r="RG157" s="11"/>
      <c r="RH157" s="11"/>
      <c r="RI157" s="11"/>
      <c r="RJ157" s="11"/>
      <c r="RK157" s="11"/>
      <c r="RL157" s="11"/>
      <c r="RM157" s="11"/>
      <c r="RN157" s="11"/>
      <c r="RO157" s="11"/>
      <c r="RP157" s="11"/>
      <c r="RQ157" s="11"/>
      <c r="RR157" s="11"/>
      <c r="RS157" s="11"/>
      <c r="RT157" s="11"/>
      <c r="RU157" s="11"/>
      <c r="RV157" s="11"/>
      <c r="RW157" s="11"/>
      <c r="RX157" s="11"/>
      <c r="RY157" s="11"/>
      <c r="RZ157" s="11"/>
      <c r="SA157" s="11"/>
      <c r="SB157" s="11"/>
      <c r="SC157" s="11"/>
      <c r="SD157" s="11"/>
      <c r="SE157" s="11"/>
      <c r="SF157" s="11"/>
      <c r="SG157" s="11"/>
      <c r="SH157" s="11">
        <v>1</v>
      </c>
    </row>
    <row r="158" spans="1:502" x14ac:dyDescent="0.2">
      <c r="A158" s="10">
        <v>2.0332473431513162E-2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>
        <v>1</v>
      </c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  <c r="OM158" s="11"/>
      <c r="ON158" s="11"/>
      <c r="OO158" s="11"/>
      <c r="OP158" s="11"/>
      <c r="OQ158" s="11"/>
      <c r="OR158" s="11"/>
      <c r="OS158" s="11"/>
      <c r="OT158" s="11"/>
      <c r="OU158" s="11"/>
      <c r="OV158" s="11"/>
      <c r="OW158" s="11"/>
      <c r="OX158" s="11"/>
      <c r="OY158" s="11"/>
      <c r="OZ158" s="11"/>
      <c r="PA158" s="11"/>
      <c r="PB158" s="11"/>
      <c r="PC158" s="11"/>
      <c r="PD158" s="11"/>
      <c r="PE158" s="11"/>
      <c r="PF158" s="11"/>
      <c r="PG158" s="11"/>
      <c r="PH158" s="11"/>
      <c r="PI158" s="11"/>
      <c r="PJ158" s="11"/>
      <c r="PK158" s="11"/>
      <c r="PL158" s="11"/>
      <c r="PM158" s="11"/>
      <c r="PN158" s="11"/>
      <c r="PO158" s="11"/>
      <c r="PP158" s="11"/>
      <c r="PQ158" s="11"/>
      <c r="PR158" s="11"/>
      <c r="PS158" s="11"/>
      <c r="PT158" s="11"/>
      <c r="PU158" s="11"/>
      <c r="PV158" s="11"/>
      <c r="PW158" s="11"/>
      <c r="PX158" s="11"/>
      <c r="PY158" s="11"/>
      <c r="PZ158" s="11"/>
      <c r="QA158" s="11"/>
      <c r="QB158" s="11"/>
      <c r="QC158" s="11"/>
      <c r="QD158" s="11"/>
      <c r="QE158" s="11"/>
      <c r="QF158" s="11"/>
      <c r="QG158" s="11"/>
      <c r="QH158" s="11"/>
      <c r="QI158" s="11"/>
      <c r="QJ158" s="11"/>
      <c r="QK158" s="11"/>
      <c r="QL158" s="11"/>
      <c r="QM158" s="11"/>
      <c r="QN158" s="11"/>
      <c r="QO158" s="11"/>
      <c r="QP158" s="11"/>
      <c r="QQ158" s="11"/>
      <c r="QR158" s="11"/>
      <c r="QS158" s="11"/>
      <c r="QT158" s="11"/>
      <c r="QU158" s="11"/>
      <c r="QV158" s="11"/>
      <c r="QW158" s="11"/>
      <c r="QX158" s="11"/>
      <c r="QY158" s="11"/>
      <c r="QZ158" s="11"/>
      <c r="RA158" s="11"/>
      <c r="RB158" s="11"/>
      <c r="RC158" s="11"/>
      <c r="RD158" s="11"/>
      <c r="RE158" s="11"/>
      <c r="RF158" s="11"/>
      <c r="RG158" s="11"/>
      <c r="RH158" s="11"/>
      <c r="RI158" s="11"/>
      <c r="RJ158" s="11"/>
      <c r="RK158" s="11"/>
      <c r="RL158" s="11"/>
      <c r="RM158" s="11"/>
      <c r="RN158" s="11"/>
      <c r="RO158" s="11"/>
      <c r="RP158" s="11"/>
      <c r="RQ158" s="11"/>
      <c r="RR158" s="11"/>
      <c r="RS158" s="11"/>
      <c r="RT158" s="11"/>
      <c r="RU158" s="11"/>
      <c r="RV158" s="11"/>
      <c r="RW158" s="11"/>
      <c r="RX158" s="11"/>
      <c r="RY158" s="11"/>
      <c r="RZ158" s="11"/>
      <c r="SA158" s="11"/>
      <c r="SB158" s="11"/>
      <c r="SC158" s="11"/>
      <c r="SD158" s="11"/>
      <c r="SE158" s="11"/>
      <c r="SF158" s="11"/>
      <c r="SG158" s="11"/>
      <c r="SH158" s="11">
        <v>1</v>
      </c>
    </row>
    <row r="159" spans="1:502" x14ac:dyDescent="0.2">
      <c r="A159" s="10">
        <v>2.0363534177248527E-2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>
        <v>1</v>
      </c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  <c r="OM159" s="11"/>
      <c r="ON159" s="11"/>
      <c r="OO159" s="11"/>
      <c r="OP159" s="11"/>
      <c r="OQ159" s="11"/>
      <c r="OR159" s="11"/>
      <c r="OS159" s="11"/>
      <c r="OT159" s="11"/>
      <c r="OU159" s="11"/>
      <c r="OV159" s="11"/>
      <c r="OW159" s="11"/>
      <c r="OX159" s="11"/>
      <c r="OY159" s="11"/>
      <c r="OZ159" s="11"/>
      <c r="PA159" s="11"/>
      <c r="PB159" s="11"/>
      <c r="PC159" s="11"/>
      <c r="PD159" s="11"/>
      <c r="PE159" s="11"/>
      <c r="PF159" s="11"/>
      <c r="PG159" s="11"/>
      <c r="PH159" s="11"/>
      <c r="PI159" s="11"/>
      <c r="PJ159" s="11"/>
      <c r="PK159" s="11"/>
      <c r="PL159" s="11"/>
      <c r="PM159" s="11"/>
      <c r="PN159" s="11"/>
      <c r="PO159" s="11"/>
      <c r="PP159" s="11"/>
      <c r="PQ159" s="11"/>
      <c r="PR159" s="11"/>
      <c r="PS159" s="11"/>
      <c r="PT159" s="11"/>
      <c r="PU159" s="11"/>
      <c r="PV159" s="11"/>
      <c r="PW159" s="11"/>
      <c r="PX159" s="11"/>
      <c r="PY159" s="11"/>
      <c r="PZ159" s="11"/>
      <c r="QA159" s="11"/>
      <c r="QB159" s="11"/>
      <c r="QC159" s="11"/>
      <c r="QD159" s="11"/>
      <c r="QE159" s="11"/>
      <c r="QF159" s="11"/>
      <c r="QG159" s="11"/>
      <c r="QH159" s="11"/>
      <c r="QI159" s="11"/>
      <c r="QJ159" s="11"/>
      <c r="QK159" s="11"/>
      <c r="QL159" s="11"/>
      <c r="QM159" s="11"/>
      <c r="QN159" s="11"/>
      <c r="QO159" s="11"/>
      <c r="QP159" s="11"/>
      <c r="QQ159" s="11"/>
      <c r="QR159" s="11"/>
      <c r="QS159" s="11"/>
      <c r="QT159" s="11"/>
      <c r="QU159" s="11"/>
      <c r="QV159" s="11"/>
      <c r="QW159" s="11"/>
      <c r="QX159" s="11"/>
      <c r="QY159" s="11"/>
      <c r="QZ159" s="11"/>
      <c r="RA159" s="11"/>
      <c r="RB159" s="11"/>
      <c r="RC159" s="11"/>
      <c r="RD159" s="11"/>
      <c r="RE159" s="11"/>
      <c r="RF159" s="11"/>
      <c r="RG159" s="11"/>
      <c r="RH159" s="11"/>
      <c r="RI159" s="11"/>
      <c r="RJ159" s="11"/>
      <c r="RK159" s="11"/>
      <c r="RL159" s="11"/>
      <c r="RM159" s="11"/>
      <c r="RN159" s="11"/>
      <c r="RO159" s="11"/>
      <c r="RP159" s="11"/>
      <c r="RQ159" s="11"/>
      <c r="RR159" s="11"/>
      <c r="RS159" s="11"/>
      <c r="RT159" s="11"/>
      <c r="RU159" s="11"/>
      <c r="RV159" s="11"/>
      <c r="RW159" s="11"/>
      <c r="RX159" s="11"/>
      <c r="RY159" s="11"/>
      <c r="RZ159" s="11"/>
      <c r="SA159" s="11"/>
      <c r="SB159" s="11"/>
      <c r="SC159" s="11"/>
      <c r="SD159" s="11"/>
      <c r="SE159" s="11"/>
      <c r="SF159" s="11"/>
      <c r="SG159" s="11"/>
      <c r="SH159" s="11">
        <v>1</v>
      </c>
    </row>
    <row r="160" spans="1:502" x14ac:dyDescent="0.2">
      <c r="A160" s="10">
        <v>2.0560346106890691E-2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>
        <v>1</v>
      </c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  <c r="OM160" s="11"/>
      <c r="ON160" s="11"/>
      <c r="OO160" s="11"/>
      <c r="OP160" s="11"/>
      <c r="OQ160" s="11"/>
      <c r="OR160" s="11"/>
      <c r="OS160" s="11"/>
      <c r="OT160" s="11"/>
      <c r="OU160" s="11"/>
      <c r="OV160" s="11"/>
      <c r="OW160" s="11"/>
      <c r="OX160" s="11"/>
      <c r="OY160" s="11"/>
      <c r="OZ160" s="11"/>
      <c r="PA160" s="11"/>
      <c r="PB160" s="11"/>
      <c r="PC160" s="11"/>
      <c r="PD160" s="11"/>
      <c r="PE160" s="11"/>
      <c r="PF160" s="11"/>
      <c r="PG160" s="11"/>
      <c r="PH160" s="11"/>
      <c r="PI160" s="11"/>
      <c r="PJ160" s="11"/>
      <c r="PK160" s="11"/>
      <c r="PL160" s="11"/>
      <c r="PM160" s="11"/>
      <c r="PN160" s="11"/>
      <c r="PO160" s="11"/>
      <c r="PP160" s="11"/>
      <c r="PQ160" s="11"/>
      <c r="PR160" s="11"/>
      <c r="PS160" s="11"/>
      <c r="PT160" s="11"/>
      <c r="PU160" s="11"/>
      <c r="PV160" s="11"/>
      <c r="PW160" s="11"/>
      <c r="PX160" s="11"/>
      <c r="PY160" s="11"/>
      <c r="PZ160" s="11"/>
      <c r="QA160" s="11"/>
      <c r="QB160" s="11"/>
      <c r="QC160" s="11"/>
      <c r="QD160" s="11"/>
      <c r="QE160" s="11"/>
      <c r="QF160" s="11"/>
      <c r="QG160" s="11"/>
      <c r="QH160" s="11"/>
      <c r="QI160" s="11"/>
      <c r="QJ160" s="11"/>
      <c r="QK160" s="11"/>
      <c r="QL160" s="11"/>
      <c r="QM160" s="11"/>
      <c r="QN160" s="11"/>
      <c r="QO160" s="11"/>
      <c r="QP160" s="11"/>
      <c r="QQ160" s="11"/>
      <c r="QR160" s="11"/>
      <c r="QS160" s="11"/>
      <c r="QT160" s="11"/>
      <c r="QU160" s="11"/>
      <c r="QV160" s="11"/>
      <c r="QW160" s="11"/>
      <c r="QX160" s="11"/>
      <c r="QY160" s="11"/>
      <c r="QZ160" s="11"/>
      <c r="RA160" s="11"/>
      <c r="RB160" s="11"/>
      <c r="RC160" s="11"/>
      <c r="RD160" s="11"/>
      <c r="RE160" s="11"/>
      <c r="RF160" s="11"/>
      <c r="RG160" s="11"/>
      <c r="RH160" s="11"/>
      <c r="RI160" s="11"/>
      <c r="RJ160" s="11"/>
      <c r="RK160" s="11"/>
      <c r="RL160" s="11"/>
      <c r="RM160" s="11"/>
      <c r="RN160" s="11"/>
      <c r="RO160" s="11"/>
      <c r="RP160" s="11"/>
      <c r="RQ160" s="11"/>
      <c r="RR160" s="11"/>
      <c r="RS160" s="11"/>
      <c r="RT160" s="11"/>
      <c r="RU160" s="11"/>
      <c r="RV160" s="11"/>
      <c r="RW160" s="11"/>
      <c r="RX160" s="11"/>
      <c r="RY160" s="11"/>
      <c r="RZ160" s="11"/>
      <c r="SA160" s="11"/>
      <c r="SB160" s="11"/>
      <c r="SC160" s="11"/>
      <c r="SD160" s="11"/>
      <c r="SE160" s="11"/>
      <c r="SF160" s="11"/>
      <c r="SG160" s="11"/>
      <c r="SH160" s="11">
        <v>1</v>
      </c>
    </row>
    <row r="161" spans="1:502" x14ac:dyDescent="0.2">
      <c r="A161" s="10">
        <v>2.0572431699544726E-2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>
        <v>1</v>
      </c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  <c r="OM161" s="11"/>
      <c r="ON161" s="11"/>
      <c r="OO161" s="11"/>
      <c r="OP161" s="11"/>
      <c r="OQ161" s="11"/>
      <c r="OR161" s="11"/>
      <c r="OS161" s="11"/>
      <c r="OT161" s="11"/>
      <c r="OU161" s="11"/>
      <c r="OV161" s="11"/>
      <c r="OW161" s="11"/>
      <c r="OX161" s="11"/>
      <c r="OY161" s="11"/>
      <c r="OZ161" s="11"/>
      <c r="PA161" s="11"/>
      <c r="PB161" s="11"/>
      <c r="PC161" s="11"/>
      <c r="PD161" s="11"/>
      <c r="PE161" s="11"/>
      <c r="PF161" s="11"/>
      <c r="PG161" s="11"/>
      <c r="PH161" s="11"/>
      <c r="PI161" s="11"/>
      <c r="PJ161" s="11"/>
      <c r="PK161" s="11"/>
      <c r="PL161" s="11"/>
      <c r="PM161" s="11"/>
      <c r="PN161" s="11"/>
      <c r="PO161" s="11"/>
      <c r="PP161" s="11"/>
      <c r="PQ161" s="11"/>
      <c r="PR161" s="11"/>
      <c r="PS161" s="11"/>
      <c r="PT161" s="11"/>
      <c r="PU161" s="11"/>
      <c r="PV161" s="11"/>
      <c r="PW161" s="11"/>
      <c r="PX161" s="11"/>
      <c r="PY161" s="11"/>
      <c r="PZ161" s="11"/>
      <c r="QA161" s="11"/>
      <c r="QB161" s="11"/>
      <c r="QC161" s="11"/>
      <c r="QD161" s="11"/>
      <c r="QE161" s="11"/>
      <c r="QF161" s="11"/>
      <c r="QG161" s="11"/>
      <c r="QH161" s="11"/>
      <c r="QI161" s="11"/>
      <c r="QJ161" s="11"/>
      <c r="QK161" s="11"/>
      <c r="QL161" s="11"/>
      <c r="QM161" s="11"/>
      <c r="QN161" s="11"/>
      <c r="QO161" s="11"/>
      <c r="QP161" s="11"/>
      <c r="QQ161" s="11"/>
      <c r="QR161" s="11"/>
      <c r="QS161" s="11"/>
      <c r="QT161" s="11"/>
      <c r="QU161" s="11"/>
      <c r="QV161" s="11"/>
      <c r="QW161" s="11"/>
      <c r="QX161" s="11"/>
      <c r="QY161" s="11"/>
      <c r="QZ161" s="11"/>
      <c r="RA161" s="11"/>
      <c r="RB161" s="11"/>
      <c r="RC161" s="11"/>
      <c r="RD161" s="11"/>
      <c r="RE161" s="11"/>
      <c r="RF161" s="11"/>
      <c r="RG161" s="11"/>
      <c r="RH161" s="11"/>
      <c r="RI161" s="11"/>
      <c r="RJ161" s="11"/>
      <c r="RK161" s="11"/>
      <c r="RL161" s="11"/>
      <c r="RM161" s="11"/>
      <c r="RN161" s="11"/>
      <c r="RO161" s="11"/>
      <c r="RP161" s="11"/>
      <c r="RQ161" s="11"/>
      <c r="RR161" s="11"/>
      <c r="RS161" s="11"/>
      <c r="RT161" s="11"/>
      <c r="RU161" s="11"/>
      <c r="RV161" s="11"/>
      <c r="RW161" s="11"/>
      <c r="RX161" s="11"/>
      <c r="RY161" s="11"/>
      <c r="RZ161" s="11"/>
      <c r="SA161" s="11"/>
      <c r="SB161" s="11"/>
      <c r="SC161" s="11"/>
      <c r="SD161" s="11"/>
      <c r="SE161" s="11"/>
      <c r="SF161" s="11"/>
      <c r="SG161" s="11"/>
      <c r="SH161" s="11">
        <v>1</v>
      </c>
    </row>
    <row r="162" spans="1:502" x14ac:dyDescent="0.2">
      <c r="A162" s="10">
        <v>2.0625083863527773E-2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>
        <v>1</v>
      </c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/>
      <c r="PG162" s="11"/>
      <c r="PH162" s="11"/>
      <c r="PI162" s="11"/>
      <c r="PJ162" s="11"/>
      <c r="PK162" s="11"/>
      <c r="PL162" s="11"/>
      <c r="PM162" s="11"/>
      <c r="PN162" s="11"/>
      <c r="PO162" s="11"/>
      <c r="PP162" s="11"/>
      <c r="PQ162" s="11"/>
      <c r="PR162" s="11"/>
      <c r="PS162" s="11"/>
      <c r="PT162" s="11"/>
      <c r="PU162" s="11"/>
      <c r="PV162" s="11"/>
      <c r="PW162" s="11"/>
      <c r="PX162" s="11"/>
      <c r="PY162" s="11"/>
      <c r="PZ162" s="11"/>
      <c r="QA162" s="11"/>
      <c r="QB162" s="11"/>
      <c r="QC162" s="11"/>
      <c r="QD162" s="11"/>
      <c r="QE162" s="11"/>
      <c r="QF162" s="11"/>
      <c r="QG162" s="11"/>
      <c r="QH162" s="11"/>
      <c r="QI162" s="11"/>
      <c r="QJ162" s="11"/>
      <c r="QK162" s="11"/>
      <c r="QL162" s="11"/>
      <c r="QM162" s="11"/>
      <c r="QN162" s="11"/>
      <c r="QO162" s="11"/>
      <c r="QP162" s="11"/>
      <c r="QQ162" s="11"/>
      <c r="QR162" s="11"/>
      <c r="QS162" s="11"/>
      <c r="QT162" s="11"/>
      <c r="QU162" s="11"/>
      <c r="QV162" s="11"/>
      <c r="QW162" s="11"/>
      <c r="QX162" s="11"/>
      <c r="QY162" s="11"/>
      <c r="QZ162" s="11"/>
      <c r="RA162" s="11"/>
      <c r="RB162" s="11"/>
      <c r="RC162" s="11"/>
      <c r="RD162" s="11"/>
      <c r="RE162" s="11"/>
      <c r="RF162" s="11"/>
      <c r="RG162" s="11"/>
      <c r="RH162" s="11"/>
      <c r="RI162" s="11"/>
      <c r="RJ162" s="11"/>
      <c r="RK162" s="11"/>
      <c r="RL162" s="11"/>
      <c r="RM162" s="11"/>
      <c r="RN162" s="11"/>
      <c r="RO162" s="11"/>
      <c r="RP162" s="11"/>
      <c r="RQ162" s="11"/>
      <c r="RR162" s="11"/>
      <c r="RS162" s="11"/>
      <c r="RT162" s="11"/>
      <c r="RU162" s="11"/>
      <c r="RV162" s="11"/>
      <c r="RW162" s="11"/>
      <c r="RX162" s="11"/>
      <c r="RY162" s="11"/>
      <c r="RZ162" s="11"/>
      <c r="SA162" s="11"/>
      <c r="SB162" s="11"/>
      <c r="SC162" s="11"/>
      <c r="SD162" s="11"/>
      <c r="SE162" s="11"/>
      <c r="SF162" s="11"/>
      <c r="SG162" s="11"/>
      <c r="SH162" s="11">
        <v>1</v>
      </c>
    </row>
    <row r="163" spans="1:502" x14ac:dyDescent="0.2">
      <c r="A163" s="10">
        <v>2.0664965706630862E-2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>
        <v>1</v>
      </c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  <c r="OM163" s="11"/>
      <c r="ON163" s="11"/>
      <c r="OO163" s="11"/>
      <c r="OP163" s="11"/>
      <c r="OQ163" s="11"/>
      <c r="OR163" s="11"/>
      <c r="OS163" s="11"/>
      <c r="OT163" s="11"/>
      <c r="OU163" s="11"/>
      <c r="OV163" s="11"/>
      <c r="OW163" s="11"/>
      <c r="OX163" s="11"/>
      <c r="OY163" s="11"/>
      <c r="OZ163" s="11"/>
      <c r="PA163" s="11"/>
      <c r="PB163" s="11"/>
      <c r="PC163" s="11"/>
      <c r="PD163" s="11"/>
      <c r="PE163" s="11"/>
      <c r="PF163" s="11"/>
      <c r="PG163" s="11"/>
      <c r="PH163" s="11"/>
      <c r="PI163" s="11"/>
      <c r="PJ163" s="11"/>
      <c r="PK163" s="11"/>
      <c r="PL163" s="11"/>
      <c r="PM163" s="11"/>
      <c r="PN163" s="11"/>
      <c r="PO163" s="11"/>
      <c r="PP163" s="11"/>
      <c r="PQ163" s="11"/>
      <c r="PR163" s="11"/>
      <c r="PS163" s="11"/>
      <c r="PT163" s="11"/>
      <c r="PU163" s="11"/>
      <c r="PV163" s="11"/>
      <c r="PW163" s="11"/>
      <c r="PX163" s="11"/>
      <c r="PY163" s="11"/>
      <c r="PZ163" s="11"/>
      <c r="QA163" s="11"/>
      <c r="QB163" s="11"/>
      <c r="QC163" s="11"/>
      <c r="QD163" s="11"/>
      <c r="QE163" s="11"/>
      <c r="QF163" s="11"/>
      <c r="QG163" s="11"/>
      <c r="QH163" s="11"/>
      <c r="QI163" s="11"/>
      <c r="QJ163" s="11"/>
      <c r="QK163" s="11"/>
      <c r="QL163" s="11"/>
      <c r="QM163" s="11"/>
      <c r="QN163" s="11"/>
      <c r="QO163" s="11"/>
      <c r="QP163" s="11"/>
      <c r="QQ163" s="11"/>
      <c r="QR163" s="11"/>
      <c r="QS163" s="11"/>
      <c r="QT163" s="11"/>
      <c r="QU163" s="11"/>
      <c r="QV163" s="11"/>
      <c r="QW163" s="11"/>
      <c r="QX163" s="11"/>
      <c r="QY163" s="11"/>
      <c r="QZ163" s="11"/>
      <c r="RA163" s="11"/>
      <c r="RB163" s="11"/>
      <c r="RC163" s="11"/>
      <c r="RD163" s="11"/>
      <c r="RE163" s="11"/>
      <c r="RF163" s="11"/>
      <c r="RG163" s="11"/>
      <c r="RH163" s="11"/>
      <c r="RI163" s="11"/>
      <c r="RJ163" s="11"/>
      <c r="RK163" s="11"/>
      <c r="RL163" s="11"/>
      <c r="RM163" s="11"/>
      <c r="RN163" s="11"/>
      <c r="RO163" s="11"/>
      <c r="RP163" s="11"/>
      <c r="RQ163" s="11"/>
      <c r="RR163" s="11"/>
      <c r="RS163" s="11"/>
      <c r="RT163" s="11"/>
      <c r="RU163" s="11"/>
      <c r="RV163" s="11"/>
      <c r="RW163" s="11"/>
      <c r="RX163" s="11"/>
      <c r="RY163" s="11"/>
      <c r="RZ163" s="11"/>
      <c r="SA163" s="11"/>
      <c r="SB163" s="11"/>
      <c r="SC163" s="11"/>
      <c r="SD163" s="11"/>
      <c r="SE163" s="11"/>
      <c r="SF163" s="11"/>
      <c r="SG163" s="11"/>
      <c r="SH163" s="11">
        <v>1</v>
      </c>
    </row>
    <row r="164" spans="1:502" x14ac:dyDescent="0.2">
      <c r="A164" s="10">
        <v>2.0866189386078572E-2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>
        <v>1</v>
      </c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1"/>
      <c r="PL164" s="11"/>
      <c r="PM164" s="11"/>
      <c r="PN164" s="11"/>
      <c r="PO164" s="11"/>
      <c r="PP164" s="11"/>
      <c r="PQ164" s="11"/>
      <c r="PR164" s="11"/>
      <c r="PS164" s="11"/>
      <c r="PT164" s="11"/>
      <c r="PU164" s="11"/>
      <c r="PV164" s="11"/>
      <c r="PW164" s="11"/>
      <c r="PX164" s="11"/>
      <c r="PY164" s="11"/>
      <c r="PZ164" s="11"/>
      <c r="QA164" s="11"/>
      <c r="QB164" s="11"/>
      <c r="QC164" s="11"/>
      <c r="QD164" s="11"/>
      <c r="QE164" s="11"/>
      <c r="QF164" s="11"/>
      <c r="QG164" s="11"/>
      <c r="QH164" s="11"/>
      <c r="QI164" s="11"/>
      <c r="QJ164" s="11"/>
      <c r="QK164" s="11"/>
      <c r="QL164" s="11"/>
      <c r="QM164" s="11"/>
      <c r="QN164" s="11"/>
      <c r="QO164" s="11"/>
      <c r="QP164" s="11"/>
      <c r="QQ164" s="11"/>
      <c r="QR164" s="11"/>
      <c r="QS164" s="11"/>
      <c r="QT164" s="11"/>
      <c r="QU164" s="11"/>
      <c r="QV164" s="11"/>
      <c r="QW164" s="11"/>
      <c r="QX164" s="11"/>
      <c r="QY164" s="11"/>
      <c r="QZ164" s="11"/>
      <c r="RA164" s="11"/>
      <c r="RB164" s="11"/>
      <c r="RC164" s="11"/>
      <c r="RD164" s="11"/>
      <c r="RE164" s="11"/>
      <c r="RF164" s="11"/>
      <c r="RG164" s="11"/>
      <c r="RH164" s="11"/>
      <c r="RI164" s="11"/>
      <c r="RJ164" s="11"/>
      <c r="RK164" s="11"/>
      <c r="RL164" s="11"/>
      <c r="RM164" s="11"/>
      <c r="RN164" s="11"/>
      <c r="RO164" s="11"/>
      <c r="RP164" s="11"/>
      <c r="RQ164" s="11"/>
      <c r="RR164" s="11"/>
      <c r="RS164" s="11"/>
      <c r="RT164" s="11"/>
      <c r="RU164" s="11"/>
      <c r="RV164" s="11"/>
      <c r="RW164" s="11"/>
      <c r="RX164" s="11"/>
      <c r="RY164" s="11"/>
      <c r="RZ164" s="11"/>
      <c r="SA164" s="11"/>
      <c r="SB164" s="11"/>
      <c r="SC164" s="11"/>
      <c r="SD164" s="11"/>
      <c r="SE164" s="11"/>
      <c r="SF164" s="11"/>
      <c r="SG164" s="11"/>
      <c r="SH164" s="11">
        <v>1</v>
      </c>
    </row>
    <row r="165" spans="1:502" x14ac:dyDescent="0.2">
      <c r="A165" s="10">
        <v>2.093323646438754E-2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>
        <v>1</v>
      </c>
      <c r="OK165" s="11"/>
      <c r="OL165" s="11"/>
      <c r="OM165" s="11"/>
      <c r="ON165" s="11"/>
      <c r="OO165" s="11"/>
      <c r="OP165" s="11"/>
      <c r="OQ165" s="11"/>
      <c r="OR165" s="11"/>
      <c r="OS165" s="11"/>
      <c r="OT165" s="11"/>
      <c r="OU165" s="11"/>
      <c r="OV165" s="11"/>
      <c r="OW165" s="11"/>
      <c r="OX165" s="11"/>
      <c r="OY165" s="11"/>
      <c r="OZ165" s="11"/>
      <c r="PA165" s="11"/>
      <c r="PB165" s="11"/>
      <c r="PC165" s="11"/>
      <c r="PD165" s="11"/>
      <c r="PE165" s="11"/>
      <c r="PF165" s="11"/>
      <c r="PG165" s="11"/>
      <c r="PH165" s="11"/>
      <c r="PI165" s="11"/>
      <c r="PJ165" s="11"/>
      <c r="PK165" s="11"/>
      <c r="PL165" s="11"/>
      <c r="PM165" s="11"/>
      <c r="PN165" s="11"/>
      <c r="PO165" s="11"/>
      <c r="PP165" s="11"/>
      <c r="PQ165" s="11"/>
      <c r="PR165" s="11"/>
      <c r="PS165" s="11"/>
      <c r="PT165" s="11"/>
      <c r="PU165" s="11"/>
      <c r="PV165" s="11"/>
      <c r="PW165" s="11"/>
      <c r="PX165" s="11"/>
      <c r="PY165" s="11"/>
      <c r="PZ165" s="11"/>
      <c r="QA165" s="11"/>
      <c r="QB165" s="11"/>
      <c r="QC165" s="11"/>
      <c r="QD165" s="11"/>
      <c r="QE165" s="11"/>
      <c r="QF165" s="11"/>
      <c r="QG165" s="11"/>
      <c r="QH165" s="11"/>
      <c r="QI165" s="11"/>
      <c r="QJ165" s="11"/>
      <c r="QK165" s="11"/>
      <c r="QL165" s="11"/>
      <c r="QM165" s="11"/>
      <c r="QN165" s="11"/>
      <c r="QO165" s="11"/>
      <c r="QP165" s="11"/>
      <c r="QQ165" s="11"/>
      <c r="QR165" s="11"/>
      <c r="QS165" s="11"/>
      <c r="QT165" s="11"/>
      <c r="QU165" s="11"/>
      <c r="QV165" s="11"/>
      <c r="QW165" s="11"/>
      <c r="QX165" s="11"/>
      <c r="QY165" s="11"/>
      <c r="QZ165" s="11"/>
      <c r="RA165" s="11"/>
      <c r="RB165" s="11"/>
      <c r="RC165" s="11"/>
      <c r="RD165" s="11"/>
      <c r="RE165" s="11"/>
      <c r="RF165" s="11"/>
      <c r="RG165" s="11"/>
      <c r="RH165" s="11"/>
      <c r="RI165" s="11"/>
      <c r="RJ165" s="11"/>
      <c r="RK165" s="11"/>
      <c r="RL165" s="11"/>
      <c r="RM165" s="11"/>
      <c r="RN165" s="11"/>
      <c r="RO165" s="11"/>
      <c r="RP165" s="11"/>
      <c r="RQ165" s="11"/>
      <c r="RR165" s="11"/>
      <c r="RS165" s="11"/>
      <c r="RT165" s="11"/>
      <c r="RU165" s="11"/>
      <c r="RV165" s="11"/>
      <c r="RW165" s="11"/>
      <c r="RX165" s="11"/>
      <c r="RY165" s="11"/>
      <c r="RZ165" s="11"/>
      <c r="SA165" s="11"/>
      <c r="SB165" s="11"/>
      <c r="SC165" s="11"/>
      <c r="SD165" s="11"/>
      <c r="SE165" s="11"/>
      <c r="SF165" s="11"/>
      <c r="SG165" s="11"/>
      <c r="SH165" s="11">
        <v>1</v>
      </c>
    </row>
    <row r="166" spans="1:502" x14ac:dyDescent="0.2">
      <c r="A166" s="10">
        <v>2.0971477672674679E-2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>
        <v>1</v>
      </c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  <c r="OO166" s="11"/>
      <c r="OP166" s="11"/>
      <c r="OQ166" s="11"/>
      <c r="OR166" s="11"/>
      <c r="OS166" s="11"/>
      <c r="OT166" s="11"/>
      <c r="OU166" s="11"/>
      <c r="OV166" s="11"/>
      <c r="OW166" s="11"/>
      <c r="OX166" s="11"/>
      <c r="OY166" s="11"/>
      <c r="OZ166" s="11"/>
      <c r="PA166" s="11"/>
      <c r="PB166" s="11"/>
      <c r="PC166" s="11"/>
      <c r="PD166" s="11"/>
      <c r="PE166" s="11"/>
      <c r="PF166" s="11"/>
      <c r="PG166" s="11"/>
      <c r="PH166" s="11"/>
      <c r="PI166" s="11"/>
      <c r="PJ166" s="11"/>
      <c r="PK166" s="11"/>
      <c r="PL166" s="11"/>
      <c r="PM166" s="11"/>
      <c r="PN166" s="11"/>
      <c r="PO166" s="11"/>
      <c r="PP166" s="11"/>
      <c r="PQ166" s="11"/>
      <c r="PR166" s="11"/>
      <c r="PS166" s="11"/>
      <c r="PT166" s="11"/>
      <c r="PU166" s="11"/>
      <c r="PV166" s="11"/>
      <c r="PW166" s="11"/>
      <c r="PX166" s="11"/>
      <c r="PY166" s="11"/>
      <c r="PZ166" s="11"/>
      <c r="QA166" s="11"/>
      <c r="QB166" s="11"/>
      <c r="QC166" s="11"/>
      <c r="QD166" s="11"/>
      <c r="QE166" s="11"/>
      <c r="QF166" s="11"/>
      <c r="QG166" s="11"/>
      <c r="QH166" s="11"/>
      <c r="QI166" s="11"/>
      <c r="QJ166" s="11"/>
      <c r="QK166" s="11"/>
      <c r="QL166" s="11"/>
      <c r="QM166" s="11"/>
      <c r="QN166" s="11"/>
      <c r="QO166" s="11"/>
      <c r="QP166" s="11"/>
      <c r="QQ166" s="11"/>
      <c r="QR166" s="11"/>
      <c r="QS166" s="11"/>
      <c r="QT166" s="11"/>
      <c r="QU166" s="11"/>
      <c r="QV166" s="11"/>
      <c r="QW166" s="11"/>
      <c r="QX166" s="11"/>
      <c r="QY166" s="11"/>
      <c r="QZ166" s="11"/>
      <c r="RA166" s="11"/>
      <c r="RB166" s="11"/>
      <c r="RC166" s="11"/>
      <c r="RD166" s="11"/>
      <c r="RE166" s="11"/>
      <c r="RF166" s="11"/>
      <c r="RG166" s="11"/>
      <c r="RH166" s="11"/>
      <c r="RI166" s="11"/>
      <c r="RJ166" s="11"/>
      <c r="RK166" s="11"/>
      <c r="RL166" s="11"/>
      <c r="RM166" s="11"/>
      <c r="RN166" s="11"/>
      <c r="RO166" s="11"/>
      <c r="RP166" s="11"/>
      <c r="RQ166" s="11"/>
      <c r="RR166" s="11"/>
      <c r="RS166" s="11"/>
      <c r="RT166" s="11"/>
      <c r="RU166" s="11"/>
      <c r="RV166" s="11"/>
      <c r="RW166" s="11"/>
      <c r="RX166" s="11"/>
      <c r="RY166" s="11"/>
      <c r="RZ166" s="11"/>
      <c r="SA166" s="11"/>
      <c r="SB166" s="11"/>
      <c r="SC166" s="11"/>
      <c r="SD166" s="11"/>
      <c r="SE166" s="11"/>
      <c r="SF166" s="11"/>
      <c r="SG166" s="11"/>
      <c r="SH166" s="11">
        <v>1</v>
      </c>
    </row>
    <row r="167" spans="1:502" x14ac:dyDescent="0.2">
      <c r="A167" s="10">
        <v>2.0986885127820151E-2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>
        <v>1</v>
      </c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  <c r="OM167" s="11"/>
      <c r="ON167" s="11"/>
      <c r="OO167" s="11"/>
      <c r="OP167" s="11"/>
      <c r="OQ167" s="11"/>
      <c r="OR167" s="11"/>
      <c r="OS167" s="11"/>
      <c r="OT167" s="11"/>
      <c r="OU167" s="11"/>
      <c r="OV167" s="11"/>
      <c r="OW167" s="11"/>
      <c r="OX167" s="11"/>
      <c r="OY167" s="11"/>
      <c r="OZ167" s="11"/>
      <c r="PA167" s="11"/>
      <c r="PB167" s="11"/>
      <c r="PC167" s="11"/>
      <c r="PD167" s="11"/>
      <c r="PE167" s="11"/>
      <c r="PF167" s="11"/>
      <c r="PG167" s="11"/>
      <c r="PH167" s="11"/>
      <c r="PI167" s="11"/>
      <c r="PJ167" s="11"/>
      <c r="PK167" s="11"/>
      <c r="PL167" s="11"/>
      <c r="PM167" s="11"/>
      <c r="PN167" s="11"/>
      <c r="PO167" s="11"/>
      <c r="PP167" s="11"/>
      <c r="PQ167" s="11"/>
      <c r="PR167" s="11"/>
      <c r="PS167" s="11"/>
      <c r="PT167" s="11"/>
      <c r="PU167" s="11"/>
      <c r="PV167" s="11"/>
      <c r="PW167" s="11"/>
      <c r="PX167" s="11"/>
      <c r="PY167" s="11"/>
      <c r="PZ167" s="11"/>
      <c r="QA167" s="11"/>
      <c r="QB167" s="11"/>
      <c r="QC167" s="11"/>
      <c r="QD167" s="11"/>
      <c r="QE167" s="11"/>
      <c r="QF167" s="11"/>
      <c r="QG167" s="11"/>
      <c r="QH167" s="11"/>
      <c r="QI167" s="11"/>
      <c r="QJ167" s="11"/>
      <c r="QK167" s="11"/>
      <c r="QL167" s="11"/>
      <c r="QM167" s="11"/>
      <c r="QN167" s="11"/>
      <c r="QO167" s="11"/>
      <c r="QP167" s="11"/>
      <c r="QQ167" s="11"/>
      <c r="QR167" s="11"/>
      <c r="QS167" s="11"/>
      <c r="QT167" s="11"/>
      <c r="QU167" s="11"/>
      <c r="QV167" s="11"/>
      <c r="QW167" s="11"/>
      <c r="QX167" s="11"/>
      <c r="QY167" s="11"/>
      <c r="QZ167" s="11"/>
      <c r="RA167" s="11"/>
      <c r="RB167" s="11"/>
      <c r="RC167" s="11"/>
      <c r="RD167" s="11"/>
      <c r="RE167" s="11"/>
      <c r="RF167" s="11"/>
      <c r="RG167" s="11"/>
      <c r="RH167" s="11"/>
      <c r="RI167" s="11"/>
      <c r="RJ167" s="11"/>
      <c r="RK167" s="11"/>
      <c r="RL167" s="11"/>
      <c r="RM167" s="11"/>
      <c r="RN167" s="11"/>
      <c r="RO167" s="11"/>
      <c r="RP167" s="11"/>
      <c r="RQ167" s="11"/>
      <c r="RR167" s="11"/>
      <c r="RS167" s="11"/>
      <c r="RT167" s="11"/>
      <c r="RU167" s="11"/>
      <c r="RV167" s="11"/>
      <c r="RW167" s="11"/>
      <c r="RX167" s="11"/>
      <c r="RY167" s="11"/>
      <c r="RZ167" s="11"/>
      <c r="SA167" s="11"/>
      <c r="SB167" s="11"/>
      <c r="SC167" s="11"/>
      <c r="SD167" s="11"/>
      <c r="SE167" s="11"/>
      <c r="SF167" s="11"/>
      <c r="SG167" s="11"/>
      <c r="SH167" s="11">
        <v>1</v>
      </c>
    </row>
    <row r="168" spans="1:502" x14ac:dyDescent="0.2">
      <c r="A168" s="10">
        <v>2.0998462570711907E-2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>
        <v>1</v>
      </c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  <c r="OM168" s="11"/>
      <c r="ON168" s="11"/>
      <c r="OO168" s="11"/>
      <c r="OP168" s="11"/>
      <c r="OQ168" s="11"/>
      <c r="OR168" s="11"/>
      <c r="OS168" s="11"/>
      <c r="OT168" s="11"/>
      <c r="OU168" s="11"/>
      <c r="OV168" s="11"/>
      <c r="OW168" s="11"/>
      <c r="OX168" s="11"/>
      <c r="OY168" s="11"/>
      <c r="OZ168" s="11"/>
      <c r="PA168" s="11"/>
      <c r="PB168" s="11"/>
      <c r="PC168" s="11"/>
      <c r="PD168" s="11"/>
      <c r="PE168" s="11"/>
      <c r="PF168" s="11"/>
      <c r="PG168" s="11"/>
      <c r="PH168" s="11"/>
      <c r="PI168" s="11"/>
      <c r="PJ168" s="11"/>
      <c r="PK168" s="11"/>
      <c r="PL168" s="11"/>
      <c r="PM168" s="11"/>
      <c r="PN168" s="11"/>
      <c r="PO168" s="11"/>
      <c r="PP168" s="11"/>
      <c r="PQ168" s="11"/>
      <c r="PR168" s="11"/>
      <c r="PS168" s="11"/>
      <c r="PT168" s="11"/>
      <c r="PU168" s="11"/>
      <c r="PV168" s="11"/>
      <c r="PW168" s="11"/>
      <c r="PX168" s="11"/>
      <c r="PY168" s="11"/>
      <c r="PZ168" s="11"/>
      <c r="QA168" s="11"/>
      <c r="QB168" s="11"/>
      <c r="QC168" s="11"/>
      <c r="QD168" s="11"/>
      <c r="QE168" s="11"/>
      <c r="QF168" s="11"/>
      <c r="QG168" s="11"/>
      <c r="QH168" s="11"/>
      <c r="QI168" s="11"/>
      <c r="QJ168" s="11"/>
      <c r="QK168" s="11"/>
      <c r="QL168" s="11"/>
      <c r="QM168" s="11"/>
      <c r="QN168" s="11"/>
      <c r="QO168" s="11"/>
      <c r="QP168" s="11"/>
      <c r="QQ168" s="11"/>
      <c r="QR168" s="11"/>
      <c r="QS168" s="11"/>
      <c r="QT168" s="11"/>
      <c r="QU168" s="11"/>
      <c r="QV168" s="11"/>
      <c r="QW168" s="11"/>
      <c r="QX168" s="11"/>
      <c r="QY168" s="11"/>
      <c r="QZ168" s="11"/>
      <c r="RA168" s="11"/>
      <c r="RB168" s="11"/>
      <c r="RC168" s="11"/>
      <c r="RD168" s="11"/>
      <c r="RE168" s="11"/>
      <c r="RF168" s="11"/>
      <c r="RG168" s="11"/>
      <c r="RH168" s="11"/>
      <c r="RI168" s="11"/>
      <c r="RJ168" s="11"/>
      <c r="RK168" s="11"/>
      <c r="RL168" s="11"/>
      <c r="RM168" s="11"/>
      <c r="RN168" s="11"/>
      <c r="RO168" s="11"/>
      <c r="RP168" s="11"/>
      <c r="RQ168" s="11"/>
      <c r="RR168" s="11"/>
      <c r="RS168" s="11"/>
      <c r="RT168" s="11"/>
      <c r="RU168" s="11"/>
      <c r="RV168" s="11"/>
      <c r="RW168" s="11"/>
      <c r="RX168" s="11"/>
      <c r="RY168" s="11"/>
      <c r="RZ168" s="11"/>
      <c r="SA168" s="11"/>
      <c r="SB168" s="11"/>
      <c r="SC168" s="11"/>
      <c r="SD168" s="11"/>
      <c r="SE168" s="11"/>
      <c r="SF168" s="11"/>
      <c r="SG168" s="11"/>
      <c r="SH168" s="11">
        <v>1</v>
      </c>
    </row>
    <row r="169" spans="1:502" x14ac:dyDescent="0.2">
      <c r="A169" s="10">
        <v>2.0999643166395E-2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  <c r="OM169" s="11"/>
      <c r="ON169" s="11">
        <v>1</v>
      </c>
      <c r="OO169" s="11"/>
      <c r="OP169" s="11"/>
      <c r="OQ169" s="11"/>
      <c r="OR169" s="11"/>
      <c r="OS169" s="11"/>
      <c r="OT169" s="11"/>
      <c r="OU169" s="11"/>
      <c r="OV169" s="11"/>
      <c r="OW169" s="11"/>
      <c r="OX169" s="11"/>
      <c r="OY169" s="11"/>
      <c r="OZ169" s="11"/>
      <c r="PA169" s="11"/>
      <c r="PB169" s="11"/>
      <c r="PC169" s="11"/>
      <c r="PD169" s="11"/>
      <c r="PE169" s="11"/>
      <c r="PF169" s="11"/>
      <c r="PG169" s="11"/>
      <c r="PH169" s="11"/>
      <c r="PI169" s="11"/>
      <c r="PJ169" s="11"/>
      <c r="PK169" s="11"/>
      <c r="PL169" s="11"/>
      <c r="PM169" s="11"/>
      <c r="PN169" s="11"/>
      <c r="PO169" s="11"/>
      <c r="PP169" s="11"/>
      <c r="PQ169" s="11"/>
      <c r="PR169" s="11"/>
      <c r="PS169" s="11"/>
      <c r="PT169" s="11"/>
      <c r="PU169" s="11"/>
      <c r="PV169" s="11"/>
      <c r="PW169" s="11"/>
      <c r="PX169" s="11"/>
      <c r="PY169" s="11"/>
      <c r="PZ169" s="11"/>
      <c r="QA169" s="11"/>
      <c r="QB169" s="11"/>
      <c r="QC169" s="11"/>
      <c r="QD169" s="11"/>
      <c r="QE169" s="11"/>
      <c r="QF169" s="11"/>
      <c r="QG169" s="11"/>
      <c r="QH169" s="11"/>
      <c r="QI169" s="11"/>
      <c r="QJ169" s="11"/>
      <c r="QK169" s="11"/>
      <c r="QL169" s="11"/>
      <c r="QM169" s="11"/>
      <c r="QN169" s="11"/>
      <c r="QO169" s="11"/>
      <c r="QP169" s="11"/>
      <c r="QQ169" s="11"/>
      <c r="QR169" s="11"/>
      <c r="QS169" s="11"/>
      <c r="QT169" s="11"/>
      <c r="QU169" s="11"/>
      <c r="QV169" s="11"/>
      <c r="QW169" s="11"/>
      <c r="QX169" s="11"/>
      <c r="QY169" s="11"/>
      <c r="QZ169" s="11"/>
      <c r="RA169" s="11"/>
      <c r="RB169" s="11"/>
      <c r="RC169" s="11"/>
      <c r="RD169" s="11"/>
      <c r="RE169" s="11"/>
      <c r="RF169" s="11"/>
      <c r="RG169" s="11"/>
      <c r="RH169" s="11"/>
      <c r="RI169" s="11"/>
      <c r="RJ169" s="11"/>
      <c r="RK169" s="11"/>
      <c r="RL169" s="11"/>
      <c r="RM169" s="11"/>
      <c r="RN169" s="11"/>
      <c r="RO169" s="11"/>
      <c r="RP169" s="11"/>
      <c r="RQ169" s="11"/>
      <c r="RR169" s="11"/>
      <c r="RS169" s="11"/>
      <c r="RT169" s="11"/>
      <c r="RU169" s="11"/>
      <c r="RV169" s="11"/>
      <c r="RW169" s="11"/>
      <c r="RX169" s="11"/>
      <c r="RY169" s="11"/>
      <c r="RZ169" s="11"/>
      <c r="SA169" s="11"/>
      <c r="SB169" s="11"/>
      <c r="SC169" s="11"/>
      <c r="SD169" s="11"/>
      <c r="SE169" s="11"/>
      <c r="SF169" s="11"/>
      <c r="SG169" s="11"/>
      <c r="SH169" s="11">
        <v>1</v>
      </c>
    </row>
    <row r="170" spans="1:502" x14ac:dyDescent="0.2">
      <c r="A170" s="10">
        <v>2.0999983975097804E-2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>
        <v>1</v>
      </c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  <c r="OM170" s="11"/>
      <c r="ON170" s="11"/>
      <c r="OO170" s="11"/>
      <c r="OP170" s="11"/>
      <c r="OQ170" s="11"/>
      <c r="OR170" s="11"/>
      <c r="OS170" s="11"/>
      <c r="OT170" s="11"/>
      <c r="OU170" s="11"/>
      <c r="OV170" s="11"/>
      <c r="OW170" s="11"/>
      <c r="OX170" s="11"/>
      <c r="OY170" s="11"/>
      <c r="OZ170" s="11"/>
      <c r="PA170" s="11"/>
      <c r="PB170" s="11"/>
      <c r="PC170" s="11"/>
      <c r="PD170" s="11"/>
      <c r="PE170" s="11"/>
      <c r="PF170" s="11"/>
      <c r="PG170" s="11"/>
      <c r="PH170" s="11"/>
      <c r="PI170" s="11"/>
      <c r="PJ170" s="11"/>
      <c r="PK170" s="11"/>
      <c r="PL170" s="11"/>
      <c r="PM170" s="11"/>
      <c r="PN170" s="11"/>
      <c r="PO170" s="11"/>
      <c r="PP170" s="11"/>
      <c r="PQ170" s="11"/>
      <c r="PR170" s="11"/>
      <c r="PS170" s="11"/>
      <c r="PT170" s="11"/>
      <c r="PU170" s="11"/>
      <c r="PV170" s="11"/>
      <c r="PW170" s="11"/>
      <c r="PX170" s="11"/>
      <c r="PY170" s="11"/>
      <c r="PZ170" s="11"/>
      <c r="QA170" s="11"/>
      <c r="QB170" s="11"/>
      <c r="QC170" s="11"/>
      <c r="QD170" s="11"/>
      <c r="QE170" s="11"/>
      <c r="QF170" s="11"/>
      <c r="QG170" s="11"/>
      <c r="QH170" s="11"/>
      <c r="QI170" s="11"/>
      <c r="QJ170" s="11"/>
      <c r="QK170" s="11"/>
      <c r="QL170" s="11"/>
      <c r="QM170" s="11"/>
      <c r="QN170" s="11"/>
      <c r="QO170" s="11"/>
      <c r="QP170" s="11"/>
      <c r="QQ170" s="11"/>
      <c r="QR170" s="11"/>
      <c r="QS170" s="11"/>
      <c r="QT170" s="11"/>
      <c r="QU170" s="11"/>
      <c r="QV170" s="11"/>
      <c r="QW170" s="11"/>
      <c r="QX170" s="11"/>
      <c r="QY170" s="11"/>
      <c r="QZ170" s="11"/>
      <c r="RA170" s="11"/>
      <c r="RB170" s="11"/>
      <c r="RC170" s="11"/>
      <c r="RD170" s="11"/>
      <c r="RE170" s="11"/>
      <c r="RF170" s="11"/>
      <c r="RG170" s="11"/>
      <c r="RH170" s="11"/>
      <c r="RI170" s="11"/>
      <c r="RJ170" s="11"/>
      <c r="RK170" s="11"/>
      <c r="RL170" s="11"/>
      <c r="RM170" s="11"/>
      <c r="RN170" s="11"/>
      <c r="RO170" s="11"/>
      <c r="RP170" s="11"/>
      <c r="RQ170" s="11"/>
      <c r="RR170" s="11"/>
      <c r="RS170" s="11"/>
      <c r="RT170" s="11"/>
      <c r="RU170" s="11"/>
      <c r="RV170" s="11"/>
      <c r="RW170" s="11"/>
      <c r="RX170" s="11"/>
      <c r="RY170" s="11"/>
      <c r="RZ170" s="11"/>
      <c r="SA170" s="11"/>
      <c r="SB170" s="11"/>
      <c r="SC170" s="11"/>
      <c r="SD170" s="11"/>
      <c r="SE170" s="11"/>
      <c r="SF170" s="11"/>
      <c r="SG170" s="11"/>
      <c r="SH170" s="11">
        <v>1</v>
      </c>
    </row>
    <row r="171" spans="1:502" x14ac:dyDescent="0.2">
      <c r="A171" s="10">
        <v>2.1255643923651448E-2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  <c r="OM171" s="11"/>
      <c r="ON171" s="11"/>
      <c r="OO171" s="11"/>
      <c r="OP171" s="11"/>
      <c r="OQ171" s="11"/>
      <c r="OR171" s="11"/>
      <c r="OS171" s="11"/>
      <c r="OT171" s="11"/>
      <c r="OU171" s="11"/>
      <c r="OV171" s="11"/>
      <c r="OW171" s="11"/>
      <c r="OX171" s="11"/>
      <c r="OY171" s="11"/>
      <c r="OZ171" s="11"/>
      <c r="PA171" s="11"/>
      <c r="PB171" s="11"/>
      <c r="PC171" s="11"/>
      <c r="PD171" s="11"/>
      <c r="PE171" s="11"/>
      <c r="PF171" s="11"/>
      <c r="PG171" s="11"/>
      <c r="PH171" s="11"/>
      <c r="PI171" s="11"/>
      <c r="PJ171" s="11"/>
      <c r="PK171" s="11"/>
      <c r="PL171" s="11"/>
      <c r="PM171" s="11"/>
      <c r="PN171" s="11">
        <v>1</v>
      </c>
      <c r="PO171" s="11"/>
      <c r="PP171" s="11"/>
      <c r="PQ171" s="11"/>
      <c r="PR171" s="11"/>
      <c r="PS171" s="11"/>
      <c r="PT171" s="11"/>
      <c r="PU171" s="11"/>
      <c r="PV171" s="11"/>
      <c r="PW171" s="11"/>
      <c r="PX171" s="11"/>
      <c r="PY171" s="11"/>
      <c r="PZ171" s="11"/>
      <c r="QA171" s="11"/>
      <c r="QB171" s="11"/>
      <c r="QC171" s="11"/>
      <c r="QD171" s="11"/>
      <c r="QE171" s="11"/>
      <c r="QF171" s="11"/>
      <c r="QG171" s="11"/>
      <c r="QH171" s="11"/>
      <c r="QI171" s="11"/>
      <c r="QJ171" s="11"/>
      <c r="QK171" s="11"/>
      <c r="QL171" s="11"/>
      <c r="QM171" s="11"/>
      <c r="QN171" s="11"/>
      <c r="QO171" s="11"/>
      <c r="QP171" s="11"/>
      <c r="QQ171" s="11"/>
      <c r="QR171" s="11"/>
      <c r="QS171" s="11"/>
      <c r="QT171" s="11"/>
      <c r="QU171" s="11"/>
      <c r="QV171" s="11"/>
      <c r="QW171" s="11"/>
      <c r="QX171" s="11"/>
      <c r="QY171" s="11"/>
      <c r="QZ171" s="11"/>
      <c r="RA171" s="11"/>
      <c r="RB171" s="11"/>
      <c r="RC171" s="11"/>
      <c r="RD171" s="11"/>
      <c r="RE171" s="11"/>
      <c r="RF171" s="11"/>
      <c r="RG171" s="11"/>
      <c r="RH171" s="11"/>
      <c r="RI171" s="11"/>
      <c r="RJ171" s="11"/>
      <c r="RK171" s="11"/>
      <c r="RL171" s="11"/>
      <c r="RM171" s="11"/>
      <c r="RN171" s="11"/>
      <c r="RO171" s="11"/>
      <c r="RP171" s="11"/>
      <c r="RQ171" s="11"/>
      <c r="RR171" s="11"/>
      <c r="RS171" s="11"/>
      <c r="RT171" s="11"/>
      <c r="RU171" s="11"/>
      <c r="RV171" s="11"/>
      <c r="RW171" s="11"/>
      <c r="RX171" s="11"/>
      <c r="RY171" s="11"/>
      <c r="RZ171" s="11"/>
      <c r="SA171" s="11"/>
      <c r="SB171" s="11"/>
      <c r="SC171" s="11"/>
      <c r="SD171" s="11"/>
      <c r="SE171" s="11"/>
      <c r="SF171" s="11"/>
      <c r="SG171" s="11"/>
      <c r="SH171" s="11">
        <v>1</v>
      </c>
    </row>
    <row r="172" spans="1:502" x14ac:dyDescent="0.2">
      <c r="A172" s="10">
        <v>2.1443963408445156E-2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  <c r="OM172" s="11"/>
      <c r="ON172" s="11"/>
      <c r="OO172" s="11"/>
      <c r="OP172" s="11"/>
      <c r="OQ172" s="11"/>
      <c r="OR172" s="11"/>
      <c r="OS172" s="11"/>
      <c r="OT172" s="11"/>
      <c r="OU172" s="11"/>
      <c r="OV172" s="11"/>
      <c r="OW172" s="11"/>
      <c r="OX172" s="11"/>
      <c r="OY172" s="11"/>
      <c r="OZ172" s="11"/>
      <c r="PA172" s="11"/>
      <c r="PB172" s="11"/>
      <c r="PC172" s="11"/>
      <c r="PD172" s="11"/>
      <c r="PE172" s="11">
        <v>1</v>
      </c>
      <c r="PF172" s="11"/>
      <c r="PG172" s="11"/>
      <c r="PH172" s="11"/>
      <c r="PI172" s="11"/>
      <c r="PJ172" s="11"/>
      <c r="PK172" s="11"/>
      <c r="PL172" s="11"/>
      <c r="PM172" s="11"/>
      <c r="PN172" s="11"/>
      <c r="PO172" s="11"/>
      <c r="PP172" s="11"/>
      <c r="PQ172" s="11"/>
      <c r="PR172" s="11"/>
      <c r="PS172" s="11"/>
      <c r="PT172" s="11"/>
      <c r="PU172" s="11"/>
      <c r="PV172" s="11"/>
      <c r="PW172" s="11"/>
      <c r="PX172" s="11"/>
      <c r="PY172" s="11"/>
      <c r="PZ172" s="11"/>
      <c r="QA172" s="11"/>
      <c r="QB172" s="11"/>
      <c r="QC172" s="11"/>
      <c r="QD172" s="11"/>
      <c r="QE172" s="11"/>
      <c r="QF172" s="11"/>
      <c r="QG172" s="11"/>
      <c r="QH172" s="11"/>
      <c r="QI172" s="11"/>
      <c r="QJ172" s="11"/>
      <c r="QK172" s="11"/>
      <c r="QL172" s="11"/>
      <c r="QM172" s="11"/>
      <c r="QN172" s="11"/>
      <c r="QO172" s="11"/>
      <c r="QP172" s="11"/>
      <c r="QQ172" s="11"/>
      <c r="QR172" s="11"/>
      <c r="QS172" s="11"/>
      <c r="QT172" s="11"/>
      <c r="QU172" s="11"/>
      <c r="QV172" s="11"/>
      <c r="QW172" s="11"/>
      <c r="QX172" s="11"/>
      <c r="QY172" s="11"/>
      <c r="QZ172" s="11"/>
      <c r="RA172" s="11"/>
      <c r="RB172" s="11"/>
      <c r="RC172" s="11"/>
      <c r="RD172" s="11"/>
      <c r="RE172" s="11"/>
      <c r="RF172" s="11"/>
      <c r="RG172" s="11"/>
      <c r="RH172" s="11"/>
      <c r="RI172" s="11"/>
      <c r="RJ172" s="11"/>
      <c r="RK172" s="11"/>
      <c r="RL172" s="11"/>
      <c r="RM172" s="11"/>
      <c r="RN172" s="11"/>
      <c r="RO172" s="11"/>
      <c r="RP172" s="11"/>
      <c r="RQ172" s="11"/>
      <c r="RR172" s="11"/>
      <c r="RS172" s="11"/>
      <c r="RT172" s="11"/>
      <c r="RU172" s="11"/>
      <c r="RV172" s="11"/>
      <c r="RW172" s="11"/>
      <c r="RX172" s="11"/>
      <c r="RY172" s="11"/>
      <c r="RZ172" s="11"/>
      <c r="SA172" s="11"/>
      <c r="SB172" s="11"/>
      <c r="SC172" s="11"/>
      <c r="SD172" s="11"/>
      <c r="SE172" s="11"/>
      <c r="SF172" s="11"/>
      <c r="SG172" s="11"/>
      <c r="SH172" s="11">
        <v>1</v>
      </c>
    </row>
    <row r="173" spans="1:502" x14ac:dyDescent="0.2">
      <c r="A173" s="10">
        <v>2.1571225890408271E-2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>
        <v>1</v>
      </c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  <c r="OM173" s="11"/>
      <c r="ON173" s="11"/>
      <c r="OO173" s="11"/>
      <c r="OP173" s="11"/>
      <c r="OQ173" s="11"/>
      <c r="OR173" s="11"/>
      <c r="OS173" s="11"/>
      <c r="OT173" s="11"/>
      <c r="OU173" s="11"/>
      <c r="OV173" s="11"/>
      <c r="OW173" s="11"/>
      <c r="OX173" s="11"/>
      <c r="OY173" s="11"/>
      <c r="OZ173" s="11"/>
      <c r="PA173" s="11"/>
      <c r="PB173" s="11"/>
      <c r="PC173" s="11"/>
      <c r="PD173" s="11"/>
      <c r="PE173" s="11"/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1"/>
      <c r="PT173" s="11"/>
      <c r="PU173" s="11"/>
      <c r="PV173" s="11"/>
      <c r="PW173" s="11"/>
      <c r="PX173" s="11"/>
      <c r="PY173" s="11"/>
      <c r="PZ173" s="11"/>
      <c r="QA173" s="11"/>
      <c r="QB173" s="11"/>
      <c r="QC173" s="11"/>
      <c r="QD173" s="11"/>
      <c r="QE173" s="11"/>
      <c r="QF173" s="11"/>
      <c r="QG173" s="11"/>
      <c r="QH173" s="11"/>
      <c r="QI173" s="11"/>
      <c r="QJ173" s="11"/>
      <c r="QK173" s="11"/>
      <c r="QL173" s="11"/>
      <c r="QM173" s="11"/>
      <c r="QN173" s="11"/>
      <c r="QO173" s="11"/>
      <c r="QP173" s="11"/>
      <c r="QQ173" s="11"/>
      <c r="QR173" s="11"/>
      <c r="QS173" s="11"/>
      <c r="QT173" s="11"/>
      <c r="QU173" s="11"/>
      <c r="QV173" s="11"/>
      <c r="QW173" s="11"/>
      <c r="QX173" s="11"/>
      <c r="QY173" s="11"/>
      <c r="QZ173" s="11"/>
      <c r="RA173" s="11"/>
      <c r="RB173" s="11"/>
      <c r="RC173" s="11"/>
      <c r="RD173" s="11"/>
      <c r="RE173" s="11"/>
      <c r="RF173" s="11"/>
      <c r="RG173" s="11"/>
      <c r="RH173" s="11"/>
      <c r="RI173" s="11"/>
      <c r="RJ173" s="11"/>
      <c r="RK173" s="11"/>
      <c r="RL173" s="11"/>
      <c r="RM173" s="11"/>
      <c r="RN173" s="11"/>
      <c r="RO173" s="11"/>
      <c r="RP173" s="11"/>
      <c r="RQ173" s="11"/>
      <c r="RR173" s="11"/>
      <c r="RS173" s="11"/>
      <c r="RT173" s="11"/>
      <c r="RU173" s="11"/>
      <c r="RV173" s="11"/>
      <c r="RW173" s="11"/>
      <c r="RX173" s="11"/>
      <c r="RY173" s="11"/>
      <c r="RZ173" s="11"/>
      <c r="SA173" s="11"/>
      <c r="SB173" s="11"/>
      <c r="SC173" s="11"/>
      <c r="SD173" s="11"/>
      <c r="SE173" s="11"/>
      <c r="SF173" s="11"/>
      <c r="SG173" s="11"/>
      <c r="SH173" s="11">
        <v>1</v>
      </c>
    </row>
    <row r="174" spans="1:502" x14ac:dyDescent="0.2">
      <c r="A174" s="10">
        <v>2.1571610894053721E-2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>
        <v>1</v>
      </c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  <c r="OM174" s="11"/>
      <c r="ON174" s="11"/>
      <c r="OO174" s="11"/>
      <c r="OP174" s="11"/>
      <c r="OQ174" s="11"/>
      <c r="OR174" s="11"/>
      <c r="OS174" s="11"/>
      <c r="OT174" s="11"/>
      <c r="OU174" s="11"/>
      <c r="OV174" s="11"/>
      <c r="OW174" s="11"/>
      <c r="OX174" s="11"/>
      <c r="OY174" s="11"/>
      <c r="OZ174" s="11"/>
      <c r="PA174" s="11"/>
      <c r="PB174" s="11"/>
      <c r="PC174" s="11"/>
      <c r="PD174" s="11"/>
      <c r="PE174" s="11"/>
      <c r="PF174" s="11"/>
      <c r="PG174" s="11"/>
      <c r="PH174" s="11"/>
      <c r="PI174" s="11"/>
      <c r="PJ174" s="11"/>
      <c r="PK174" s="11"/>
      <c r="PL174" s="11"/>
      <c r="PM174" s="11"/>
      <c r="PN174" s="11"/>
      <c r="PO174" s="11"/>
      <c r="PP174" s="11"/>
      <c r="PQ174" s="11"/>
      <c r="PR174" s="11"/>
      <c r="PS174" s="11"/>
      <c r="PT174" s="11"/>
      <c r="PU174" s="11"/>
      <c r="PV174" s="11"/>
      <c r="PW174" s="11"/>
      <c r="PX174" s="11"/>
      <c r="PY174" s="11"/>
      <c r="PZ174" s="11"/>
      <c r="QA174" s="11"/>
      <c r="QB174" s="11"/>
      <c r="QC174" s="11"/>
      <c r="QD174" s="11"/>
      <c r="QE174" s="11"/>
      <c r="QF174" s="11"/>
      <c r="QG174" s="11"/>
      <c r="QH174" s="11"/>
      <c r="QI174" s="11"/>
      <c r="QJ174" s="11"/>
      <c r="QK174" s="11"/>
      <c r="QL174" s="11"/>
      <c r="QM174" s="11"/>
      <c r="QN174" s="11"/>
      <c r="QO174" s="11"/>
      <c r="QP174" s="11"/>
      <c r="QQ174" s="11"/>
      <c r="QR174" s="11"/>
      <c r="QS174" s="11"/>
      <c r="QT174" s="11"/>
      <c r="QU174" s="11"/>
      <c r="QV174" s="11"/>
      <c r="QW174" s="11"/>
      <c r="QX174" s="11"/>
      <c r="QY174" s="11"/>
      <c r="QZ174" s="11"/>
      <c r="RA174" s="11"/>
      <c r="RB174" s="11"/>
      <c r="RC174" s="11"/>
      <c r="RD174" s="11"/>
      <c r="RE174" s="11"/>
      <c r="RF174" s="11"/>
      <c r="RG174" s="11"/>
      <c r="RH174" s="11"/>
      <c r="RI174" s="11"/>
      <c r="RJ174" s="11"/>
      <c r="RK174" s="11"/>
      <c r="RL174" s="11"/>
      <c r="RM174" s="11"/>
      <c r="RN174" s="11"/>
      <c r="RO174" s="11"/>
      <c r="RP174" s="11"/>
      <c r="RQ174" s="11"/>
      <c r="RR174" s="11"/>
      <c r="RS174" s="11"/>
      <c r="RT174" s="11"/>
      <c r="RU174" s="11"/>
      <c r="RV174" s="11"/>
      <c r="RW174" s="11"/>
      <c r="RX174" s="11"/>
      <c r="RY174" s="11"/>
      <c r="RZ174" s="11"/>
      <c r="SA174" s="11"/>
      <c r="SB174" s="11"/>
      <c r="SC174" s="11"/>
      <c r="SD174" s="11"/>
      <c r="SE174" s="11"/>
      <c r="SF174" s="11"/>
      <c r="SG174" s="11"/>
      <c r="SH174" s="11">
        <v>1</v>
      </c>
    </row>
    <row r="175" spans="1:502" x14ac:dyDescent="0.2">
      <c r="A175" s="10">
        <v>2.1647101673018729E-2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>
        <v>1</v>
      </c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  <c r="OM175" s="11"/>
      <c r="ON175" s="11"/>
      <c r="OO175" s="11"/>
      <c r="OP175" s="11"/>
      <c r="OQ175" s="11"/>
      <c r="OR175" s="11"/>
      <c r="OS175" s="11"/>
      <c r="OT175" s="11"/>
      <c r="OU175" s="11"/>
      <c r="OV175" s="11"/>
      <c r="OW175" s="11"/>
      <c r="OX175" s="11"/>
      <c r="OY175" s="11"/>
      <c r="OZ175" s="11"/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1"/>
      <c r="PT175" s="11"/>
      <c r="PU175" s="11"/>
      <c r="PV175" s="11"/>
      <c r="PW175" s="11"/>
      <c r="PX175" s="11"/>
      <c r="PY175" s="11"/>
      <c r="PZ175" s="11"/>
      <c r="QA175" s="11"/>
      <c r="QB175" s="11"/>
      <c r="QC175" s="11"/>
      <c r="QD175" s="11"/>
      <c r="QE175" s="11"/>
      <c r="QF175" s="11"/>
      <c r="QG175" s="11"/>
      <c r="QH175" s="11"/>
      <c r="QI175" s="11"/>
      <c r="QJ175" s="11"/>
      <c r="QK175" s="11"/>
      <c r="QL175" s="11"/>
      <c r="QM175" s="11"/>
      <c r="QN175" s="11"/>
      <c r="QO175" s="11"/>
      <c r="QP175" s="11"/>
      <c r="QQ175" s="11"/>
      <c r="QR175" s="11"/>
      <c r="QS175" s="11"/>
      <c r="QT175" s="11"/>
      <c r="QU175" s="11"/>
      <c r="QV175" s="11"/>
      <c r="QW175" s="11"/>
      <c r="QX175" s="11"/>
      <c r="QY175" s="11"/>
      <c r="QZ175" s="11"/>
      <c r="RA175" s="11"/>
      <c r="RB175" s="11"/>
      <c r="RC175" s="11"/>
      <c r="RD175" s="11"/>
      <c r="RE175" s="11"/>
      <c r="RF175" s="11"/>
      <c r="RG175" s="11"/>
      <c r="RH175" s="11"/>
      <c r="RI175" s="11"/>
      <c r="RJ175" s="11"/>
      <c r="RK175" s="11"/>
      <c r="RL175" s="11"/>
      <c r="RM175" s="11"/>
      <c r="RN175" s="11"/>
      <c r="RO175" s="11"/>
      <c r="RP175" s="11"/>
      <c r="RQ175" s="11"/>
      <c r="RR175" s="11"/>
      <c r="RS175" s="11"/>
      <c r="RT175" s="11"/>
      <c r="RU175" s="11"/>
      <c r="RV175" s="11"/>
      <c r="RW175" s="11"/>
      <c r="RX175" s="11"/>
      <c r="RY175" s="11"/>
      <c r="RZ175" s="11"/>
      <c r="SA175" s="11"/>
      <c r="SB175" s="11"/>
      <c r="SC175" s="11"/>
      <c r="SD175" s="11"/>
      <c r="SE175" s="11"/>
      <c r="SF175" s="11"/>
      <c r="SG175" s="11"/>
      <c r="SH175" s="11">
        <v>1</v>
      </c>
    </row>
    <row r="176" spans="1:502" x14ac:dyDescent="0.2">
      <c r="A176" s="10">
        <v>2.1714366668278789E-2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>
        <v>1</v>
      </c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  <c r="OM176" s="11"/>
      <c r="ON176" s="11"/>
      <c r="OO176" s="11"/>
      <c r="OP176" s="11"/>
      <c r="OQ176" s="11"/>
      <c r="OR176" s="11"/>
      <c r="OS176" s="11"/>
      <c r="OT176" s="11"/>
      <c r="OU176" s="11"/>
      <c r="OV176" s="11"/>
      <c r="OW176" s="11"/>
      <c r="OX176" s="11"/>
      <c r="OY176" s="11"/>
      <c r="OZ176" s="11"/>
      <c r="PA176" s="11"/>
      <c r="PB176" s="11"/>
      <c r="PC176" s="11"/>
      <c r="PD176" s="11"/>
      <c r="PE176" s="11"/>
      <c r="PF176" s="11"/>
      <c r="PG176" s="11"/>
      <c r="PH176" s="11"/>
      <c r="PI176" s="11"/>
      <c r="PJ176" s="11"/>
      <c r="PK176" s="11"/>
      <c r="PL176" s="11"/>
      <c r="PM176" s="11"/>
      <c r="PN176" s="11"/>
      <c r="PO176" s="11"/>
      <c r="PP176" s="11"/>
      <c r="PQ176" s="11"/>
      <c r="PR176" s="11"/>
      <c r="PS176" s="11"/>
      <c r="PT176" s="11"/>
      <c r="PU176" s="11"/>
      <c r="PV176" s="11"/>
      <c r="PW176" s="11"/>
      <c r="PX176" s="11"/>
      <c r="PY176" s="11"/>
      <c r="PZ176" s="11"/>
      <c r="QA176" s="11"/>
      <c r="QB176" s="11"/>
      <c r="QC176" s="11"/>
      <c r="QD176" s="11"/>
      <c r="QE176" s="11"/>
      <c r="QF176" s="11"/>
      <c r="QG176" s="11"/>
      <c r="QH176" s="11"/>
      <c r="QI176" s="11"/>
      <c r="QJ176" s="11"/>
      <c r="QK176" s="11"/>
      <c r="QL176" s="11"/>
      <c r="QM176" s="11"/>
      <c r="QN176" s="11"/>
      <c r="QO176" s="11"/>
      <c r="QP176" s="11"/>
      <c r="QQ176" s="11"/>
      <c r="QR176" s="11"/>
      <c r="QS176" s="11"/>
      <c r="QT176" s="11"/>
      <c r="QU176" s="11"/>
      <c r="QV176" s="11"/>
      <c r="QW176" s="11"/>
      <c r="QX176" s="11"/>
      <c r="QY176" s="11"/>
      <c r="QZ176" s="11"/>
      <c r="RA176" s="11"/>
      <c r="RB176" s="11"/>
      <c r="RC176" s="11"/>
      <c r="RD176" s="11"/>
      <c r="RE176" s="11"/>
      <c r="RF176" s="11"/>
      <c r="RG176" s="11"/>
      <c r="RH176" s="11"/>
      <c r="RI176" s="11"/>
      <c r="RJ176" s="11"/>
      <c r="RK176" s="11"/>
      <c r="RL176" s="11"/>
      <c r="RM176" s="11"/>
      <c r="RN176" s="11"/>
      <c r="RO176" s="11"/>
      <c r="RP176" s="11"/>
      <c r="RQ176" s="11"/>
      <c r="RR176" s="11"/>
      <c r="RS176" s="11"/>
      <c r="RT176" s="11"/>
      <c r="RU176" s="11"/>
      <c r="RV176" s="11"/>
      <c r="RW176" s="11"/>
      <c r="RX176" s="11"/>
      <c r="RY176" s="11"/>
      <c r="RZ176" s="11"/>
      <c r="SA176" s="11"/>
      <c r="SB176" s="11"/>
      <c r="SC176" s="11"/>
      <c r="SD176" s="11"/>
      <c r="SE176" s="11"/>
      <c r="SF176" s="11"/>
      <c r="SG176" s="11"/>
      <c r="SH176" s="11">
        <v>1</v>
      </c>
    </row>
    <row r="177" spans="1:502" x14ac:dyDescent="0.2">
      <c r="A177" s="10">
        <v>2.1746657939858995E-2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>
        <v>1</v>
      </c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1"/>
      <c r="PT177" s="11"/>
      <c r="PU177" s="11"/>
      <c r="PV177" s="11"/>
      <c r="PW177" s="11"/>
      <c r="PX177" s="11"/>
      <c r="PY177" s="11"/>
      <c r="PZ177" s="11"/>
      <c r="QA177" s="11"/>
      <c r="QB177" s="11"/>
      <c r="QC177" s="11"/>
      <c r="QD177" s="11"/>
      <c r="QE177" s="11"/>
      <c r="QF177" s="11"/>
      <c r="QG177" s="11"/>
      <c r="QH177" s="11"/>
      <c r="QI177" s="11"/>
      <c r="QJ177" s="11"/>
      <c r="QK177" s="11"/>
      <c r="QL177" s="11"/>
      <c r="QM177" s="11"/>
      <c r="QN177" s="11"/>
      <c r="QO177" s="11"/>
      <c r="QP177" s="11"/>
      <c r="QQ177" s="11"/>
      <c r="QR177" s="11"/>
      <c r="QS177" s="11"/>
      <c r="QT177" s="11"/>
      <c r="QU177" s="11"/>
      <c r="QV177" s="11"/>
      <c r="QW177" s="11"/>
      <c r="QX177" s="11"/>
      <c r="QY177" s="11"/>
      <c r="QZ177" s="11"/>
      <c r="RA177" s="11"/>
      <c r="RB177" s="11"/>
      <c r="RC177" s="11"/>
      <c r="RD177" s="11"/>
      <c r="RE177" s="11"/>
      <c r="RF177" s="11"/>
      <c r="RG177" s="11"/>
      <c r="RH177" s="11"/>
      <c r="RI177" s="11"/>
      <c r="RJ177" s="11"/>
      <c r="RK177" s="11"/>
      <c r="RL177" s="11"/>
      <c r="RM177" s="11"/>
      <c r="RN177" s="11"/>
      <c r="RO177" s="11"/>
      <c r="RP177" s="11"/>
      <c r="RQ177" s="11"/>
      <c r="RR177" s="11"/>
      <c r="RS177" s="11"/>
      <c r="RT177" s="11"/>
      <c r="RU177" s="11"/>
      <c r="RV177" s="11"/>
      <c r="RW177" s="11"/>
      <c r="RX177" s="11"/>
      <c r="RY177" s="11"/>
      <c r="RZ177" s="11"/>
      <c r="SA177" s="11"/>
      <c r="SB177" s="11"/>
      <c r="SC177" s="11"/>
      <c r="SD177" s="11"/>
      <c r="SE177" s="11"/>
      <c r="SF177" s="11"/>
      <c r="SG177" s="11"/>
      <c r="SH177" s="11">
        <v>1</v>
      </c>
    </row>
    <row r="178" spans="1:502" x14ac:dyDescent="0.2">
      <c r="A178" s="10">
        <v>2.1811311364126576E-2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  <c r="OM178" s="11"/>
      <c r="ON178" s="11"/>
      <c r="OO178" s="11"/>
      <c r="OP178" s="11"/>
      <c r="OQ178" s="11"/>
      <c r="OR178" s="11"/>
      <c r="OS178" s="11"/>
      <c r="OT178" s="11"/>
      <c r="OU178" s="11"/>
      <c r="OV178" s="11"/>
      <c r="OW178" s="11"/>
      <c r="OX178" s="11"/>
      <c r="OY178" s="11"/>
      <c r="OZ178" s="11"/>
      <c r="PA178" s="11"/>
      <c r="PB178" s="11"/>
      <c r="PC178" s="11"/>
      <c r="PD178" s="11"/>
      <c r="PE178" s="11"/>
      <c r="PF178" s="11"/>
      <c r="PG178" s="11"/>
      <c r="PH178" s="11"/>
      <c r="PI178" s="11"/>
      <c r="PJ178" s="11"/>
      <c r="PK178" s="11"/>
      <c r="PL178" s="11"/>
      <c r="PM178" s="11"/>
      <c r="PN178" s="11"/>
      <c r="PO178" s="11"/>
      <c r="PP178" s="11"/>
      <c r="PQ178" s="11"/>
      <c r="PR178" s="11"/>
      <c r="PS178" s="11"/>
      <c r="PT178" s="11"/>
      <c r="PU178" s="11"/>
      <c r="PV178" s="11"/>
      <c r="PW178" s="11"/>
      <c r="PX178" s="11"/>
      <c r="PY178" s="11"/>
      <c r="PZ178" s="11"/>
      <c r="QA178" s="11"/>
      <c r="QB178" s="11">
        <v>1</v>
      </c>
      <c r="QC178" s="11"/>
      <c r="QD178" s="11"/>
      <c r="QE178" s="11"/>
      <c r="QF178" s="11"/>
      <c r="QG178" s="11"/>
      <c r="QH178" s="11"/>
      <c r="QI178" s="11"/>
      <c r="QJ178" s="11"/>
      <c r="QK178" s="11"/>
      <c r="QL178" s="11"/>
      <c r="QM178" s="11"/>
      <c r="QN178" s="11"/>
      <c r="QO178" s="11"/>
      <c r="QP178" s="11"/>
      <c r="QQ178" s="11"/>
      <c r="QR178" s="11"/>
      <c r="QS178" s="11"/>
      <c r="QT178" s="11"/>
      <c r="QU178" s="11"/>
      <c r="QV178" s="11"/>
      <c r="QW178" s="11"/>
      <c r="QX178" s="11"/>
      <c r="QY178" s="11"/>
      <c r="QZ178" s="11"/>
      <c r="RA178" s="11"/>
      <c r="RB178" s="11"/>
      <c r="RC178" s="11"/>
      <c r="RD178" s="11"/>
      <c r="RE178" s="11"/>
      <c r="RF178" s="11"/>
      <c r="RG178" s="11"/>
      <c r="RH178" s="11"/>
      <c r="RI178" s="11"/>
      <c r="RJ178" s="11"/>
      <c r="RK178" s="11"/>
      <c r="RL178" s="11"/>
      <c r="RM178" s="11"/>
      <c r="RN178" s="11"/>
      <c r="RO178" s="11"/>
      <c r="RP178" s="11"/>
      <c r="RQ178" s="11"/>
      <c r="RR178" s="11"/>
      <c r="RS178" s="11"/>
      <c r="RT178" s="11"/>
      <c r="RU178" s="11"/>
      <c r="RV178" s="11"/>
      <c r="RW178" s="11"/>
      <c r="RX178" s="11"/>
      <c r="RY178" s="11"/>
      <c r="RZ178" s="11"/>
      <c r="SA178" s="11"/>
      <c r="SB178" s="11"/>
      <c r="SC178" s="11"/>
      <c r="SD178" s="11"/>
      <c r="SE178" s="11"/>
      <c r="SF178" s="11"/>
      <c r="SG178" s="11"/>
      <c r="SH178" s="11">
        <v>1</v>
      </c>
    </row>
    <row r="179" spans="1:502" x14ac:dyDescent="0.2">
      <c r="A179" s="10">
        <v>2.1812557836693003E-2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>
        <v>1</v>
      </c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  <c r="OM179" s="11"/>
      <c r="ON179" s="11"/>
      <c r="OO179" s="11"/>
      <c r="OP179" s="11"/>
      <c r="OQ179" s="11"/>
      <c r="OR179" s="11"/>
      <c r="OS179" s="11"/>
      <c r="OT179" s="11"/>
      <c r="OU179" s="11"/>
      <c r="OV179" s="11"/>
      <c r="OW179" s="11"/>
      <c r="OX179" s="11"/>
      <c r="OY179" s="11"/>
      <c r="OZ179" s="11"/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1"/>
      <c r="PL179" s="11"/>
      <c r="PM179" s="11"/>
      <c r="PN179" s="11"/>
      <c r="PO179" s="11"/>
      <c r="PP179" s="11"/>
      <c r="PQ179" s="11"/>
      <c r="PR179" s="11"/>
      <c r="PS179" s="11"/>
      <c r="PT179" s="11"/>
      <c r="PU179" s="11"/>
      <c r="PV179" s="11"/>
      <c r="PW179" s="11"/>
      <c r="PX179" s="11"/>
      <c r="PY179" s="11"/>
      <c r="PZ179" s="11"/>
      <c r="QA179" s="11"/>
      <c r="QB179" s="11"/>
      <c r="QC179" s="11"/>
      <c r="QD179" s="11"/>
      <c r="QE179" s="11"/>
      <c r="QF179" s="11"/>
      <c r="QG179" s="11"/>
      <c r="QH179" s="11"/>
      <c r="QI179" s="11"/>
      <c r="QJ179" s="11"/>
      <c r="QK179" s="11"/>
      <c r="QL179" s="11"/>
      <c r="QM179" s="11"/>
      <c r="QN179" s="11"/>
      <c r="QO179" s="11"/>
      <c r="QP179" s="11"/>
      <c r="QQ179" s="11"/>
      <c r="QR179" s="11"/>
      <c r="QS179" s="11"/>
      <c r="QT179" s="11"/>
      <c r="QU179" s="11"/>
      <c r="QV179" s="11"/>
      <c r="QW179" s="11"/>
      <c r="QX179" s="11"/>
      <c r="QY179" s="11"/>
      <c r="QZ179" s="11"/>
      <c r="RA179" s="11"/>
      <c r="RB179" s="11"/>
      <c r="RC179" s="11"/>
      <c r="RD179" s="11"/>
      <c r="RE179" s="11"/>
      <c r="RF179" s="11"/>
      <c r="RG179" s="11"/>
      <c r="RH179" s="11"/>
      <c r="RI179" s="11"/>
      <c r="RJ179" s="11"/>
      <c r="RK179" s="11"/>
      <c r="RL179" s="11"/>
      <c r="RM179" s="11"/>
      <c r="RN179" s="11"/>
      <c r="RO179" s="11"/>
      <c r="RP179" s="11"/>
      <c r="RQ179" s="11"/>
      <c r="RR179" s="11"/>
      <c r="RS179" s="11"/>
      <c r="RT179" s="11"/>
      <c r="RU179" s="11"/>
      <c r="RV179" s="11"/>
      <c r="RW179" s="11"/>
      <c r="RX179" s="11"/>
      <c r="RY179" s="11"/>
      <c r="RZ179" s="11"/>
      <c r="SA179" s="11"/>
      <c r="SB179" s="11"/>
      <c r="SC179" s="11"/>
      <c r="SD179" s="11"/>
      <c r="SE179" s="11"/>
      <c r="SF179" s="11"/>
      <c r="SG179" s="11"/>
      <c r="SH179" s="11">
        <v>1</v>
      </c>
    </row>
    <row r="180" spans="1:502" x14ac:dyDescent="0.2">
      <c r="A180" s="10">
        <v>2.185256288773095E-2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>
        <v>1</v>
      </c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  <c r="OM180" s="11"/>
      <c r="ON180" s="11"/>
      <c r="OO180" s="11"/>
      <c r="OP180" s="11"/>
      <c r="OQ180" s="11"/>
      <c r="OR180" s="11"/>
      <c r="OS180" s="11"/>
      <c r="OT180" s="11"/>
      <c r="OU180" s="11"/>
      <c r="OV180" s="11"/>
      <c r="OW180" s="11"/>
      <c r="OX180" s="11"/>
      <c r="OY180" s="11"/>
      <c r="OZ180" s="11"/>
      <c r="PA180" s="11"/>
      <c r="PB180" s="11"/>
      <c r="PC180" s="11"/>
      <c r="PD180" s="11"/>
      <c r="PE180" s="11"/>
      <c r="PF180" s="11"/>
      <c r="PG180" s="11"/>
      <c r="PH180" s="11"/>
      <c r="PI180" s="11"/>
      <c r="PJ180" s="11"/>
      <c r="PK180" s="11"/>
      <c r="PL180" s="11"/>
      <c r="PM180" s="11"/>
      <c r="PN180" s="11"/>
      <c r="PO180" s="11"/>
      <c r="PP180" s="11"/>
      <c r="PQ180" s="11"/>
      <c r="PR180" s="11"/>
      <c r="PS180" s="11"/>
      <c r="PT180" s="11"/>
      <c r="PU180" s="11"/>
      <c r="PV180" s="11"/>
      <c r="PW180" s="11"/>
      <c r="PX180" s="11"/>
      <c r="PY180" s="11"/>
      <c r="PZ180" s="11"/>
      <c r="QA180" s="11"/>
      <c r="QB180" s="11"/>
      <c r="QC180" s="11"/>
      <c r="QD180" s="11"/>
      <c r="QE180" s="11"/>
      <c r="QF180" s="11"/>
      <c r="QG180" s="11"/>
      <c r="QH180" s="11"/>
      <c r="QI180" s="11"/>
      <c r="QJ180" s="11"/>
      <c r="QK180" s="11"/>
      <c r="QL180" s="11"/>
      <c r="QM180" s="11"/>
      <c r="QN180" s="11"/>
      <c r="QO180" s="11"/>
      <c r="QP180" s="11"/>
      <c r="QQ180" s="11"/>
      <c r="QR180" s="11"/>
      <c r="QS180" s="11"/>
      <c r="QT180" s="11"/>
      <c r="QU180" s="11"/>
      <c r="QV180" s="11"/>
      <c r="QW180" s="11"/>
      <c r="QX180" s="11"/>
      <c r="QY180" s="11"/>
      <c r="QZ180" s="11"/>
      <c r="RA180" s="11"/>
      <c r="RB180" s="11"/>
      <c r="RC180" s="11"/>
      <c r="RD180" s="11"/>
      <c r="RE180" s="11"/>
      <c r="RF180" s="11"/>
      <c r="RG180" s="11"/>
      <c r="RH180" s="11"/>
      <c r="RI180" s="11"/>
      <c r="RJ180" s="11"/>
      <c r="RK180" s="11"/>
      <c r="RL180" s="11"/>
      <c r="RM180" s="11"/>
      <c r="RN180" s="11"/>
      <c r="RO180" s="11"/>
      <c r="RP180" s="11"/>
      <c r="RQ180" s="11"/>
      <c r="RR180" s="11"/>
      <c r="RS180" s="11"/>
      <c r="RT180" s="11"/>
      <c r="RU180" s="11"/>
      <c r="RV180" s="11"/>
      <c r="RW180" s="11"/>
      <c r="RX180" s="11"/>
      <c r="RY180" s="11"/>
      <c r="RZ180" s="11"/>
      <c r="SA180" s="11"/>
      <c r="SB180" s="11"/>
      <c r="SC180" s="11"/>
      <c r="SD180" s="11"/>
      <c r="SE180" s="11"/>
      <c r="SF180" s="11"/>
      <c r="SG180" s="11"/>
      <c r="SH180" s="11">
        <v>1</v>
      </c>
    </row>
    <row r="181" spans="1:502" x14ac:dyDescent="0.2">
      <c r="A181" s="10">
        <v>2.1859805873639636E-2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>
        <v>1</v>
      </c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/>
      <c r="PC181" s="11"/>
      <c r="PD181" s="11"/>
      <c r="PE181" s="11"/>
      <c r="PF181" s="11"/>
      <c r="PG181" s="11"/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1"/>
      <c r="PT181" s="11"/>
      <c r="PU181" s="11"/>
      <c r="PV181" s="11"/>
      <c r="PW181" s="11"/>
      <c r="PX181" s="11"/>
      <c r="PY181" s="11"/>
      <c r="PZ181" s="11"/>
      <c r="QA181" s="11"/>
      <c r="QB181" s="11"/>
      <c r="QC181" s="11"/>
      <c r="QD181" s="11"/>
      <c r="QE181" s="11"/>
      <c r="QF181" s="11"/>
      <c r="QG181" s="11"/>
      <c r="QH181" s="11"/>
      <c r="QI181" s="11"/>
      <c r="QJ181" s="11"/>
      <c r="QK181" s="11"/>
      <c r="QL181" s="11"/>
      <c r="QM181" s="11"/>
      <c r="QN181" s="11"/>
      <c r="QO181" s="11"/>
      <c r="QP181" s="11"/>
      <c r="QQ181" s="11"/>
      <c r="QR181" s="11"/>
      <c r="QS181" s="11"/>
      <c r="QT181" s="11"/>
      <c r="QU181" s="11"/>
      <c r="QV181" s="11"/>
      <c r="QW181" s="11"/>
      <c r="QX181" s="11"/>
      <c r="QY181" s="11"/>
      <c r="QZ181" s="11"/>
      <c r="RA181" s="11"/>
      <c r="RB181" s="11"/>
      <c r="RC181" s="11"/>
      <c r="RD181" s="11"/>
      <c r="RE181" s="11"/>
      <c r="RF181" s="11"/>
      <c r="RG181" s="11"/>
      <c r="RH181" s="11"/>
      <c r="RI181" s="11"/>
      <c r="RJ181" s="11"/>
      <c r="RK181" s="11"/>
      <c r="RL181" s="11"/>
      <c r="RM181" s="11"/>
      <c r="RN181" s="11"/>
      <c r="RO181" s="11"/>
      <c r="RP181" s="11"/>
      <c r="RQ181" s="11"/>
      <c r="RR181" s="11"/>
      <c r="RS181" s="11"/>
      <c r="RT181" s="11"/>
      <c r="RU181" s="11"/>
      <c r="RV181" s="11"/>
      <c r="RW181" s="11"/>
      <c r="RX181" s="11"/>
      <c r="RY181" s="11"/>
      <c r="RZ181" s="11"/>
      <c r="SA181" s="11"/>
      <c r="SB181" s="11"/>
      <c r="SC181" s="11"/>
      <c r="SD181" s="11"/>
      <c r="SE181" s="11"/>
      <c r="SF181" s="11"/>
      <c r="SG181" s="11"/>
      <c r="SH181" s="11">
        <v>1</v>
      </c>
    </row>
    <row r="182" spans="1:502" x14ac:dyDescent="0.2">
      <c r="A182" s="10">
        <v>2.1889199695604003E-2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>
        <v>1</v>
      </c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  <c r="OM182" s="11"/>
      <c r="ON182" s="11"/>
      <c r="OO182" s="11"/>
      <c r="OP182" s="11"/>
      <c r="OQ182" s="11"/>
      <c r="OR182" s="11"/>
      <c r="OS182" s="11"/>
      <c r="OT182" s="11"/>
      <c r="OU182" s="11"/>
      <c r="OV182" s="11"/>
      <c r="OW182" s="11"/>
      <c r="OX182" s="11"/>
      <c r="OY182" s="11"/>
      <c r="OZ182" s="11"/>
      <c r="PA182" s="11"/>
      <c r="PB182" s="11"/>
      <c r="PC182" s="11"/>
      <c r="PD182" s="11"/>
      <c r="PE182" s="11"/>
      <c r="PF182" s="11"/>
      <c r="PG182" s="11"/>
      <c r="PH182" s="11"/>
      <c r="PI182" s="11"/>
      <c r="PJ182" s="11"/>
      <c r="PK182" s="11"/>
      <c r="PL182" s="11"/>
      <c r="PM182" s="11"/>
      <c r="PN182" s="11"/>
      <c r="PO182" s="11"/>
      <c r="PP182" s="11"/>
      <c r="PQ182" s="11"/>
      <c r="PR182" s="11"/>
      <c r="PS182" s="11"/>
      <c r="PT182" s="11"/>
      <c r="PU182" s="11"/>
      <c r="PV182" s="11"/>
      <c r="PW182" s="11"/>
      <c r="PX182" s="11"/>
      <c r="PY182" s="11"/>
      <c r="PZ182" s="11"/>
      <c r="QA182" s="11"/>
      <c r="QB182" s="11"/>
      <c r="QC182" s="11"/>
      <c r="QD182" s="11"/>
      <c r="QE182" s="11"/>
      <c r="QF182" s="11"/>
      <c r="QG182" s="11"/>
      <c r="QH182" s="11"/>
      <c r="QI182" s="11"/>
      <c r="QJ182" s="11"/>
      <c r="QK182" s="11"/>
      <c r="QL182" s="11"/>
      <c r="QM182" s="11"/>
      <c r="QN182" s="11"/>
      <c r="QO182" s="11"/>
      <c r="QP182" s="11"/>
      <c r="QQ182" s="11"/>
      <c r="QR182" s="11"/>
      <c r="QS182" s="11"/>
      <c r="QT182" s="11"/>
      <c r="QU182" s="11"/>
      <c r="QV182" s="11"/>
      <c r="QW182" s="11"/>
      <c r="QX182" s="11"/>
      <c r="QY182" s="11"/>
      <c r="QZ182" s="11"/>
      <c r="RA182" s="11"/>
      <c r="RB182" s="11"/>
      <c r="RC182" s="11"/>
      <c r="RD182" s="11"/>
      <c r="RE182" s="11"/>
      <c r="RF182" s="11"/>
      <c r="RG182" s="11"/>
      <c r="RH182" s="11"/>
      <c r="RI182" s="11"/>
      <c r="RJ182" s="11"/>
      <c r="RK182" s="11"/>
      <c r="RL182" s="11"/>
      <c r="RM182" s="11"/>
      <c r="RN182" s="11"/>
      <c r="RO182" s="11"/>
      <c r="RP182" s="11"/>
      <c r="RQ182" s="11"/>
      <c r="RR182" s="11"/>
      <c r="RS182" s="11"/>
      <c r="RT182" s="11"/>
      <c r="RU182" s="11"/>
      <c r="RV182" s="11"/>
      <c r="RW182" s="11"/>
      <c r="RX182" s="11"/>
      <c r="RY182" s="11"/>
      <c r="RZ182" s="11"/>
      <c r="SA182" s="11"/>
      <c r="SB182" s="11"/>
      <c r="SC182" s="11"/>
      <c r="SD182" s="11"/>
      <c r="SE182" s="11"/>
      <c r="SF182" s="11"/>
      <c r="SG182" s="11"/>
      <c r="SH182" s="11">
        <v>1</v>
      </c>
    </row>
    <row r="183" spans="1:502" x14ac:dyDescent="0.2">
      <c r="A183" s="10">
        <v>2.1894334805153823E-2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>
        <v>1</v>
      </c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  <c r="OM183" s="11"/>
      <c r="ON183" s="11"/>
      <c r="OO183" s="11"/>
      <c r="OP183" s="11"/>
      <c r="OQ183" s="11"/>
      <c r="OR183" s="11"/>
      <c r="OS183" s="11"/>
      <c r="OT183" s="11"/>
      <c r="OU183" s="11"/>
      <c r="OV183" s="11"/>
      <c r="OW183" s="11"/>
      <c r="OX183" s="11"/>
      <c r="OY183" s="11"/>
      <c r="OZ183" s="11"/>
      <c r="PA183" s="11"/>
      <c r="PB183" s="11"/>
      <c r="PC183" s="11"/>
      <c r="PD183" s="11"/>
      <c r="PE183" s="11"/>
      <c r="PF183" s="11"/>
      <c r="PG183" s="11"/>
      <c r="PH183" s="11"/>
      <c r="PI183" s="11"/>
      <c r="PJ183" s="11"/>
      <c r="PK183" s="11"/>
      <c r="PL183" s="11"/>
      <c r="PM183" s="11"/>
      <c r="PN183" s="11"/>
      <c r="PO183" s="11"/>
      <c r="PP183" s="11"/>
      <c r="PQ183" s="11"/>
      <c r="PR183" s="11"/>
      <c r="PS183" s="11"/>
      <c r="PT183" s="11"/>
      <c r="PU183" s="11"/>
      <c r="PV183" s="11"/>
      <c r="PW183" s="11"/>
      <c r="PX183" s="11"/>
      <c r="PY183" s="11"/>
      <c r="PZ183" s="11"/>
      <c r="QA183" s="11"/>
      <c r="QB183" s="11"/>
      <c r="QC183" s="11"/>
      <c r="QD183" s="11"/>
      <c r="QE183" s="11"/>
      <c r="QF183" s="11"/>
      <c r="QG183" s="11"/>
      <c r="QH183" s="11"/>
      <c r="QI183" s="11"/>
      <c r="QJ183" s="11"/>
      <c r="QK183" s="11"/>
      <c r="QL183" s="11"/>
      <c r="QM183" s="11"/>
      <c r="QN183" s="11"/>
      <c r="QO183" s="11"/>
      <c r="QP183" s="11"/>
      <c r="QQ183" s="11"/>
      <c r="QR183" s="11"/>
      <c r="QS183" s="11"/>
      <c r="QT183" s="11"/>
      <c r="QU183" s="11"/>
      <c r="QV183" s="11"/>
      <c r="QW183" s="11"/>
      <c r="QX183" s="11"/>
      <c r="QY183" s="11"/>
      <c r="QZ183" s="11"/>
      <c r="RA183" s="11"/>
      <c r="RB183" s="11"/>
      <c r="RC183" s="11"/>
      <c r="RD183" s="11"/>
      <c r="RE183" s="11"/>
      <c r="RF183" s="11"/>
      <c r="RG183" s="11"/>
      <c r="RH183" s="11"/>
      <c r="RI183" s="11"/>
      <c r="RJ183" s="11"/>
      <c r="RK183" s="11"/>
      <c r="RL183" s="11"/>
      <c r="RM183" s="11"/>
      <c r="RN183" s="11"/>
      <c r="RO183" s="11"/>
      <c r="RP183" s="11"/>
      <c r="RQ183" s="11"/>
      <c r="RR183" s="11"/>
      <c r="RS183" s="11"/>
      <c r="RT183" s="11"/>
      <c r="RU183" s="11"/>
      <c r="RV183" s="11"/>
      <c r="RW183" s="11"/>
      <c r="RX183" s="11"/>
      <c r="RY183" s="11"/>
      <c r="RZ183" s="11"/>
      <c r="SA183" s="11"/>
      <c r="SB183" s="11"/>
      <c r="SC183" s="11"/>
      <c r="SD183" s="11"/>
      <c r="SE183" s="11"/>
      <c r="SF183" s="11"/>
      <c r="SG183" s="11"/>
      <c r="SH183" s="11">
        <v>1</v>
      </c>
    </row>
    <row r="184" spans="1:502" x14ac:dyDescent="0.2">
      <c r="A184" s="10">
        <v>2.2180472902454205E-2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>
        <v>1</v>
      </c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1"/>
      <c r="PL184" s="11"/>
      <c r="PM184" s="11"/>
      <c r="PN184" s="11"/>
      <c r="PO184" s="11"/>
      <c r="PP184" s="11"/>
      <c r="PQ184" s="11"/>
      <c r="PR184" s="11"/>
      <c r="PS184" s="11"/>
      <c r="PT184" s="11"/>
      <c r="PU184" s="11"/>
      <c r="PV184" s="11"/>
      <c r="PW184" s="11"/>
      <c r="PX184" s="11"/>
      <c r="PY184" s="11"/>
      <c r="PZ184" s="11"/>
      <c r="QA184" s="11"/>
      <c r="QB184" s="11"/>
      <c r="QC184" s="11"/>
      <c r="QD184" s="11"/>
      <c r="QE184" s="11"/>
      <c r="QF184" s="11"/>
      <c r="QG184" s="11"/>
      <c r="QH184" s="11"/>
      <c r="QI184" s="11"/>
      <c r="QJ184" s="11"/>
      <c r="QK184" s="11"/>
      <c r="QL184" s="11"/>
      <c r="QM184" s="11"/>
      <c r="QN184" s="11"/>
      <c r="QO184" s="11"/>
      <c r="QP184" s="11"/>
      <c r="QQ184" s="11"/>
      <c r="QR184" s="11"/>
      <c r="QS184" s="11"/>
      <c r="QT184" s="11"/>
      <c r="QU184" s="11"/>
      <c r="QV184" s="11"/>
      <c r="QW184" s="11"/>
      <c r="QX184" s="11"/>
      <c r="QY184" s="11"/>
      <c r="QZ184" s="11"/>
      <c r="RA184" s="11"/>
      <c r="RB184" s="11"/>
      <c r="RC184" s="11"/>
      <c r="RD184" s="11"/>
      <c r="RE184" s="11"/>
      <c r="RF184" s="11"/>
      <c r="RG184" s="11"/>
      <c r="RH184" s="11"/>
      <c r="RI184" s="11"/>
      <c r="RJ184" s="11"/>
      <c r="RK184" s="11"/>
      <c r="RL184" s="11"/>
      <c r="RM184" s="11"/>
      <c r="RN184" s="11"/>
      <c r="RO184" s="11"/>
      <c r="RP184" s="11"/>
      <c r="RQ184" s="11"/>
      <c r="RR184" s="11"/>
      <c r="RS184" s="11"/>
      <c r="RT184" s="11"/>
      <c r="RU184" s="11"/>
      <c r="RV184" s="11"/>
      <c r="RW184" s="11"/>
      <c r="RX184" s="11"/>
      <c r="RY184" s="11"/>
      <c r="RZ184" s="11"/>
      <c r="SA184" s="11"/>
      <c r="SB184" s="11"/>
      <c r="SC184" s="11"/>
      <c r="SD184" s="11"/>
      <c r="SE184" s="11"/>
      <c r="SF184" s="11"/>
      <c r="SG184" s="11"/>
      <c r="SH184" s="11">
        <v>1</v>
      </c>
    </row>
    <row r="185" spans="1:502" x14ac:dyDescent="0.2">
      <c r="A185" s="10">
        <v>2.2205716587493825E-2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>
        <v>1</v>
      </c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1"/>
      <c r="PT185" s="11"/>
      <c r="PU185" s="11"/>
      <c r="PV185" s="11"/>
      <c r="PW185" s="11"/>
      <c r="PX185" s="11"/>
      <c r="PY185" s="11"/>
      <c r="PZ185" s="11"/>
      <c r="QA185" s="11"/>
      <c r="QB185" s="11"/>
      <c r="QC185" s="11"/>
      <c r="QD185" s="11"/>
      <c r="QE185" s="11"/>
      <c r="QF185" s="11"/>
      <c r="QG185" s="11"/>
      <c r="QH185" s="11"/>
      <c r="QI185" s="11"/>
      <c r="QJ185" s="11"/>
      <c r="QK185" s="11"/>
      <c r="QL185" s="11"/>
      <c r="QM185" s="11"/>
      <c r="QN185" s="11"/>
      <c r="QO185" s="11"/>
      <c r="QP185" s="11"/>
      <c r="QQ185" s="11"/>
      <c r="QR185" s="11"/>
      <c r="QS185" s="11"/>
      <c r="QT185" s="11"/>
      <c r="QU185" s="11"/>
      <c r="QV185" s="11"/>
      <c r="QW185" s="11"/>
      <c r="QX185" s="11"/>
      <c r="QY185" s="11"/>
      <c r="QZ185" s="11"/>
      <c r="RA185" s="11"/>
      <c r="RB185" s="11"/>
      <c r="RC185" s="11"/>
      <c r="RD185" s="11"/>
      <c r="RE185" s="11"/>
      <c r="RF185" s="11"/>
      <c r="RG185" s="11"/>
      <c r="RH185" s="11"/>
      <c r="RI185" s="11"/>
      <c r="RJ185" s="11"/>
      <c r="RK185" s="11"/>
      <c r="RL185" s="11"/>
      <c r="RM185" s="11"/>
      <c r="RN185" s="11"/>
      <c r="RO185" s="11"/>
      <c r="RP185" s="11"/>
      <c r="RQ185" s="11"/>
      <c r="RR185" s="11"/>
      <c r="RS185" s="11"/>
      <c r="RT185" s="11"/>
      <c r="RU185" s="11"/>
      <c r="RV185" s="11"/>
      <c r="RW185" s="11"/>
      <c r="RX185" s="11"/>
      <c r="RY185" s="11"/>
      <c r="RZ185" s="11"/>
      <c r="SA185" s="11"/>
      <c r="SB185" s="11"/>
      <c r="SC185" s="11"/>
      <c r="SD185" s="11"/>
      <c r="SE185" s="11"/>
      <c r="SF185" s="11"/>
      <c r="SG185" s="11"/>
      <c r="SH185" s="11">
        <v>1</v>
      </c>
    </row>
    <row r="186" spans="1:502" x14ac:dyDescent="0.2">
      <c r="A186" s="10">
        <v>2.2241556343736778E-2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>
        <v>1</v>
      </c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  <c r="OM186" s="11"/>
      <c r="ON186" s="11"/>
      <c r="OO186" s="11"/>
      <c r="OP186" s="11"/>
      <c r="OQ186" s="11"/>
      <c r="OR186" s="11"/>
      <c r="OS186" s="11"/>
      <c r="OT186" s="11"/>
      <c r="OU186" s="11"/>
      <c r="OV186" s="11"/>
      <c r="OW186" s="11"/>
      <c r="OX186" s="11"/>
      <c r="OY186" s="11"/>
      <c r="OZ186" s="11"/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1"/>
      <c r="PL186" s="11"/>
      <c r="PM186" s="11"/>
      <c r="PN186" s="11"/>
      <c r="PO186" s="11"/>
      <c r="PP186" s="11"/>
      <c r="PQ186" s="11"/>
      <c r="PR186" s="11"/>
      <c r="PS186" s="11"/>
      <c r="PT186" s="11"/>
      <c r="PU186" s="11"/>
      <c r="PV186" s="11"/>
      <c r="PW186" s="11"/>
      <c r="PX186" s="11"/>
      <c r="PY186" s="11"/>
      <c r="PZ186" s="11"/>
      <c r="QA186" s="11"/>
      <c r="QB186" s="11"/>
      <c r="QC186" s="11"/>
      <c r="QD186" s="11"/>
      <c r="QE186" s="11"/>
      <c r="QF186" s="11"/>
      <c r="QG186" s="11"/>
      <c r="QH186" s="11"/>
      <c r="QI186" s="11"/>
      <c r="QJ186" s="11"/>
      <c r="QK186" s="11"/>
      <c r="QL186" s="11"/>
      <c r="QM186" s="11"/>
      <c r="QN186" s="11"/>
      <c r="QO186" s="11"/>
      <c r="QP186" s="11"/>
      <c r="QQ186" s="11"/>
      <c r="QR186" s="11"/>
      <c r="QS186" s="11"/>
      <c r="QT186" s="11"/>
      <c r="QU186" s="11"/>
      <c r="QV186" s="11"/>
      <c r="QW186" s="11"/>
      <c r="QX186" s="11"/>
      <c r="QY186" s="11"/>
      <c r="QZ186" s="11"/>
      <c r="RA186" s="11"/>
      <c r="RB186" s="11"/>
      <c r="RC186" s="11"/>
      <c r="RD186" s="11"/>
      <c r="RE186" s="11"/>
      <c r="RF186" s="11"/>
      <c r="RG186" s="11"/>
      <c r="RH186" s="11"/>
      <c r="RI186" s="11"/>
      <c r="RJ186" s="11"/>
      <c r="RK186" s="11"/>
      <c r="RL186" s="11"/>
      <c r="RM186" s="11"/>
      <c r="RN186" s="11"/>
      <c r="RO186" s="11"/>
      <c r="RP186" s="11"/>
      <c r="RQ186" s="11"/>
      <c r="RR186" s="11"/>
      <c r="RS186" s="11"/>
      <c r="RT186" s="11"/>
      <c r="RU186" s="11"/>
      <c r="RV186" s="11"/>
      <c r="RW186" s="11"/>
      <c r="RX186" s="11"/>
      <c r="RY186" s="11"/>
      <c r="RZ186" s="11"/>
      <c r="SA186" s="11"/>
      <c r="SB186" s="11"/>
      <c r="SC186" s="11"/>
      <c r="SD186" s="11"/>
      <c r="SE186" s="11"/>
      <c r="SF186" s="11"/>
      <c r="SG186" s="11"/>
      <c r="SH186" s="11">
        <v>1</v>
      </c>
    </row>
    <row r="187" spans="1:502" x14ac:dyDescent="0.2">
      <c r="A187" s="10">
        <v>2.2354637968606816E-2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>
        <v>1</v>
      </c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  <c r="OM187" s="11"/>
      <c r="ON187" s="11"/>
      <c r="OO187" s="11"/>
      <c r="OP187" s="11"/>
      <c r="OQ187" s="11"/>
      <c r="OR187" s="11"/>
      <c r="OS187" s="11"/>
      <c r="OT187" s="11"/>
      <c r="OU187" s="11"/>
      <c r="OV187" s="11"/>
      <c r="OW187" s="11"/>
      <c r="OX187" s="11"/>
      <c r="OY187" s="11"/>
      <c r="OZ187" s="11"/>
      <c r="PA187" s="11"/>
      <c r="PB187" s="11"/>
      <c r="PC187" s="11"/>
      <c r="PD187" s="11"/>
      <c r="PE187" s="11"/>
      <c r="PF187" s="11"/>
      <c r="PG187" s="11"/>
      <c r="PH187" s="11"/>
      <c r="PI187" s="11"/>
      <c r="PJ187" s="11"/>
      <c r="PK187" s="11"/>
      <c r="PL187" s="11"/>
      <c r="PM187" s="11"/>
      <c r="PN187" s="11"/>
      <c r="PO187" s="11"/>
      <c r="PP187" s="11"/>
      <c r="PQ187" s="11"/>
      <c r="PR187" s="11"/>
      <c r="PS187" s="11"/>
      <c r="PT187" s="11"/>
      <c r="PU187" s="11"/>
      <c r="PV187" s="11"/>
      <c r="PW187" s="11"/>
      <c r="PX187" s="11"/>
      <c r="PY187" s="11"/>
      <c r="PZ187" s="11"/>
      <c r="QA187" s="11"/>
      <c r="QB187" s="11"/>
      <c r="QC187" s="11"/>
      <c r="QD187" s="11"/>
      <c r="QE187" s="11"/>
      <c r="QF187" s="11"/>
      <c r="QG187" s="11"/>
      <c r="QH187" s="11"/>
      <c r="QI187" s="11"/>
      <c r="QJ187" s="11"/>
      <c r="QK187" s="11"/>
      <c r="QL187" s="11"/>
      <c r="QM187" s="11"/>
      <c r="QN187" s="11"/>
      <c r="QO187" s="11"/>
      <c r="QP187" s="11"/>
      <c r="QQ187" s="11"/>
      <c r="QR187" s="11"/>
      <c r="QS187" s="11"/>
      <c r="QT187" s="11"/>
      <c r="QU187" s="11"/>
      <c r="QV187" s="11"/>
      <c r="QW187" s="11"/>
      <c r="QX187" s="11"/>
      <c r="QY187" s="11"/>
      <c r="QZ187" s="11"/>
      <c r="RA187" s="11"/>
      <c r="RB187" s="11"/>
      <c r="RC187" s="11"/>
      <c r="RD187" s="11"/>
      <c r="RE187" s="11"/>
      <c r="RF187" s="11"/>
      <c r="RG187" s="11"/>
      <c r="RH187" s="11"/>
      <c r="RI187" s="11"/>
      <c r="RJ187" s="11"/>
      <c r="RK187" s="11"/>
      <c r="RL187" s="11"/>
      <c r="RM187" s="11"/>
      <c r="RN187" s="11"/>
      <c r="RO187" s="11"/>
      <c r="RP187" s="11"/>
      <c r="RQ187" s="11"/>
      <c r="RR187" s="11"/>
      <c r="RS187" s="11"/>
      <c r="RT187" s="11"/>
      <c r="RU187" s="11"/>
      <c r="RV187" s="11"/>
      <c r="RW187" s="11"/>
      <c r="RX187" s="11"/>
      <c r="RY187" s="11"/>
      <c r="RZ187" s="11"/>
      <c r="SA187" s="11"/>
      <c r="SB187" s="11"/>
      <c r="SC187" s="11"/>
      <c r="SD187" s="11"/>
      <c r="SE187" s="11"/>
      <c r="SF187" s="11"/>
      <c r="SG187" s="11"/>
      <c r="SH187" s="11">
        <v>1</v>
      </c>
    </row>
    <row r="188" spans="1:502" x14ac:dyDescent="0.2">
      <c r="A188" s="10">
        <v>2.2450833853563321E-2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>
        <v>1</v>
      </c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  <c r="OM188" s="11"/>
      <c r="ON188" s="11"/>
      <c r="OO188" s="11"/>
      <c r="OP188" s="11"/>
      <c r="OQ188" s="11"/>
      <c r="OR188" s="11"/>
      <c r="OS188" s="11"/>
      <c r="OT188" s="11"/>
      <c r="OU188" s="11"/>
      <c r="OV188" s="11"/>
      <c r="OW188" s="11"/>
      <c r="OX188" s="11"/>
      <c r="OY188" s="11"/>
      <c r="OZ188" s="11"/>
      <c r="PA188" s="11"/>
      <c r="PB188" s="11"/>
      <c r="PC188" s="11"/>
      <c r="PD188" s="11"/>
      <c r="PE188" s="11"/>
      <c r="PF188" s="11"/>
      <c r="PG188" s="11"/>
      <c r="PH188" s="11"/>
      <c r="PI188" s="11"/>
      <c r="PJ188" s="11"/>
      <c r="PK188" s="11"/>
      <c r="PL188" s="11"/>
      <c r="PM188" s="11"/>
      <c r="PN188" s="11"/>
      <c r="PO188" s="11"/>
      <c r="PP188" s="11"/>
      <c r="PQ188" s="11"/>
      <c r="PR188" s="11"/>
      <c r="PS188" s="11"/>
      <c r="PT188" s="11"/>
      <c r="PU188" s="11"/>
      <c r="PV188" s="11"/>
      <c r="PW188" s="11"/>
      <c r="PX188" s="11"/>
      <c r="PY188" s="11"/>
      <c r="PZ188" s="11"/>
      <c r="QA188" s="11"/>
      <c r="QB188" s="11"/>
      <c r="QC188" s="11"/>
      <c r="QD188" s="11"/>
      <c r="QE188" s="11"/>
      <c r="QF188" s="11"/>
      <c r="QG188" s="11"/>
      <c r="QH188" s="11"/>
      <c r="QI188" s="11"/>
      <c r="QJ188" s="11"/>
      <c r="QK188" s="11"/>
      <c r="QL188" s="11"/>
      <c r="QM188" s="11"/>
      <c r="QN188" s="11"/>
      <c r="QO188" s="11"/>
      <c r="QP188" s="11"/>
      <c r="QQ188" s="11"/>
      <c r="QR188" s="11"/>
      <c r="QS188" s="11"/>
      <c r="QT188" s="11"/>
      <c r="QU188" s="11"/>
      <c r="QV188" s="11"/>
      <c r="QW188" s="11"/>
      <c r="QX188" s="11"/>
      <c r="QY188" s="11"/>
      <c r="QZ188" s="11"/>
      <c r="RA188" s="11"/>
      <c r="RB188" s="11"/>
      <c r="RC188" s="11"/>
      <c r="RD188" s="11"/>
      <c r="RE188" s="11"/>
      <c r="RF188" s="11"/>
      <c r="RG188" s="11"/>
      <c r="RH188" s="11"/>
      <c r="RI188" s="11"/>
      <c r="RJ188" s="11"/>
      <c r="RK188" s="11"/>
      <c r="RL188" s="11"/>
      <c r="RM188" s="11"/>
      <c r="RN188" s="11"/>
      <c r="RO188" s="11"/>
      <c r="RP188" s="11"/>
      <c r="RQ188" s="11"/>
      <c r="RR188" s="11"/>
      <c r="RS188" s="11"/>
      <c r="RT188" s="11"/>
      <c r="RU188" s="11"/>
      <c r="RV188" s="11"/>
      <c r="RW188" s="11"/>
      <c r="RX188" s="11"/>
      <c r="RY188" s="11"/>
      <c r="RZ188" s="11"/>
      <c r="SA188" s="11"/>
      <c r="SB188" s="11"/>
      <c r="SC188" s="11"/>
      <c r="SD188" s="11"/>
      <c r="SE188" s="11"/>
      <c r="SF188" s="11"/>
      <c r="SG188" s="11"/>
      <c r="SH188" s="11">
        <v>1</v>
      </c>
    </row>
    <row r="189" spans="1:502" x14ac:dyDescent="0.2">
      <c r="A189" s="10">
        <v>2.2495054179953091E-2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>
        <v>1</v>
      </c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  <c r="OM189" s="11"/>
      <c r="ON189" s="11"/>
      <c r="OO189" s="11"/>
      <c r="OP189" s="11"/>
      <c r="OQ189" s="11"/>
      <c r="OR189" s="11"/>
      <c r="OS189" s="11"/>
      <c r="OT189" s="11"/>
      <c r="OU189" s="11"/>
      <c r="OV189" s="11"/>
      <c r="OW189" s="11"/>
      <c r="OX189" s="11"/>
      <c r="OY189" s="11"/>
      <c r="OZ189" s="11"/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1"/>
      <c r="PL189" s="11"/>
      <c r="PM189" s="11"/>
      <c r="PN189" s="11"/>
      <c r="PO189" s="11"/>
      <c r="PP189" s="11"/>
      <c r="PQ189" s="11"/>
      <c r="PR189" s="11"/>
      <c r="PS189" s="11"/>
      <c r="PT189" s="11"/>
      <c r="PU189" s="11"/>
      <c r="PV189" s="11"/>
      <c r="PW189" s="11"/>
      <c r="PX189" s="11"/>
      <c r="PY189" s="11"/>
      <c r="PZ189" s="11"/>
      <c r="QA189" s="11"/>
      <c r="QB189" s="11"/>
      <c r="QC189" s="11"/>
      <c r="QD189" s="11"/>
      <c r="QE189" s="11"/>
      <c r="QF189" s="11"/>
      <c r="QG189" s="11"/>
      <c r="QH189" s="11"/>
      <c r="QI189" s="11"/>
      <c r="QJ189" s="11"/>
      <c r="QK189" s="11"/>
      <c r="QL189" s="11"/>
      <c r="QM189" s="11"/>
      <c r="QN189" s="11"/>
      <c r="QO189" s="11"/>
      <c r="QP189" s="11"/>
      <c r="QQ189" s="11"/>
      <c r="QR189" s="11"/>
      <c r="QS189" s="11"/>
      <c r="QT189" s="11"/>
      <c r="QU189" s="11"/>
      <c r="QV189" s="11"/>
      <c r="QW189" s="11"/>
      <c r="QX189" s="11"/>
      <c r="QY189" s="11"/>
      <c r="QZ189" s="11"/>
      <c r="RA189" s="11"/>
      <c r="RB189" s="11"/>
      <c r="RC189" s="11"/>
      <c r="RD189" s="11"/>
      <c r="RE189" s="11"/>
      <c r="RF189" s="11"/>
      <c r="RG189" s="11"/>
      <c r="RH189" s="11"/>
      <c r="RI189" s="11"/>
      <c r="RJ189" s="11"/>
      <c r="RK189" s="11"/>
      <c r="RL189" s="11"/>
      <c r="RM189" s="11"/>
      <c r="RN189" s="11"/>
      <c r="RO189" s="11"/>
      <c r="RP189" s="11"/>
      <c r="RQ189" s="11"/>
      <c r="RR189" s="11"/>
      <c r="RS189" s="11"/>
      <c r="RT189" s="11"/>
      <c r="RU189" s="11"/>
      <c r="RV189" s="11"/>
      <c r="RW189" s="11"/>
      <c r="RX189" s="11"/>
      <c r="RY189" s="11"/>
      <c r="RZ189" s="11"/>
      <c r="SA189" s="11"/>
      <c r="SB189" s="11"/>
      <c r="SC189" s="11"/>
      <c r="SD189" s="11"/>
      <c r="SE189" s="11"/>
      <c r="SF189" s="11"/>
      <c r="SG189" s="11"/>
      <c r="SH189" s="11">
        <v>1</v>
      </c>
    </row>
    <row r="190" spans="1:502" x14ac:dyDescent="0.2">
      <c r="A190" s="10">
        <v>2.2521823864172948E-2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>
        <v>1</v>
      </c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  <c r="OM190" s="11"/>
      <c r="ON190" s="11"/>
      <c r="OO190" s="11"/>
      <c r="OP190" s="11"/>
      <c r="OQ190" s="11"/>
      <c r="OR190" s="11"/>
      <c r="OS190" s="11"/>
      <c r="OT190" s="11"/>
      <c r="OU190" s="11"/>
      <c r="OV190" s="11"/>
      <c r="OW190" s="11"/>
      <c r="OX190" s="11"/>
      <c r="OY190" s="11"/>
      <c r="OZ190" s="11"/>
      <c r="PA190" s="11"/>
      <c r="PB190" s="11"/>
      <c r="PC190" s="11"/>
      <c r="PD190" s="11"/>
      <c r="PE190" s="11"/>
      <c r="PF190" s="11"/>
      <c r="PG190" s="11"/>
      <c r="PH190" s="11"/>
      <c r="PI190" s="11"/>
      <c r="PJ190" s="11"/>
      <c r="PK190" s="11"/>
      <c r="PL190" s="11"/>
      <c r="PM190" s="11"/>
      <c r="PN190" s="11"/>
      <c r="PO190" s="11"/>
      <c r="PP190" s="11"/>
      <c r="PQ190" s="11"/>
      <c r="PR190" s="11"/>
      <c r="PS190" s="11"/>
      <c r="PT190" s="11"/>
      <c r="PU190" s="11"/>
      <c r="PV190" s="11"/>
      <c r="PW190" s="11"/>
      <c r="PX190" s="11"/>
      <c r="PY190" s="11"/>
      <c r="PZ190" s="11"/>
      <c r="QA190" s="11"/>
      <c r="QB190" s="11"/>
      <c r="QC190" s="11"/>
      <c r="QD190" s="11"/>
      <c r="QE190" s="11"/>
      <c r="QF190" s="11"/>
      <c r="QG190" s="11"/>
      <c r="QH190" s="11"/>
      <c r="QI190" s="11"/>
      <c r="QJ190" s="11"/>
      <c r="QK190" s="11"/>
      <c r="QL190" s="11"/>
      <c r="QM190" s="11"/>
      <c r="QN190" s="11"/>
      <c r="QO190" s="11"/>
      <c r="QP190" s="11"/>
      <c r="QQ190" s="11"/>
      <c r="QR190" s="11"/>
      <c r="QS190" s="11"/>
      <c r="QT190" s="11"/>
      <c r="QU190" s="11"/>
      <c r="QV190" s="11"/>
      <c r="QW190" s="11"/>
      <c r="QX190" s="11"/>
      <c r="QY190" s="11"/>
      <c r="QZ190" s="11"/>
      <c r="RA190" s="11"/>
      <c r="RB190" s="11"/>
      <c r="RC190" s="11"/>
      <c r="RD190" s="11"/>
      <c r="RE190" s="11"/>
      <c r="RF190" s="11"/>
      <c r="RG190" s="11"/>
      <c r="RH190" s="11"/>
      <c r="RI190" s="11"/>
      <c r="RJ190" s="11"/>
      <c r="RK190" s="11"/>
      <c r="RL190" s="11"/>
      <c r="RM190" s="11"/>
      <c r="RN190" s="11"/>
      <c r="RO190" s="11"/>
      <c r="RP190" s="11"/>
      <c r="RQ190" s="11"/>
      <c r="RR190" s="11"/>
      <c r="RS190" s="11"/>
      <c r="RT190" s="11"/>
      <c r="RU190" s="11"/>
      <c r="RV190" s="11"/>
      <c r="RW190" s="11"/>
      <c r="RX190" s="11"/>
      <c r="RY190" s="11"/>
      <c r="RZ190" s="11"/>
      <c r="SA190" s="11"/>
      <c r="SB190" s="11"/>
      <c r="SC190" s="11"/>
      <c r="SD190" s="11"/>
      <c r="SE190" s="11"/>
      <c r="SF190" s="11"/>
      <c r="SG190" s="11"/>
      <c r="SH190" s="11">
        <v>1</v>
      </c>
    </row>
    <row r="191" spans="1:502" x14ac:dyDescent="0.2">
      <c r="A191" s="10">
        <v>2.2707998349240848E-2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>
        <v>1</v>
      </c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  <c r="OM191" s="11"/>
      <c r="ON191" s="11"/>
      <c r="OO191" s="11"/>
      <c r="OP191" s="11"/>
      <c r="OQ191" s="11"/>
      <c r="OR191" s="11"/>
      <c r="OS191" s="11"/>
      <c r="OT191" s="11"/>
      <c r="OU191" s="11"/>
      <c r="OV191" s="11"/>
      <c r="OW191" s="11"/>
      <c r="OX191" s="11"/>
      <c r="OY191" s="11"/>
      <c r="OZ191" s="11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1"/>
      <c r="PL191" s="11"/>
      <c r="PM191" s="11"/>
      <c r="PN191" s="11"/>
      <c r="PO191" s="11"/>
      <c r="PP191" s="11"/>
      <c r="PQ191" s="11"/>
      <c r="PR191" s="11"/>
      <c r="PS191" s="11"/>
      <c r="PT191" s="11"/>
      <c r="PU191" s="11"/>
      <c r="PV191" s="11"/>
      <c r="PW191" s="11"/>
      <c r="PX191" s="11"/>
      <c r="PY191" s="11"/>
      <c r="PZ191" s="11"/>
      <c r="QA191" s="11"/>
      <c r="QB191" s="11"/>
      <c r="QC191" s="11"/>
      <c r="QD191" s="11"/>
      <c r="QE191" s="11"/>
      <c r="QF191" s="11"/>
      <c r="QG191" s="11"/>
      <c r="QH191" s="11"/>
      <c r="QI191" s="11"/>
      <c r="QJ191" s="11"/>
      <c r="QK191" s="11"/>
      <c r="QL191" s="11"/>
      <c r="QM191" s="11"/>
      <c r="QN191" s="11"/>
      <c r="QO191" s="11"/>
      <c r="QP191" s="11"/>
      <c r="QQ191" s="11"/>
      <c r="QR191" s="11"/>
      <c r="QS191" s="11"/>
      <c r="QT191" s="11"/>
      <c r="QU191" s="11"/>
      <c r="QV191" s="11"/>
      <c r="QW191" s="11"/>
      <c r="QX191" s="11"/>
      <c r="QY191" s="11"/>
      <c r="QZ191" s="11"/>
      <c r="RA191" s="11"/>
      <c r="RB191" s="11"/>
      <c r="RC191" s="11"/>
      <c r="RD191" s="11"/>
      <c r="RE191" s="11"/>
      <c r="RF191" s="11"/>
      <c r="RG191" s="11"/>
      <c r="RH191" s="11"/>
      <c r="RI191" s="11"/>
      <c r="RJ191" s="11"/>
      <c r="RK191" s="11"/>
      <c r="RL191" s="11"/>
      <c r="RM191" s="11"/>
      <c r="RN191" s="11"/>
      <c r="RO191" s="11"/>
      <c r="RP191" s="11"/>
      <c r="RQ191" s="11"/>
      <c r="RR191" s="11"/>
      <c r="RS191" s="11"/>
      <c r="RT191" s="11"/>
      <c r="RU191" s="11"/>
      <c r="RV191" s="11"/>
      <c r="RW191" s="11"/>
      <c r="RX191" s="11"/>
      <c r="RY191" s="11"/>
      <c r="RZ191" s="11"/>
      <c r="SA191" s="11"/>
      <c r="SB191" s="11"/>
      <c r="SC191" s="11"/>
      <c r="SD191" s="11"/>
      <c r="SE191" s="11"/>
      <c r="SF191" s="11"/>
      <c r="SG191" s="11"/>
      <c r="SH191" s="11">
        <v>1</v>
      </c>
    </row>
    <row r="192" spans="1:502" x14ac:dyDescent="0.2">
      <c r="A192" s="10">
        <v>2.2725595006438063E-2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>
        <v>1</v>
      </c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  <c r="OM192" s="11"/>
      <c r="ON192" s="11"/>
      <c r="OO192" s="11"/>
      <c r="OP192" s="11"/>
      <c r="OQ192" s="11"/>
      <c r="OR192" s="11"/>
      <c r="OS192" s="11"/>
      <c r="OT192" s="11"/>
      <c r="OU192" s="11"/>
      <c r="OV192" s="11"/>
      <c r="OW192" s="11"/>
      <c r="OX192" s="11"/>
      <c r="OY192" s="11"/>
      <c r="OZ192" s="11"/>
      <c r="PA192" s="11"/>
      <c r="PB192" s="11"/>
      <c r="PC192" s="11"/>
      <c r="PD192" s="11"/>
      <c r="PE192" s="11"/>
      <c r="PF192" s="11"/>
      <c r="PG192" s="11"/>
      <c r="PH192" s="11"/>
      <c r="PI192" s="11"/>
      <c r="PJ192" s="11"/>
      <c r="PK192" s="11"/>
      <c r="PL192" s="11"/>
      <c r="PM192" s="11"/>
      <c r="PN192" s="11"/>
      <c r="PO192" s="11"/>
      <c r="PP192" s="11"/>
      <c r="PQ192" s="11"/>
      <c r="PR192" s="11"/>
      <c r="PS192" s="11"/>
      <c r="PT192" s="11"/>
      <c r="PU192" s="11"/>
      <c r="PV192" s="11"/>
      <c r="PW192" s="11"/>
      <c r="PX192" s="11"/>
      <c r="PY192" s="11"/>
      <c r="PZ192" s="11"/>
      <c r="QA192" s="11"/>
      <c r="QB192" s="11"/>
      <c r="QC192" s="11"/>
      <c r="QD192" s="11"/>
      <c r="QE192" s="11"/>
      <c r="QF192" s="11"/>
      <c r="QG192" s="11"/>
      <c r="QH192" s="11"/>
      <c r="QI192" s="11"/>
      <c r="QJ192" s="11"/>
      <c r="QK192" s="11"/>
      <c r="QL192" s="11"/>
      <c r="QM192" s="11"/>
      <c r="QN192" s="11"/>
      <c r="QO192" s="11"/>
      <c r="QP192" s="11"/>
      <c r="QQ192" s="11"/>
      <c r="QR192" s="11"/>
      <c r="QS192" s="11"/>
      <c r="QT192" s="11"/>
      <c r="QU192" s="11"/>
      <c r="QV192" s="11"/>
      <c r="QW192" s="11"/>
      <c r="QX192" s="11"/>
      <c r="QY192" s="11"/>
      <c r="QZ192" s="11"/>
      <c r="RA192" s="11"/>
      <c r="RB192" s="11"/>
      <c r="RC192" s="11"/>
      <c r="RD192" s="11"/>
      <c r="RE192" s="11"/>
      <c r="RF192" s="11"/>
      <c r="RG192" s="11"/>
      <c r="RH192" s="11"/>
      <c r="RI192" s="11"/>
      <c r="RJ192" s="11"/>
      <c r="RK192" s="11"/>
      <c r="RL192" s="11"/>
      <c r="RM192" s="11"/>
      <c r="RN192" s="11"/>
      <c r="RO192" s="11"/>
      <c r="RP192" s="11"/>
      <c r="RQ192" s="11"/>
      <c r="RR192" s="11"/>
      <c r="RS192" s="11"/>
      <c r="RT192" s="11"/>
      <c r="RU192" s="11"/>
      <c r="RV192" s="11"/>
      <c r="RW192" s="11"/>
      <c r="RX192" s="11"/>
      <c r="RY192" s="11"/>
      <c r="RZ192" s="11"/>
      <c r="SA192" s="11"/>
      <c r="SB192" s="11"/>
      <c r="SC192" s="11"/>
      <c r="SD192" s="11"/>
      <c r="SE192" s="11"/>
      <c r="SF192" s="11"/>
      <c r="SG192" s="11"/>
      <c r="SH192" s="11">
        <v>1</v>
      </c>
    </row>
    <row r="193" spans="1:502" x14ac:dyDescent="0.2">
      <c r="A193" s="10">
        <v>2.278193309862667E-2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>
        <v>1</v>
      </c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  <c r="OM193" s="11"/>
      <c r="ON193" s="11"/>
      <c r="OO193" s="11"/>
      <c r="OP193" s="11"/>
      <c r="OQ193" s="11"/>
      <c r="OR193" s="11"/>
      <c r="OS193" s="11"/>
      <c r="OT193" s="11"/>
      <c r="OU193" s="11"/>
      <c r="OV193" s="11"/>
      <c r="OW193" s="11"/>
      <c r="OX193" s="11"/>
      <c r="OY193" s="11"/>
      <c r="OZ193" s="11"/>
      <c r="PA193" s="11"/>
      <c r="PB193" s="11"/>
      <c r="PC193" s="11"/>
      <c r="PD193" s="11"/>
      <c r="PE193" s="11"/>
      <c r="PF193" s="11"/>
      <c r="PG193" s="11"/>
      <c r="PH193" s="11"/>
      <c r="PI193" s="11"/>
      <c r="PJ193" s="11"/>
      <c r="PK193" s="11"/>
      <c r="PL193" s="11"/>
      <c r="PM193" s="11"/>
      <c r="PN193" s="11"/>
      <c r="PO193" s="11"/>
      <c r="PP193" s="11"/>
      <c r="PQ193" s="11"/>
      <c r="PR193" s="11"/>
      <c r="PS193" s="11"/>
      <c r="PT193" s="11"/>
      <c r="PU193" s="11"/>
      <c r="PV193" s="11"/>
      <c r="PW193" s="11"/>
      <c r="PX193" s="11"/>
      <c r="PY193" s="11"/>
      <c r="PZ193" s="11"/>
      <c r="QA193" s="11"/>
      <c r="QB193" s="11"/>
      <c r="QC193" s="11"/>
      <c r="QD193" s="11"/>
      <c r="QE193" s="11"/>
      <c r="QF193" s="11"/>
      <c r="QG193" s="11"/>
      <c r="QH193" s="11"/>
      <c r="QI193" s="11"/>
      <c r="QJ193" s="11"/>
      <c r="QK193" s="11"/>
      <c r="QL193" s="11"/>
      <c r="QM193" s="11"/>
      <c r="QN193" s="11"/>
      <c r="QO193" s="11"/>
      <c r="QP193" s="11"/>
      <c r="QQ193" s="11"/>
      <c r="QR193" s="11"/>
      <c r="QS193" s="11"/>
      <c r="QT193" s="11"/>
      <c r="QU193" s="11"/>
      <c r="QV193" s="11"/>
      <c r="QW193" s="11"/>
      <c r="QX193" s="11"/>
      <c r="QY193" s="11"/>
      <c r="QZ193" s="11"/>
      <c r="RA193" s="11"/>
      <c r="RB193" s="11"/>
      <c r="RC193" s="11"/>
      <c r="RD193" s="11"/>
      <c r="RE193" s="11"/>
      <c r="RF193" s="11"/>
      <c r="RG193" s="11"/>
      <c r="RH193" s="11"/>
      <c r="RI193" s="11"/>
      <c r="RJ193" s="11"/>
      <c r="RK193" s="11"/>
      <c r="RL193" s="11"/>
      <c r="RM193" s="11"/>
      <c r="RN193" s="11"/>
      <c r="RO193" s="11"/>
      <c r="RP193" s="11"/>
      <c r="RQ193" s="11"/>
      <c r="RR193" s="11"/>
      <c r="RS193" s="11"/>
      <c r="RT193" s="11"/>
      <c r="RU193" s="11"/>
      <c r="RV193" s="11"/>
      <c r="RW193" s="11"/>
      <c r="RX193" s="11"/>
      <c r="RY193" s="11"/>
      <c r="RZ193" s="11"/>
      <c r="SA193" s="11"/>
      <c r="SB193" s="11"/>
      <c r="SC193" s="11"/>
      <c r="SD193" s="11"/>
      <c r="SE193" s="11"/>
      <c r="SF193" s="11"/>
      <c r="SG193" s="11"/>
      <c r="SH193" s="11">
        <v>1</v>
      </c>
    </row>
    <row r="194" spans="1:502" x14ac:dyDescent="0.2">
      <c r="A194" s="10">
        <v>2.2806037683351474E-2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  <c r="OM194" s="11"/>
      <c r="ON194" s="11"/>
      <c r="OO194" s="11"/>
      <c r="OP194" s="11"/>
      <c r="OQ194" s="11"/>
      <c r="OR194" s="11"/>
      <c r="OS194" s="11"/>
      <c r="OT194" s="11"/>
      <c r="OU194" s="11"/>
      <c r="OV194" s="11"/>
      <c r="OW194" s="11"/>
      <c r="OX194" s="11"/>
      <c r="OY194" s="11"/>
      <c r="OZ194" s="11"/>
      <c r="PA194" s="11"/>
      <c r="PB194" s="11"/>
      <c r="PC194" s="11"/>
      <c r="PD194" s="11"/>
      <c r="PE194" s="11"/>
      <c r="PF194" s="11"/>
      <c r="PG194" s="11"/>
      <c r="PH194" s="11"/>
      <c r="PI194" s="11"/>
      <c r="PJ194" s="11"/>
      <c r="PK194" s="11"/>
      <c r="PL194" s="11"/>
      <c r="PM194" s="11"/>
      <c r="PN194" s="11"/>
      <c r="PO194" s="11"/>
      <c r="PP194" s="11"/>
      <c r="PQ194" s="11"/>
      <c r="PR194" s="11"/>
      <c r="PS194" s="11"/>
      <c r="PT194" s="11"/>
      <c r="PU194" s="11"/>
      <c r="PV194" s="11"/>
      <c r="PW194" s="11"/>
      <c r="PX194" s="11"/>
      <c r="PY194" s="11"/>
      <c r="PZ194" s="11"/>
      <c r="QA194" s="11"/>
      <c r="QB194" s="11"/>
      <c r="QC194" s="11"/>
      <c r="QD194" s="11"/>
      <c r="QE194" s="11"/>
      <c r="QF194" s="11"/>
      <c r="QG194" s="11"/>
      <c r="QH194" s="11"/>
      <c r="QI194" s="11"/>
      <c r="QJ194" s="11"/>
      <c r="QK194" s="11"/>
      <c r="QL194" s="11"/>
      <c r="QM194" s="11"/>
      <c r="QN194" s="11"/>
      <c r="QO194" s="11"/>
      <c r="QP194" s="11"/>
      <c r="QQ194" s="11"/>
      <c r="QR194" s="11"/>
      <c r="QS194" s="11"/>
      <c r="QT194" s="11"/>
      <c r="QU194" s="11"/>
      <c r="QV194" s="11"/>
      <c r="QW194" s="11"/>
      <c r="QX194" s="11"/>
      <c r="QY194" s="11"/>
      <c r="QZ194" s="11"/>
      <c r="RA194" s="11"/>
      <c r="RB194" s="11"/>
      <c r="RC194" s="11"/>
      <c r="RD194" s="11"/>
      <c r="RE194" s="11">
        <v>1</v>
      </c>
      <c r="RF194" s="11"/>
      <c r="RG194" s="11"/>
      <c r="RH194" s="11"/>
      <c r="RI194" s="11"/>
      <c r="RJ194" s="11"/>
      <c r="RK194" s="11"/>
      <c r="RL194" s="11"/>
      <c r="RM194" s="11"/>
      <c r="RN194" s="11"/>
      <c r="RO194" s="11"/>
      <c r="RP194" s="11"/>
      <c r="RQ194" s="11"/>
      <c r="RR194" s="11"/>
      <c r="RS194" s="11"/>
      <c r="RT194" s="11"/>
      <c r="RU194" s="11"/>
      <c r="RV194" s="11"/>
      <c r="RW194" s="11"/>
      <c r="RX194" s="11"/>
      <c r="RY194" s="11"/>
      <c r="RZ194" s="11"/>
      <c r="SA194" s="11"/>
      <c r="SB194" s="11"/>
      <c r="SC194" s="11"/>
      <c r="SD194" s="11"/>
      <c r="SE194" s="11"/>
      <c r="SF194" s="11"/>
      <c r="SG194" s="11"/>
      <c r="SH194" s="11">
        <v>1</v>
      </c>
    </row>
    <row r="195" spans="1:502" x14ac:dyDescent="0.2">
      <c r="A195" s="10">
        <v>2.2959199980107009E-2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>
        <v>1</v>
      </c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  <c r="OM195" s="11"/>
      <c r="ON195" s="11"/>
      <c r="OO195" s="11"/>
      <c r="OP195" s="11"/>
      <c r="OQ195" s="11"/>
      <c r="OR195" s="11"/>
      <c r="OS195" s="11"/>
      <c r="OT195" s="11"/>
      <c r="OU195" s="11"/>
      <c r="OV195" s="11"/>
      <c r="OW195" s="11"/>
      <c r="OX195" s="11"/>
      <c r="OY195" s="11"/>
      <c r="OZ195" s="11"/>
      <c r="PA195" s="11"/>
      <c r="PB195" s="11"/>
      <c r="PC195" s="11"/>
      <c r="PD195" s="11"/>
      <c r="PE195" s="11"/>
      <c r="PF195" s="11"/>
      <c r="PG195" s="11"/>
      <c r="PH195" s="11"/>
      <c r="PI195" s="11"/>
      <c r="PJ195" s="11"/>
      <c r="PK195" s="11"/>
      <c r="PL195" s="11"/>
      <c r="PM195" s="11"/>
      <c r="PN195" s="11"/>
      <c r="PO195" s="11"/>
      <c r="PP195" s="11"/>
      <c r="PQ195" s="11"/>
      <c r="PR195" s="11"/>
      <c r="PS195" s="11"/>
      <c r="PT195" s="11"/>
      <c r="PU195" s="11"/>
      <c r="PV195" s="11"/>
      <c r="PW195" s="11"/>
      <c r="PX195" s="11"/>
      <c r="PY195" s="11"/>
      <c r="PZ195" s="11"/>
      <c r="QA195" s="11"/>
      <c r="QB195" s="11"/>
      <c r="QC195" s="11"/>
      <c r="QD195" s="11"/>
      <c r="QE195" s="11"/>
      <c r="QF195" s="11"/>
      <c r="QG195" s="11"/>
      <c r="QH195" s="11"/>
      <c r="QI195" s="11"/>
      <c r="QJ195" s="11"/>
      <c r="QK195" s="11"/>
      <c r="QL195" s="11"/>
      <c r="QM195" s="11"/>
      <c r="QN195" s="11"/>
      <c r="QO195" s="11"/>
      <c r="QP195" s="11"/>
      <c r="QQ195" s="11"/>
      <c r="QR195" s="11"/>
      <c r="QS195" s="11"/>
      <c r="QT195" s="11"/>
      <c r="QU195" s="11"/>
      <c r="QV195" s="11"/>
      <c r="QW195" s="11"/>
      <c r="QX195" s="11"/>
      <c r="QY195" s="11"/>
      <c r="QZ195" s="11"/>
      <c r="RA195" s="11"/>
      <c r="RB195" s="11"/>
      <c r="RC195" s="11"/>
      <c r="RD195" s="11"/>
      <c r="RE195" s="11"/>
      <c r="RF195" s="11"/>
      <c r="RG195" s="11"/>
      <c r="RH195" s="11"/>
      <c r="RI195" s="11"/>
      <c r="RJ195" s="11"/>
      <c r="RK195" s="11"/>
      <c r="RL195" s="11"/>
      <c r="RM195" s="11"/>
      <c r="RN195" s="11"/>
      <c r="RO195" s="11"/>
      <c r="RP195" s="11"/>
      <c r="RQ195" s="11"/>
      <c r="RR195" s="11"/>
      <c r="RS195" s="11"/>
      <c r="RT195" s="11"/>
      <c r="RU195" s="11"/>
      <c r="RV195" s="11"/>
      <c r="RW195" s="11"/>
      <c r="RX195" s="11"/>
      <c r="RY195" s="11"/>
      <c r="RZ195" s="11"/>
      <c r="SA195" s="11"/>
      <c r="SB195" s="11"/>
      <c r="SC195" s="11"/>
      <c r="SD195" s="11"/>
      <c r="SE195" s="11"/>
      <c r="SF195" s="11"/>
      <c r="SG195" s="11"/>
      <c r="SH195" s="11">
        <v>1</v>
      </c>
    </row>
    <row r="196" spans="1:502" x14ac:dyDescent="0.2">
      <c r="A196" s="10">
        <v>2.3068477448743255E-2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>
        <v>1</v>
      </c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/>
      <c r="OW196" s="11"/>
      <c r="OX196" s="11"/>
      <c r="OY196" s="11"/>
      <c r="OZ196" s="11"/>
      <c r="PA196" s="11"/>
      <c r="PB196" s="11"/>
      <c r="PC196" s="11"/>
      <c r="PD196" s="11"/>
      <c r="PE196" s="11"/>
      <c r="PF196" s="11"/>
      <c r="PG196" s="11"/>
      <c r="PH196" s="11"/>
      <c r="PI196" s="11"/>
      <c r="PJ196" s="11"/>
      <c r="PK196" s="11"/>
      <c r="PL196" s="11"/>
      <c r="PM196" s="11"/>
      <c r="PN196" s="11"/>
      <c r="PO196" s="11"/>
      <c r="PP196" s="11"/>
      <c r="PQ196" s="11"/>
      <c r="PR196" s="11"/>
      <c r="PS196" s="11"/>
      <c r="PT196" s="11"/>
      <c r="PU196" s="11"/>
      <c r="PV196" s="11"/>
      <c r="PW196" s="11"/>
      <c r="PX196" s="11"/>
      <c r="PY196" s="11"/>
      <c r="PZ196" s="11"/>
      <c r="QA196" s="11"/>
      <c r="QB196" s="11"/>
      <c r="QC196" s="11"/>
      <c r="QD196" s="11"/>
      <c r="QE196" s="11"/>
      <c r="QF196" s="11"/>
      <c r="QG196" s="11"/>
      <c r="QH196" s="11"/>
      <c r="QI196" s="11"/>
      <c r="QJ196" s="11"/>
      <c r="QK196" s="11"/>
      <c r="QL196" s="11"/>
      <c r="QM196" s="11"/>
      <c r="QN196" s="11"/>
      <c r="QO196" s="11"/>
      <c r="QP196" s="11"/>
      <c r="QQ196" s="11"/>
      <c r="QR196" s="11"/>
      <c r="QS196" s="11"/>
      <c r="QT196" s="11"/>
      <c r="QU196" s="11"/>
      <c r="QV196" s="11"/>
      <c r="QW196" s="11"/>
      <c r="QX196" s="11"/>
      <c r="QY196" s="11"/>
      <c r="QZ196" s="11"/>
      <c r="RA196" s="11"/>
      <c r="RB196" s="11"/>
      <c r="RC196" s="11"/>
      <c r="RD196" s="11"/>
      <c r="RE196" s="11"/>
      <c r="RF196" s="11"/>
      <c r="RG196" s="11"/>
      <c r="RH196" s="11"/>
      <c r="RI196" s="11"/>
      <c r="RJ196" s="11"/>
      <c r="RK196" s="11"/>
      <c r="RL196" s="11"/>
      <c r="RM196" s="11"/>
      <c r="RN196" s="11"/>
      <c r="RO196" s="11"/>
      <c r="RP196" s="11"/>
      <c r="RQ196" s="11"/>
      <c r="RR196" s="11"/>
      <c r="RS196" s="11"/>
      <c r="RT196" s="11"/>
      <c r="RU196" s="11"/>
      <c r="RV196" s="11"/>
      <c r="RW196" s="11"/>
      <c r="RX196" s="11"/>
      <c r="RY196" s="11"/>
      <c r="RZ196" s="11"/>
      <c r="SA196" s="11"/>
      <c r="SB196" s="11"/>
      <c r="SC196" s="11"/>
      <c r="SD196" s="11"/>
      <c r="SE196" s="11"/>
      <c r="SF196" s="11"/>
      <c r="SG196" s="11"/>
      <c r="SH196" s="11">
        <v>1</v>
      </c>
    </row>
    <row r="197" spans="1:502" x14ac:dyDescent="0.2">
      <c r="A197" s="10">
        <v>2.3174471938856776E-2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>
        <v>1</v>
      </c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  <c r="OM197" s="11"/>
      <c r="ON197" s="11"/>
      <c r="OO197" s="11"/>
      <c r="OP197" s="11"/>
      <c r="OQ197" s="11"/>
      <c r="OR197" s="11"/>
      <c r="OS197" s="11"/>
      <c r="OT197" s="11"/>
      <c r="OU197" s="11"/>
      <c r="OV197" s="11"/>
      <c r="OW197" s="11"/>
      <c r="OX197" s="11"/>
      <c r="OY197" s="11"/>
      <c r="OZ197" s="11"/>
      <c r="PA197" s="11"/>
      <c r="PB197" s="11"/>
      <c r="PC197" s="11"/>
      <c r="PD197" s="11"/>
      <c r="PE197" s="11"/>
      <c r="PF197" s="11"/>
      <c r="PG197" s="11"/>
      <c r="PH197" s="11"/>
      <c r="PI197" s="11"/>
      <c r="PJ197" s="11"/>
      <c r="PK197" s="11"/>
      <c r="PL197" s="11"/>
      <c r="PM197" s="11"/>
      <c r="PN197" s="11"/>
      <c r="PO197" s="11"/>
      <c r="PP197" s="11"/>
      <c r="PQ197" s="11"/>
      <c r="PR197" s="11"/>
      <c r="PS197" s="11"/>
      <c r="PT197" s="11"/>
      <c r="PU197" s="11"/>
      <c r="PV197" s="11"/>
      <c r="PW197" s="11"/>
      <c r="PX197" s="11"/>
      <c r="PY197" s="11"/>
      <c r="PZ197" s="11"/>
      <c r="QA197" s="11"/>
      <c r="QB197" s="11"/>
      <c r="QC197" s="11"/>
      <c r="QD197" s="11"/>
      <c r="QE197" s="11"/>
      <c r="QF197" s="11"/>
      <c r="QG197" s="11"/>
      <c r="QH197" s="11"/>
      <c r="QI197" s="11"/>
      <c r="QJ197" s="11"/>
      <c r="QK197" s="11"/>
      <c r="QL197" s="11"/>
      <c r="QM197" s="11"/>
      <c r="QN197" s="11"/>
      <c r="QO197" s="11"/>
      <c r="QP197" s="11"/>
      <c r="QQ197" s="11"/>
      <c r="QR197" s="11"/>
      <c r="QS197" s="11"/>
      <c r="QT197" s="11"/>
      <c r="QU197" s="11"/>
      <c r="QV197" s="11"/>
      <c r="QW197" s="11"/>
      <c r="QX197" s="11"/>
      <c r="QY197" s="11"/>
      <c r="QZ197" s="11"/>
      <c r="RA197" s="11"/>
      <c r="RB197" s="11"/>
      <c r="RC197" s="11"/>
      <c r="RD197" s="11"/>
      <c r="RE197" s="11"/>
      <c r="RF197" s="11"/>
      <c r="RG197" s="11"/>
      <c r="RH197" s="11"/>
      <c r="RI197" s="11"/>
      <c r="RJ197" s="11"/>
      <c r="RK197" s="11"/>
      <c r="RL197" s="11"/>
      <c r="RM197" s="11"/>
      <c r="RN197" s="11"/>
      <c r="RO197" s="11"/>
      <c r="RP197" s="11"/>
      <c r="RQ197" s="11"/>
      <c r="RR197" s="11"/>
      <c r="RS197" s="11"/>
      <c r="RT197" s="11"/>
      <c r="RU197" s="11"/>
      <c r="RV197" s="11"/>
      <c r="RW197" s="11"/>
      <c r="RX197" s="11"/>
      <c r="RY197" s="11"/>
      <c r="RZ197" s="11"/>
      <c r="SA197" s="11"/>
      <c r="SB197" s="11"/>
      <c r="SC197" s="11"/>
      <c r="SD197" s="11"/>
      <c r="SE197" s="11"/>
      <c r="SF197" s="11"/>
      <c r="SG197" s="11"/>
      <c r="SH197" s="11">
        <v>1</v>
      </c>
    </row>
    <row r="198" spans="1:502" x14ac:dyDescent="0.2">
      <c r="A198" s="10">
        <v>2.3191377602103838E-2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>
        <v>1</v>
      </c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  <c r="OM198" s="11"/>
      <c r="ON198" s="11"/>
      <c r="OO198" s="11"/>
      <c r="OP198" s="11"/>
      <c r="OQ198" s="11"/>
      <c r="OR198" s="11"/>
      <c r="OS198" s="11"/>
      <c r="OT198" s="11"/>
      <c r="OU198" s="11"/>
      <c r="OV198" s="11"/>
      <c r="OW198" s="11"/>
      <c r="OX198" s="11"/>
      <c r="OY198" s="11"/>
      <c r="OZ198" s="11"/>
      <c r="PA198" s="11"/>
      <c r="PB198" s="11"/>
      <c r="PC198" s="11"/>
      <c r="PD198" s="11"/>
      <c r="PE198" s="11"/>
      <c r="PF198" s="11"/>
      <c r="PG198" s="11"/>
      <c r="PH198" s="11"/>
      <c r="PI198" s="11"/>
      <c r="PJ198" s="11"/>
      <c r="PK198" s="11"/>
      <c r="PL198" s="11"/>
      <c r="PM198" s="11"/>
      <c r="PN198" s="11"/>
      <c r="PO198" s="11"/>
      <c r="PP198" s="11"/>
      <c r="PQ198" s="11"/>
      <c r="PR198" s="11"/>
      <c r="PS198" s="11"/>
      <c r="PT198" s="11"/>
      <c r="PU198" s="11"/>
      <c r="PV198" s="11"/>
      <c r="PW198" s="11"/>
      <c r="PX198" s="11"/>
      <c r="PY198" s="11"/>
      <c r="PZ198" s="11"/>
      <c r="QA198" s="11"/>
      <c r="QB198" s="11"/>
      <c r="QC198" s="11"/>
      <c r="QD198" s="11"/>
      <c r="QE198" s="11"/>
      <c r="QF198" s="11"/>
      <c r="QG198" s="11"/>
      <c r="QH198" s="11"/>
      <c r="QI198" s="11"/>
      <c r="QJ198" s="11"/>
      <c r="QK198" s="11"/>
      <c r="QL198" s="11"/>
      <c r="QM198" s="11"/>
      <c r="QN198" s="11"/>
      <c r="QO198" s="11"/>
      <c r="QP198" s="11"/>
      <c r="QQ198" s="11"/>
      <c r="QR198" s="11"/>
      <c r="QS198" s="11"/>
      <c r="QT198" s="11"/>
      <c r="QU198" s="11"/>
      <c r="QV198" s="11"/>
      <c r="QW198" s="11"/>
      <c r="QX198" s="11"/>
      <c r="QY198" s="11"/>
      <c r="QZ198" s="11"/>
      <c r="RA198" s="11"/>
      <c r="RB198" s="11"/>
      <c r="RC198" s="11"/>
      <c r="RD198" s="11"/>
      <c r="RE198" s="11"/>
      <c r="RF198" s="11"/>
      <c r="RG198" s="11"/>
      <c r="RH198" s="11"/>
      <c r="RI198" s="11"/>
      <c r="RJ198" s="11"/>
      <c r="RK198" s="11"/>
      <c r="RL198" s="11"/>
      <c r="RM198" s="11"/>
      <c r="RN198" s="11"/>
      <c r="RO198" s="11"/>
      <c r="RP198" s="11"/>
      <c r="RQ198" s="11"/>
      <c r="RR198" s="11"/>
      <c r="RS198" s="11"/>
      <c r="RT198" s="11"/>
      <c r="RU198" s="11"/>
      <c r="RV198" s="11"/>
      <c r="RW198" s="11"/>
      <c r="RX198" s="11"/>
      <c r="RY198" s="11"/>
      <c r="RZ198" s="11"/>
      <c r="SA198" s="11"/>
      <c r="SB198" s="11"/>
      <c r="SC198" s="11"/>
      <c r="SD198" s="11"/>
      <c r="SE198" s="11"/>
      <c r="SF198" s="11"/>
      <c r="SG198" s="11"/>
      <c r="SH198" s="11">
        <v>1</v>
      </c>
    </row>
    <row r="199" spans="1:502" x14ac:dyDescent="0.2">
      <c r="A199" s="10">
        <v>2.339606548728955E-2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>
        <v>1</v>
      </c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  <c r="OM199" s="11"/>
      <c r="ON199" s="11"/>
      <c r="OO199" s="11"/>
      <c r="OP199" s="11"/>
      <c r="OQ199" s="11"/>
      <c r="OR199" s="11"/>
      <c r="OS199" s="11"/>
      <c r="OT199" s="11"/>
      <c r="OU199" s="11"/>
      <c r="OV199" s="11"/>
      <c r="OW199" s="11"/>
      <c r="OX199" s="11"/>
      <c r="OY199" s="11"/>
      <c r="OZ199" s="11"/>
      <c r="PA199" s="11"/>
      <c r="PB199" s="11"/>
      <c r="PC199" s="11"/>
      <c r="PD199" s="11"/>
      <c r="PE199" s="11"/>
      <c r="PF199" s="11"/>
      <c r="PG199" s="11"/>
      <c r="PH199" s="11"/>
      <c r="PI199" s="11"/>
      <c r="PJ199" s="11"/>
      <c r="PK199" s="11"/>
      <c r="PL199" s="11"/>
      <c r="PM199" s="11"/>
      <c r="PN199" s="11"/>
      <c r="PO199" s="11"/>
      <c r="PP199" s="11"/>
      <c r="PQ199" s="11"/>
      <c r="PR199" s="11"/>
      <c r="PS199" s="11"/>
      <c r="PT199" s="11"/>
      <c r="PU199" s="11"/>
      <c r="PV199" s="11"/>
      <c r="PW199" s="11"/>
      <c r="PX199" s="11"/>
      <c r="PY199" s="11"/>
      <c r="PZ199" s="11"/>
      <c r="QA199" s="11"/>
      <c r="QB199" s="11"/>
      <c r="QC199" s="11"/>
      <c r="QD199" s="11"/>
      <c r="QE199" s="11"/>
      <c r="QF199" s="11"/>
      <c r="QG199" s="11"/>
      <c r="QH199" s="11"/>
      <c r="QI199" s="11"/>
      <c r="QJ199" s="11"/>
      <c r="QK199" s="11"/>
      <c r="QL199" s="11"/>
      <c r="QM199" s="11"/>
      <c r="QN199" s="11"/>
      <c r="QO199" s="11"/>
      <c r="QP199" s="11"/>
      <c r="QQ199" s="11"/>
      <c r="QR199" s="11"/>
      <c r="QS199" s="11"/>
      <c r="QT199" s="11"/>
      <c r="QU199" s="11"/>
      <c r="QV199" s="11"/>
      <c r="QW199" s="11"/>
      <c r="QX199" s="11"/>
      <c r="QY199" s="11"/>
      <c r="QZ199" s="11"/>
      <c r="RA199" s="11"/>
      <c r="RB199" s="11"/>
      <c r="RC199" s="11"/>
      <c r="RD199" s="11"/>
      <c r="RE199" s="11"/>
      <c r="RF199" s="11"/>
      <c r="RG199" s="11"/>
      <c r="RH199" s="11"/>
      <c r="RI199" s="11"/>
      <c r="RJ199" s="11"/>
      <c r="RK199" s="11"/>
      <c r="RL199" s="11"/>
      <c r="RM199" s="11"/>
      <c r="RN199" s="11"/>
      <c r="RO199" s="11"/>
      <c r="RP199" s="11"/>
      <c r="RQ199" s="11"/>
      <c r="RR199" s="11"/>
      <c r="RS199" s="11"/>
      <c r="RT199" s="11"/>
      <c r="RU199" s="11"/>
      <c r="RV199" s="11"/>
      <c r="RW199" s="11"/>
      <c r="RX199" s="11"/>
      <c r="RY199" s="11"/>
      <c r="RZ199" s="11"/>
      <c r="SA199" s="11"/>
      <c r="SB199" s="11"/>
      <c r="SC199" s="11"/>
      <c r="SD199" s="11"/>
      <c r="SE199" s="11"/>
      <c r="SF199" s="11"/>
      <c r="SG199" s="11"/>
      <c r="SH199" s="11">
        <v>1</v>
      </c>
    </row>
    <row r="200" spans="1:502" x14ac:dyDescent="0.2">
      <c r="A200" s="10">
        <v>2.3412735009562449E-2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>
        <v>1</v>
      </c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  <c r="OM200" s="11"/>
      <c r="ON200" s="11"/>
      <c r="OO200" s="11"/>
      <c r="OP200" s="11"/>
      <c r="OQ200" s="11"/>
      <c r="OR200" s="11"/>
      <c r="OS200" s="11"/>
      <c r="OT200" s="11"/>
      <c r="OU200" s="11"/>
      <c r="OV200" s="11"/>
      <c r="OW200" s="11"/>
      <c r="OX200" s="11"/>
      <c r="OY200" s="11"/>
      <c r="OZ200" s="11"/>
      <c r="PA200" s="11"/>
      <c r="PB200" s="11"/>
      <c r="PC200" s="11"/>
      <c r="PD200" s="11"/>
      <c r="PE200" s="11"/>
      <c r="PF200" s="11"/>
      <c r="PG200" s="11"/>
      <c r="PH200" s="11"/>
      <c r="PI200" s="11"/>
      <c r="PJ200" s="11"/>
      <c r="PK200" s="11"/>
      <c r="PL200" s="11"/>
      <c r="PM200" s="11"/>
      <c r="PN200" s="11"/>
      <c r="PO200" s="11"/>
      <c r="PP200" s="11"/>
      <c r="PQ200" s="11"/>
      <c r="PR200" s="11"/>
      <c r="PS200" s="11"/>
      <c r="PT200" s="11"/>
      <c r="PU200" s="11"/>
      <c r="PV200" s="11"/>
      <c r="PW200" s="11"/>
      <c r="PX200" s="11"/>
      <c r="PY200" s="11"/>
      <c r="PZ200" s="11"/>
      <c r="QA200" s="11"/>
      <c r="QB200" s="11"/>
      <c r="QC200" s="11"/>
      <c r="QD200" s="11"/>
      <c r="QE200" s="11"/>
      <c r="QF200" s="11"/>
      <c r="QG200" s="11"/>
      <c r="QH200" s="11"/>
      <c r="QI200" s="11"/>
      <c r="QJ200" s="11"/>
      <c r="QK200" s="11"/>
      <c r="QL200" s="11"/>
      <c r="QM200" s="11"/>
      <c r="QN200" s="11"/>
      <c r="QO200" s="11"/>
      <c r="QP200" s="11"/>
      <c r="QQ200" s="11"/>
      <c r="QR200" s="11"/>
      <c r="QS200" s="11"/>
      <c r="QT200" s="11"/>
      <c r="QU200" s="11"/>
      <c r="QV200" s="11"/>
      <c r="QW200" s="11"/>
      <c r="QX200" s="11"/>
      <c r="QY200" s="11"/>
      <c r="QZ200" s="11"/>
      <c r="RA200" s="11"/>
      <c r="RB200" s="11"/>
      <c r="RC200" s="11"/>
      <c r="RD200" s="11"/>
      <c r="RE200" s="11"/>
      <c r="RF200" s="11"/>
      <c r="RG200" s="11"/>
      <c r="RH200" s="11"/>
      <c r="RI200" s="11"/>
      <c r="RJ200" s="11"/>
      <c r="RK200" s="11"/>
      <c r="RL200" s="11"/>
      <c r="RM200" s="11"/>
      <c r="RN200" s="11"/>
      <c r="RO200" s="11"/>
      <c r="RP200" s="11"/>
      <c r="RQ200" s="11"/>
      <c r="RR200" s="11"/>
      <c r="RS200" s="11"/>
      <c r="RT200" s="11"/>
      <c r="RU200" s="11"/>
      <c r="RV200" s="11"/>
      <c r="RW200" s="11"/>
      <c r="RX200" s="11"/>
      <c r="RY200" s="11"/>
      <c r="RZ200" s="11"/>
      <c r="SA200" s="11"/>
      <c r="SB200" s="11"/>
      <c r="SC200" s="11"/>
      <c r="SD200" s="11"/>
      <c r="SE200" s="11"/>
      <c r="SF200" s="11"/>
      <c r="SG200" s="11"/>
      <c r="SH200" s="11">
        <v>1</v>
      </c>
    </row>
    <row r="201" spans="1:502" x14ac:dyDescent="0.2">
      <c r="A201" s="10">
        <v>2.353629344025673E-2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>
        <v>1</v>
      </c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  <c r="OM201" s="11"/>
      <c r="ON201" s="11"/>
      <c r="OO201" s="11"/>
      <c r="OP201" s="11"/>
      <c r="OQ201" s="11"/>
      <c r="OR201" s="11"/>
      <c r="OS201" s="11"/>
      <c r="OT201" s="11"/>
      <c r="OU201" s="11"/>
      <c r="OV201" s="11"/>
      <c r="OW201" s="11"/>
      <c r="OX201" s="11"/>
      <c r="OY201" s="11"/>
      <c r="OZ201" s="11"/>
      <c r="PA201" s="11"/>
      <c r="PB201" s="11"/>
      <c r="PC201" s="11"/>
      <c r="PD201" s="11"/>
      <c r="PE201" s="11"/>
      <c r="PF201" s="11"/>
      <c r="PG201" s="11"/>
      <c r="PH201" s="11"/>
      <c r="PI201" s="11"/>
      <c r="PJ201" s="11"/>
      <c r="PK201" s="11"/>
      <c r="PL201" s="11"/>
      <c r="PM201" s="11"/>
      <c r="PN201" s="11"/>
      <c r="PO201" s="11"/>
      <c r="PP201" s="11"/>
      <c r="PQ201" s="11"/>
      <c r="PR201" s="11"/>
      <c r="PS201" s="11"/>
      <c r="PT201" s="11"/>
      <c r="PU201" s="11"/>
      <c r="PV201" s="11"/>
      <c r="PW201" s="11"/>
      <c r="PX201" s="11"/>
      <c r="PY201" s="11"/>
      <c r="PZ201" s="11"/>
      <c r="QA201" s="11"/>
      <c r="QB201" s="11"/>
      <c r="QC201" s="11"/>
      <c r="QD201" s="11"/>
      <c r="QE201" s="11"/>
      <c r="QF201" s="11"/>
      <c r="QG201" s="11"/>
      <c r="QH201" s="11"/>
      <c r="QI201" s="11"/>
      <c r="QJ201" s="11"/>
      <c r="QK201" s="11"/>
      <c r="QL201" s="11"/>
      <c r="QM201" s="11"/>
      <c r="QN201" s="11"/>
      <c r="QO201" s="11"/>
      <c r="QP201" s="11"/>
      <c r="QQ201" s="11"/>
      <c r="QR201" s="11"/>
      <c r="QS201" s="11"/>
      <c r="QT201" s="11"/>
      <c r="QU201" s="11"/>
      <c r="QV201" s="11"/>
      <c r="QW201" s="11"/>
      <c r="QX201" s="11"/>
      <c r="QY201" s="11"/>
      <c r="QZ201" s="11"/>
      <c r="RA201" s="11"/>
      <c r="RB201" s="11"/>
      <c r="RC201" s="11"/>
      <c r="RD201" s="11"/>
      <c r="RE201" s="11"/>
      <c r="RF201" s="11"/>
      <c r="RG201" s="11"/>
      <c r="RH201" s="11"/>
      <c r="RI201" s="11"/>
      <c r="RJ201" s="11"/>
      <c r="RK201" s="11"/>
      <c r="RL201" s="11"/>
      <c r="RM201" s="11"/>
      <c r="RN201" s="11"/>
      <c r="RO201" s="11"/>
      <c r="RP201" s="11"/>
      <c r="RQ201" s="11"/>
      <c r="RR201" s="11"/>
      <c r="RS201" s="11"/>
      <c r="RT201" s="11"/>
      <c r="RU201" s="11"/>
      <c r="RV201" s="11"/>
      <c r="RW201" s="11"/>
      <c r="RX201" s="11"/>
      <c r="RY201" s="11"/>
      <c r="RZ201" s="11"/>
      <c r="SA201" s="11"/>
      <c r="SB201" s="11"/>
      <c r="SC201" s="11"/>
      <c r="SD201" s="11"/>
      <c r="SE201" s="11"/>
      <c r="SF201" s="11"/>
      <c r="SG201" s="11"/>
      <c r="SH201" s="11">
        <v>1</v>
      </c>
    </row>
    <row r="202" spans="1:502" x14ac:dyDescent="0.2">
      <c r="A202" s="10">
        <v>2.3630486327326457E-2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>
        <v>1</v>
      </c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  <c r="OM202" s="11"/>
      <c r="ON202" s="11"/>
      <c r="OO202" s="11"/>
      <c r="OP202" s="11"/>
      <c r="OQ202" s="11"/>
      <c r="OR202" s="11"/>
      <c r="OS202" s="11"/>
      <c r="OT202" s="11"/>
      <c r="OU202" s="11"/>
      <c r="OV202" s="11"/>
      <c r="OW202" s="11"/>
      <c r="OX202" s="11"/>
      <c r="OY202" s="11"/>
      <c r="OZ202" s="11"/>
      <c r="PA202" s="11"/>
      <c r="PB202" s="11"/>
      <c r="PC202" s="11"/>
      <c r="PD202" s="11"/>
      <c r="PE202" s="11"/>
      <c r="PF202" s="11"/>
      <c r="PG202" s="11"/>
      <c r="PH202" s="11"/>
      <c r="PI202" s="11"/>
      <c r="PJ202" s="11"/>
      <c r="PK202" s="11"/>
      <c r="PL202" s="11"/>
      <c r="PM202" s="11"/>
      <c r="PN202" s="11"/>
      <c r="PO202" s="11"/>
      <c r="PP202" s="11"/>
      <c r="PQ202" s="11"/>
      <c r="PR202" s="11"/>
      <c r="PS202" s="11"/>
      <c r="PT202" s="11"/>
      <c r="PU202" s="11"/>
      <c r="PV202" s="11"/>
      <c r="PW202" s="11"/>
      <c r="PX202" s="11"/>
      <c r="PY202" s="11"/>
      <c r="PZ202" s="11"/>
      <c r="QA202" s="11"/>
      <c r="QB202" s="11"/>
      <c r="QC202" s="11"/>
      <c r="QD202" s="11"/>
      <c r="QE202" s="11"/>
      <c r="QF202" s="11"/>
      <c r="QG202" s="11"/>
      <c r="QH202" s="11"/>
      <c r="QI202" s="11"/>
      <c r="QJ202" s="11"/>
      <c r="QK202" s="11"/>
      <c r="QL202" s="11"/>
      <c r="QM202" s="11"/>
      <c r="QN202" s="11"/>
      <c r="QO202" s="11"/>
      <c r="QP202" s="11"/>
      <c r="QQ202" s="11"/>
      <c r="QR202" s="11"/>
      <c r="QS202" s="11"/>
      <c r="QT202" s="11"/>
      <c r="QU202" s="11"/>
      <c r="QV202" s="11"/>
      <c r="QW202" s="11"/>
      <c r="QX202" s="11"/>
      <c r="QY202" s="11"/>
      <c r="QZ202" s="11"/>
      <c r="RA202" s="11"/>
      <c r="RB202" s="11"/>
      <c r="RC202" s="11"/>
      <c r="RD202" s="11"/>
      <c r="RE202" s="11"/>
      <c r="RF202" s="11"/>
      <c r="RG202" s="11"/>
      <c r="RH202" s="11"/>
      <c r="RI202" s="11"/>
      <c r="RJ202" s="11"/>
      <c r="RK202" s="11"/>
      <c r="RL202" s="11"/>
      <c r="RM202" s="11"/>
      <c r="RN202" s="11"/>
      <c r="RO202" s="11"/>
      <c r="RP202" s="11"/>
      <c r="RQ202" s="11"/>
      <c r="RR202" s="11"/>
      <c r="RS202" s="11"/>
      <c r="RT202" s="11"/>
      <c r="RU202" s="11"/>
      <c r="RV202" s="11"/>
      <c r="RW202" s="11"/>
      <c r="RX202" s="11"/>
      <c r="RY202" s="11"/>
      <c r="RZ202" s="11"/>
      <c r="SA202" s="11"/>
      <c r="SB202" s="11"/>
      <c r="SC202" s="11"/>
      <c r="SD202" s="11"/>
      <c r="SE202" s="11"/>
      <c r="SF202" s="11"/>
      <c r="SG202" s="11"/>
      <c r="SH202" s="11">
        <v>1</v>
      </c>
    </row>
    <row r="203" spans="1:502" x14ac:dyDescent="0.2">
      <c r="A203" s="10">
        <v>2.3638166815393744E-2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>
        <v>1</v>
      </c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  <c r="OM203" s="11"/>
      <c r="ON203" s="11"/>
      <c r="OO203" s="11"/>
      <c r="OP203" s="11"/>
      <c r="OQ203" s="11"/>
      <c r="OR203" s="11"/>
      <c r="OS203" s="11"/>
      <c r="OT203" s="11"/>
      <c r="OU203" s="11"/>
      <c r="OV203" s="11"/>
      <c r="OW203" s="11"/>
      <c r="OX203" s="11"/>
      <c r="OY203" s="11"/>
      <c r="OZ203" s="11"/>
      <c r="PA203" s="11"/>
      <c r="PB203" s="11"/>
      <c r="PC203" s="11"/>
      <c r="PD203" s="11"/>
      <c r="PE203" s="11"/>
      <c r="PF203" s="11"/>
      <c r="PG203" s="11"/>
      <c r="PH203" s="11"/>
      <c r="PI203" s="11"/>
      <c r="PJ203" s="11"/>
      <c r="PK203" s="11"/>
      <c r="PL203" s="11"/>
      <c r="PM203" s="11"/>
      <c r="PN203" s="11"/>
      <c r="PO203" s="11"/>
      <c r="PP203" s="11"/>
      <c r="PQ203" s="11"/>
      <c r="PR203" s="11"/>
      <c r="PS203" s="11"/>
      <c r="PT203" s="11"/>
      <c r="PU203" s="11"/>
      <c r="PV203" s="11"/>
      <c r="PW203" s="11"/>
      <c r="PX203" s="11"/>
      <c r="PY203" s="11"/>
      <c r="PZ203" s="11"/>
      <c r="QA203" s="11"/>
      <c r="QB203" s="11"/>
      <c r="QC203" s="11"/>
      <c r="QD203" s="11"/>
      <c r="QE203" s="11"/>
      <c r="QF203" s="11"/>
      <c r="QG203" s="11"/>
      <c r="QH203" s="11"/>
      <c r="QI203" s="11"/>
      <c r="QJ203" s="11"/>
      <c r="QK203" s="11"/>
      <c r="QL203" s="11"/>
      <c r="QM203" s="11"/>
      <c r="QN203" s="11"/>
      <c r="QO203" s="11"/>
      <c r="QP203" s="11"/>
      <c r="QQ203" s="11"/>
      <c r="QR203" s="11"/>
      <c r="QS203" s="11"/>
      <c r="QT203" s="11"/>
      <c r="QU203" s="11"/>
      <c r="QV203" s="11"/>
      <c r="QW203" s="11"/>
      <c r="QX203" s="11"/>
      <c r="QY203" s="11"/>
      <c r="QZ203" s="11"/>
      <c r="RA203" s="11"/>
      <c r="RB203" s="11"/>
      <c r="RC203" s="11"/>
      <c r="RD203" s="11"/>
      <c r="RE203" s="11"/>
      <c r="RF203" s="11"/>
      <c r="RG203" s="11"/>
      <c r="RH203" s="11"/>
      <c r="RI203" s="11"/>
      <c r="RJ203" s="11"/>
      <c r="RK203" s="11"/>
      <c r="RL203" s="11"/>
      <c r="RM203" s="11"/>
      <c r="RN203" s="11"/>
      <c r="RO203" s="11"/>
      <c r="RP203" s="11"/>
      <c r="RQ203" s="11"/>
      <c r="RR203" s="11"/>
      <c r="RS203" s="11"/>
      <c r="RT203" s="11"/>
      <c r="RU203" s="11"/>
      <c r="RV203" s="11"/>
      <c r="RW203" s="11"/>
      <c r="RX203" s="11"/>
      <c r="RY203" s="11"/>
      <c r="RZ203" s="11"/>
      <c r="SA203" s="11"/>
      <c r="SB203" s="11"/>
      <c r="SC203" s="11"/>
      <c r="SD203" s="11"/>
      <c r="SE203" s="11"/>
      <c r="SF203" s="11"/>
      <c r="SG203" s="11"/>
      <c r="SH203" s="11">
        <v>1</v>
      </c>
    </row>
    <row r="204" spans="1:502" x14ac:dyDescent="0.2">
      <c r="A204" s="10">
        <v>2.3759882308059716E-2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>
        <v>1</v>
      </c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  <c r="OM204" s="11"/>
      <c r="ON204" s="11"/>
      <c r="OO204" s="11"/>
      <c r="OP204" s="11"/>
      <c r="OQ204" s="11"/>
      <c r="OR204" s="11"/>
      <c r="OS204" s="11"/>
      <c r="OT204" s="11"/>
      <c r="OU204" s="11"/>
      <c r="OV204" s="11"/>
      <c r="OW204" s="11"/>
      <c r="OX204" s="11"/>
      <c r="OY204" s="11"/>
      <c r="OZ204" s="11"/>
      <c r="PA204" s="11"/>
      <c r="PB204" s="11"/>
      <c r="PC204" s="11"/>
      <c r="PD204" s="11"/>
      <c r="PE204" s="11"/>
      <c r="PF204" s="11"/>
      <c r="PG204" s="11"/>
      <c r="PH204" s="11"/>
      <c r="PI204" s="11"/>
      <c r="PJ204" s="11"/>
      <c r="PK204" s="11"/>
      <c r="PL204" s="11"/>
      <c r="PM204" s="11"/>
      <c r="PN204" s="11"/>
      <c r="PO204" s="11"/>
      <c r="PP204" s="11"/>
      <c r="PQ204" s="11"/>
      <c r="PR204" s="11"/>
      <c r="PS204" s="11"/>
      <c r="PT204" s="11"/>
      <c r="PU204" s="11"/>
      <c r="PV204" s="11"/>
      <c r="PW204" s="11"/>
      <c r="PX204" s="11"/>
      <c r="PY204" s="11"/>
      <c r="PZ204" s="11"/>
      <c r="QA204" s="11"/>
      <c r="QB204" s="11"/>
      <c r="QC204" s="11"/>
      <c r="QD204" s="11"/>
      <c r="QE204" s="11"/>
      <c r="QF204" s="11"/>
      <c r="QG204" s="11"/>
      <c r="QH204" s="11"/>
      <c r="QI204" s="11"/>
      <c r="QJ204" s="11"/>
      <c r="QK204" s="11"/>
      <c r="QL204" s="11"/>
      <c r="QM204" s="11"/>
      <c r="QN204" s="11"/>
      <c r="QO204" s="11"/>
      <c r="QP204" s="11"/>
      <c r="QQ204" s="11"/>
      <c r="QR204" s="11"/>
      <c r="QS204" s="11"/>
      <c r="QT204" s="11"/>
      <c r="QU204" s="11"/>
      <c r="QV204" s="11"/>
      <c r="QW204" s="11"/>
      <c r="QX204" s="11"/>
      <c r="QY204" s="11"/>
      <c r="QZ204" s="11"/>
      <c r="RA204" s="11"/>
      <c r="RB204" s="11"/>
      <c r="RC204" s="11"/>
      <c r="RD204" s="11"/>
      <c r="RE204" s="11"/>
      <c r="RF204" s="11"/>
      <c r="RG204" s="11"/>
      <c r="RH204" s="11"/>
      <c r="RI204" s="11"/>
      <c r="RJ204" s="11"/>
      <c r="RK204" s="11"/>
      <c r="RL204" s="11"/>
      <c r="RM204" s="11"/>
      <c r="RN204" s="11"/>
      <c r="RO204" s="11"/>
      <c r="RP204" s="11"/>
      <c r="RQ204" s="11"/>
      <c r="RR204" s="11"/>
      <c r="RS204" s="11"/>
      <c r="RT204" s="11"/>
      <c r="RU204" s="11"/>
      <c r="RV204" s="11"/>
      <c r="RW204" s="11"/>
      <c r="RX204" s="11"/>
      <c r="RY204" s="11"/>
      <c r="RZ204" s="11"/>
      <c r="SA204" s="11"/>
      <c r="SB204" s="11"/>
      <c r="SC204" s="11"/>
      <c r="SD204" s="11"/>
      <c r="SE204" s="11"/>
      <c r="SF204" s="11"/>
      <c r="SG204" s="11"/>
      <c r="SH204" s="11">
        <v>1</v>
      </c>
    </row>
    <row r="205" spans="1:502" x14ac:dyDescent="0.2">
      <c r="A205" s="10">
        <v>2.379864440865374E-2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  <c r="OM205" s="11"/>
      <c r="ON205" s="11"/>
      <c r="OO205" s="11"/>
      <c r="OP205" s="11"/>
      <c r="OQ205" s="11"/>
      <c r="OR205" s="11"/>
      <c r="OS205" s="11"/>
      <c r="OT205" s="11"/>
      <c r="OU205" s="11"/>
      <c r="OV205" s="11"/>
      <c r="OW205" s="11"/>
      <c r="OX205" s="11"/>
      <c r="OY205" s="11"/>
      <c r="OZ205" s="11"/>
      <c r="PA205" s="11"/>
      <c r="PB205" s="11"/>
      <c r="PC205" s="11"/>
      <c r="PD205" s="11"/>
      <c r="PE205" s="11"/>
      <c r="PF205" s="11"/>
      <c r="PG205" s="11"/>
      <c r="PH205" s="11"/>
      <c r="PI205" s="11"/>
      <c r="PJ205" s="11"/>
      <c r="PK205" s="11"/>
      <c r="PL205" s="11"/>
      <c r="PM205" s="11"/>
      <c r="PN205" s="11"/>
      <c r="PO205" s="11"/>
      <c r="PP205" s="11"/>
      <c r="PQ205" s="11"/>
      <c r="PR205" s="11"/>
      <c r="PS205" s="11"/>
      <c r="PT205" s="11"/>
      <c r="PU205" s="11"/>
      <c r="PV205" s="11"/>
      <c r="PW205" s="11"/>
      <c r="PX205" s="11"/>
      <c r="PY205" s="11"/>
      <c r="PZ205" s="11"/>
      <c r="QA205" s="11"/>
      <c r="QB205" s="11"/>
      <c r="QC205" s="11"/>
      <c r="QD205" s="11"/>
      <c r="QE205" s="11"/>
      <c r="QF205" s="11"/>
      <c r="QG205" s="11"/>
      <c r="QH205" s="11"/>
      <c r="QI205" s="11"/>
      <c r="QJ205" s="11">
        <v>1</v>
      </c>
      <c r="QK205" s="11"/>
      <c r="QL205" s="11"/>
      <c r="QM205" s="11"/>
      <c r="QN205" s="11"/>
      <c r="QO205" s="11"/>
      <c r="QP205" s="11"/>
      <c r="QQ205" s="11"/>
      <c r="QR205" s="11"/>
      <c r="QS205" s="11"/>
      <c r="QT205" s="11"/>
      <c r="QU205" s="11"/>
      <c r="QV205" s="11"/>
      <c r="QW205" s="11"/>
      <c r="QX205" s="11"/>
      <c r="QY205" s="11"/>
      <c r="QZ205" s="11"/>
      <c r="RA205" s="11"/>
      <c r="RB205" s="11"/>
      <c r="RC205" s="11"/>
      <c r="RD205" s="11"/>
      <c r="RE205" s="11"/>
      <c r="RF205" s="11"/>
      <c r="RG205" s="11"/>
      <c r="RH205" s="11"/>
      <c r="RI205" s="11"/>
      <c r="RJ205" s="11"/>
      <c r="RK205" s="11"/>
      <c r="RL205" s="11"/>
      <c r="RM205" s="11"/>
      <c r="RN205" s="11"/>
      <c r="RO205" s="11"/>
      <c r="RP205" s="11"/>
      <c r="RQ205" s="11"/>
      <c r="RR205" s="11"/>
      <c r="RS205" s="11"/>
      <c r="RT205" s="11"/>
      <c r="RU205" s="11"/>
      <c r="RV205" s="11"/>
      <c r="RW205" s="11"/>
      <c r="RX205" s="11"/>
      <c r="RY205" s="11"/>
      <c r="RZ205" s="11"/>
      <c r="SA205" s="11"/>
      <c r="SB205" s="11"/>
      <c r="SC205" s="11"/>
      <c r="SD205" s="11"/>
      <c r="SE205" s="11"/>
      <c r="SF205" s="11"/>
      <c r="SG205" s="11"/>
      <c r="SH205" s="11">
        <v>1</v>
      </c>
    </row>
    <row r="206" spans="1:502" x14ac:dyDescent="0.2">
      <c r="A206" s="10">
        <v>2.3868534368191224E-2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>
        <v>1</v>
      </c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  <c r="OM206" s="11"/>
      <c r="ON206" s="11"/>
      <c r="OO206" s="11"/>
      <c r="OP206" s="11"/>
      <c r="OQ206" s="11"/>
      <c r="OR206" s="11"/>
      <c r="OS206" s="11"/>
      <c r="OT206" s="11"/>
      <c r="OU206" s="11"/>
      <c r="OV206" s="11"/>
      <c r="OW206" s="11"/>
      <c r="OX206" s="11"/>
      <c r="OY206" s="11"/>
      <c r="OZ206" s="11"/>
      <c r="PA206" s="11"/>
      <c r="PB206" s="11"/>
      <c r="PC206" s="11"/>
      <c r="PD206" s="11"/>
      <c r="PE206" s="11"/>
      <c r="PF206" s="11"/>
      <c r="PG206" s="11"/>
      <c r="PH206" s="11"/>
      <c r="PI206" s="11"/>
      <c r="PJ206" s="11"/>
      <c r="PK206" s="11"/>
      <c r="PL206" s="11"/>
      <c r="PM206" s="11"/>
      <c r="PN206" s="11"/>
      <c r="PO206" s="11"/>
      <c r="PP206" s="11"/>
      <c r="PQ206" s="11"/>
      <c r="PR206" s="11"/>
      <c r="PS206" s="11"/>
      <c r="PT206" s="11"/>
      <c r="PU206" s="11"/>
      <c r="PV206" s="11"/>
      <c r="PW206" s="11"/>
      <c r="PX206" s="11"/>
      <c r="PY206" s="11"/>
      <c r="PZ206" s="11"/>
      <c r="QA206" s="11"/>
      <c r="QB206" s="11"/>
      <c r="QC206" s="11"/>
      <c r="QD206" s="11"/>
      <c r="QE206" s="11"/>
      <c r="QF206" s="11"/>
      <c r="QG206" s="11"/>
      <c r="QH206" s="11"/>
      <c r="QI206" s="11"/>
      <c r="QJ206" s="11"/>
      <c r="QK206" s="11"/>
      <c r="QL206" s="11"/>
      <c r="QM206" s="11"/>
      <c r="QN206" s="11"/>
      <c r="QO206" s="11"/>
      <c r="QP206" s="11"/>
      <c r="QQ206" s="11"/>
      <c r="QR206" s="11"/>
      <c r="QS206" s="11"/>
      <c r="QT206" s="11"/>
      <c r="QU206" s="11"/>
      <c r="QV206" s="11"/>
      <c r="QW206" s="11"/>
      <c r="QX206" s="11"/>
      <c r="QY206" s="11"/>
      <c r="QZ206" s="11"/>
      <c r="RA206" s="11"/>
      <c r="RB206" s="11"/>
      <c r="RC206" s="11"/>
      <c r="RD206" s="11"/>
      <c r="RE206" s="11"/>
      <c r="RF206" s="11"/>
      <c r="RG206" s="11"/>
      <c r="RH206" s="11"/>
      <c r="RI206" s="11"/>
      <c r="RJ206" s="11"/>
      <c r="RK206" s="11"/>
      <c r="RL206" s="11"/>
      <c r="RM206" s="11"/>
      <c r="RN206" s="11"/>
      <c r="RO206" s="11"/>
      <c r="RP206" s="11"/>
      <c r="RQ206" s="11"/>
      <c r="RR206" s="11"/>
      <c r="RS206" s="11"/>
      <c r="RT206" s="11"/>
      <c r="RU206" s="11"/>
      <c r="RV206" s="11"/>
      <c r="RW206" s="11"/>
      <c r="RX206" s="11"/>
      <c r="RY206" s="11"/>
      <c r="RZ206" s="11"/>
      <c r="SA206" s="11"/>
      <c r="SB206" s="11"/>
      <c r="SC206" s="11"/>
      <c r="SD206" s="11"/>
      <c r="SE206" s="11"/>
      <c r="SF206" s="11"/>
      <c r="SG206" s="11"/>
      <c r="SH206" s="11">
        <v>1</v>
      </c>
    </row>
    <row r="207" spans="1:502" x14ac:dyDescent="0.2">
      <c r="A207" s="10">
        <v>2.3952097830871214E-2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>
        <v>1</v>
      </c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  <c r="OM207" s="11"/>
      <c r="ON207" s="11"/>
      <c r="OO207" s="11"/>
      <c r="OP207" s="11"/>
      <c r="OQ207" s="11"/>
      <c r="OR207" s="11"/>
      <c r="OS207" s="11"/>
      <c r="OT207" s="11"/>
      <c r="OU207" s="11"/>
      <c r="OV207" s="11"/>
      <c r="OW207" s="11"/>
      <c r="OX207" s="11"/>
      <c r="OY207" s="11"/>
      <c r="OZ207" s="11"/>
      <c r="PA207" s="11"/>
      <c r="PB207" s="11"/>
      <c r="PC207" s="11"/>
      <c r="PD207" s="11"/>
      <c r="PE207" s="11"/>
      <c r="PF207" s="11"/>
      <c r="PG207" s="11"/>
      <c r="PH207" s="11"/>
      <c r="PI207" s="11"/>
      <c r="PJ207" s="11"/>
      <c r="PK207" s="11"/>
      <c r="PL207" s="11"/>
      <c r="PM207" s="11"/>
      <c r="PN207" s="11"/>
      <c r="PO207" s="11"/>
      <c r="PP207" s="11"/>
      <c r="PQ207" s="11"/>
      <c r="PR207" s="11"/>
      <c r="PS207" s="11"/>
      <c r="PT207" s="11"/>
      <c r="PU207" s="11"/>
      <c r="PV207" s="11"/>
      <c r="PW207" s="11"/>
      <c r="PX207" s="11"/>
      <c r="PY207" s="11"/>
      <c r="PZ207" s="11"/>
      <c r="QA207" s="11"/>
      <c r="QB207" s="11"/>
      <c r="QC207" s="11"/>
      <c r="QD207" s="11"/>
      <c r="QE207" s="11"/>
      <c r="QF207" s="11"/>
      <c r="QG207" s="11"/>
      <c r="QH207" s="11"/>
      <c r="QI207" s="11"/>
      <c r="QJ207" s="11"/>
      <c r="QK207" s="11"/>
      <c r="QL207" s="11"/>
      <c r="QM207" s="11"/>
      <c r="QN207" s="11"/>
      <c r="QO207" s="11"/>
      <c r="QP207" s="11"/>
      <c r="QQ207" s="11"/>
      <c r="QR207" s="11"/>
      <c r="QS207" s="11"/>
      <c r="QT207" s="11"/>
      <c r="QU207" s="11"/>
      <c r="QV207" s="11"/>
      <c r="QW207" s="11"/>
      <c r="QX207" s="11"/>
      <c r="QY207" s="11"/>
      <c r="QZ207" s="11"/>
      <c r="RA207" s="11"/>
      <c r="RB207" s="11"/>
      <c r="RC207" s="11"/>
      <c r="RD207" s="11"/>
      <c r="RE207" s="11"/>
      <c r="RF207" s="11"/>
      <c r="RG207" s="11"/>
      <c r="RH207" s="11"/>
      <c r="RI207" s="11"/>
      <c r="RJ207" s="11"/>
      <c r="RK207" s="11"/>
      <c r="RL207" s="11"/>
      <c r="RM207" s="11"/>
      <c r="RN207" s="11"/>
      <c r="RO207" s="11"/>
      <c r="RP207" s="11"/>
      <c r="RQ207" s="11"/>
      <c r="RR207" s="11"/>
      <c r="RS207" s="11"/>
      <c r="RT207" s="11"/>
      <c r="RU207" s="11"/>
      <c r="RV207" s="11"/>
      <c r="RW207" s="11"/>
      <c r="RX207" s="11"/>
      <c r="RY207" s="11"/>
      <c r="RZ207" s="11"/>
      <c r="SA207" s="11"/>
      <c r="SB207" s="11"/>
      <c r="SC207" s="11"/>
      <c r="SD207" s="11"/>
      <c r="SE207" s="11"/>
      <c r="SF207" s="11"/>
      <c r="SG207" s="11"/>
      <c r="SH207" s="11">
        <v>1</v>
      </c>
    </row>
    <row r="208" spans="1:502" x14ac:dyDescent="0.2">
      <c r="A208" s="10">
        <v>2.4052903873057932E-2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  <c r="OM208" s="11"/>
      <c r="ON208" s="11"/>
      <c r="OO208" s="11"/>
      <c r="OP208" s="11"/>
      <c r="OQ208" s="11"/>
      <c r="OR208" s="11"/>
      <c r="OS208" s="11"/>
      <c r="OT208" s="11"/>
      <c r="OU208" s="11"/>
      <c r="OV208" s="11"/>
      <c r="OW208" s="11"/>
      <c r="OX208" s="11"/>
      <c r="OY208" s="11"/>
      <c r="OZ208" s="11"/>
      <c r="PA208" s="11"/>
      <c r="PB208" s="11"/>
      <c r="PC208" s="11"/>
      <c r="PD208" s="11"/>
      <c r="PE208" s="11"/>
      <c r="PF208" s="11"/>
      <c r="PG208" s="11"/>
      <c r="PH208" s="11"/>
      <c r="PI208" s="11"/>
      <c r="PJ208" s="11"/>
      <c r="PK208" s="11"/>
      <c r="PL208" s="11"/>
      <c r="PM208" s="11"/>
      <c r="PN208" s="11"/>
      <c r="PO208" s="11"/>
      <c r="PP208" s="11"/>
      <c r="PQ208" s="11"/>
      <c r="PR208" s="11"/>
      <c r="PS208" s="11"/>
      <c r="PT208" s="11"/>
      <c r="PU208" s="11"/>
      <c r="PV208" s="11"/>
      <c r="PW208" s="11"/>
      <c r="PX208" s="11"/>
      <c r="PY208" s="11"/>
      <c r="PZ208" s="11"/>
      <c r="QA208" s="11"/>
      <c r="QB208" s="11"/>
      <c r="QC208" s="11"/>
      <c r="QD208" s="11"/>
      <c r="QE208" s="11"/>
      <c r="QF208" s="11"/>
      <c r="QG208" s="11"/>
      <c r="QH208" s="11"/>
      <c r="QI208" s="11"/>
      <c r="QJ208" s="11"/>
      <c r="QK208" s="11"/>
      <c r="QL208" s="11"/>
      <c r="QM208" s="11"/>
      <c r="QN208" s="11"/>
      <c r="QO208" s="11"/>
      <c r="QP208" s="11"/>
      <c r="QQ208" s="11"/>
      <c r="QR208" s="11"/>
      <c r="QS208" s="11"/>
      <c r="QT208" s="11"/>
      <c r="QU208" s="11"/>
      <c r="QV208" s="11"/>
      <c r="QW208" s="11"/>
      <c r="QX208" s="11"/>
      <c r="QY208" s="11"/>
      <c r="QZ208" s="11"/>
      <c r="RA208" s="11"/>
      <c r="RB208" s="11"/>
      <c r="RC208" s="11"/>
      <c r="RD208" s="11"/>
      <c r="RE208" s="11"/>
      <c r="RF208" s="11"/>
      <c r="RG208" s="11"/>
      <c r="RH208" s="11"/>
      <c r="RI208" s="11"/>
      <c r="RJ208" s="11"/>
      <c r="RK208" s="11"/>
      <c r="RL208" s="11"/>
      <c r="RM208" s="11"/>
      <c r="RN208" s="11"/>
      <c r="RO208" s="11"/>
      <c r="RP208" s="11"/>
      <c r="RQ208" s="11"/>
      <c r="RR208" s="11"/>
      <c r="RS208" s="11">
        <v>1</v>
      </c>
      <c r="RT208" s="11"/>
      <c r="RU208" s="11"/>
      <c r="RV208" s="11"/>
      <c r="RW208" s="11"/>
      <c r="RX208" s="11"/>
      <c r="RY208" s="11"/>
      <c r="RZ208" s="11"/>
      <c r="SA208" s="11"/>
      <c r="SB208" s="11"/>
      <c r="SC208" s="11"/>
      <c r="SD208" s="11"/>
      <c r="SE208" s="11"/>
      <c r="SF208" s="11"/>
      <c r="SG208" s="11"/>
      <c r="SH208" s="11">
        <v>1</v>
      </c>
    </row>
    <row r="209" spans="1:502" x14ac:dyDescent="0.2">
      <c r="A209" s="10">
        <v>2.4057154354398241E-2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>
        <v>1</v>
      </c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/>
      <c r="OY209" s="11"/>
      <c r="OZ209" s="11"/>
      <c r="PA209" s="11"/>
      <c r="PB209" s="11"/>
      <c r="PC209" s="11"/>
      <c r="PD209" s="11"/>
      <c r="PE209" s="11"/>
      <c r="PF209" s="11"/>
      <c r="PG209" s="11"/>
      <c r="PH209" s="11"/>
      <c r="PI209" s="11"/>
      <c r="PJ209" s="11"/>
      <c r="PK209" s="11"/>
      <c r="PL209" s="11"/>
      <c r="PM209" s="11"/>
      <c r="PN209" s="11"/>
      <c r="PO209" s="11"/>
      <c r="PP209" s="11"/>
      <c r="PQ209" s="11"/>
      <c r="PR209" s="11"/>
      <c r="PS209" s="11"/>
      <c r="PT209" s="11"/>
      <c r="PU209" s="11"/>
      <c r="PV209" s="11"/>
      <c r="PW209" s="11"/>
      <c r="PX209" s="11"/>
      <c r="PY209" s="11"/>
      <c r="PZ209" s="11"/>
      <c r="QA209" s="11"/>
      <c r="QB209" s="11"/>
      <c r="QC209" s="11"/>
      <c r="QD209" s="11"/>
      <c r="QE209" s="11"/>
      <c r="QF209" s="11"/>
      <c r="QG209" s="11"/>
      <c r="QH209" s="11"/>
      <c r="QI209" s="11"/>
      <c r="QJ209" s="11"/>
      <c r="QK209" s="11"/>
      <c r="QL209" s="11"/>
      <c r="QM209" s="11"/>
      <c r="QN209" s="11"/>
      <c r="QO209" s="11"/>
      <c r="QP209" s="11"/>
      <c r="QQ209" s="11"/>
      <c r="QR209" s="11"/>
      <c r="QS209" s="11"/>
      <c r="QT209" s="11"/>
      <c r="QU209" s="11"/>
      <c r="QV209" s="11"/>
      <c r="QW209" s="11"/>
      <c r="QX209" s="11"/>
      <c r="QY209" s="11"/>
      <c r="QZ209" s="11"/>
      <c r="RA209" s="11"/>
      <c r="RB209" s="11"/>
      <c r="RC209" s="11"/>
      <c r="RD209" s="11"/>
      <c r="RE209" s="11"/>
      <c r="RF209" s="11"/>
      <c r="RG209" s="11"/>
      <c r="RH209" s="11"/>
      <c r="RI209" s="11"/>
      <c r="RJ209" s="11"/>
      <c r="RK209" s="11"/>
      <c r="RL209" s="11"/>
      <c r="RM209" s="11"/>
      <c r="RN209" s="11"/>
      <c r="RO209" s="11"/>
      <c r="RP209" s="11"/>
      <c r="RQ209" s="11"/>
      <c r="RR209" s="11"/>
      <c r="RS209" s="11"/>
      <c r="RT209" s="11"/>
      <c r="RU209" s="11"/>
      <c r="RV209" s="11"/>
      <c r="RW209" s="11"/>
      <c r="RX209" s="11"/>
      <c r="RY209" s="11"/>
      <c r="RZ209" s="11"/>
      <c r="SA209" s="11"/>
      <c r="SB209" s="11"/>
      <c r="SC209" s="11"/>
      <c r="SD209" s="11"/>
      <c r="SE209" s="11"/>
      <c r="SF209" s="11"/>
      <c r="SG209" s="11"/>
      <c r="SH209" s="11">
        <v>1</v>
      </c>
    </row>
    <row r="210" spans="1:502" x14ac:dyDescent="0.2">
      <c r="A210" s="10">
        <v>2.4137947954409711E-2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>
        <v>1</v>
      </c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/>
      <c r="OY210" s="11"/>
      <c r="OZ210" s="11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1"/>
      <c r="PT210" s="11"/>
      <c r="PU210" s="11"/>
      <c r="PV210" s="11"/>
      <c r="PW210" s="11"/>
      <c r="PX210" s="11"/>
      <c r="PY210" s="11"/>
      <c r="PZ210" s="11"/>
      <c r="QA210" s="11"/>
      <c r="QB210" s="11"/>
      <c r="QC210" s="11"/>
      <c r="QD210" s="11"/>
      <c r="QE210" s="11"/>
      <c r="QF210" s="11"/>
      <c r="QG210" s="11"/>
      <c r="QH210" s="11"/>
      <c r="QI210" s="11"/>
      <c r="QJ210" s="11"/>
      <c r="QK210" s="11"/>
      <c r="QL210" s="11"/>
      <c r="QM210" s="11"/>
      <c r="QN210" s="11"/>
      <c r="QO210" s="11"/>
      <c r="QP210" s="11"/>
      <c r="QQ210" s="11"/>
      <c r="QR210" s="11"/>
      <c r="QS210" s="11"/>
      <c r="QT210" s="11"/>
      <c r="QU210" s="11"/>
      <c r="QV210" s="11"/>
      <c r="QW210" s="11"/>
      <c r="QX210" s="11"/>
      <c r="QY210" s="11"/>
      <c r="QZ210" s="11"/>
      <c r="RA210" s="11"/>
      <c r="RB210" s="11"/>
      <c r="RC210" s="11"/>
      <c r="RD210" s="11"/>
      <c r="RE210" s="11"/>
      <c r="RF210" s="11"/>
      <c r="RG210" s="11"/>
      <c r="RH210" s="11"/>
      <c r="RI210" s="11"/>
      <c r="RJ210" s="11"/>
      <c r="RK210" s="11"/>
      <c r="RL210" s="11"/>
      <c r="RM210" s="11"/>
      <c r="RN210" s="11"/>
      <c r="RO210" s="11"/>
      <c r="RP210" s="11"/>
      <c r="RQ210" s="11"/>
      <c r="RR210" s="11"/>
      <c r="RS210" s="11"/>
      <c r="RT210" s="11"/>
      <c r="RU210" s="11"/>
      <c r="RV210" s="11"/>
      <c r="RW210" s="11"/>
      <c r="RX210" s="11"/>
      <c r="RY210" s="11"/>
      <c r="RZ210" s="11"/>
      <c r="SA210" s="11"/>
      <c r="SB210" s="11"/>
      <c r="SC210" s="11"/>
      <c r="SD210" s="11"/>
      <c r="SE210" s="11"/>
      <c r="SF210" s="11"/>
      <c r="SG210" s="11"/>
      <c r="SH210" s="11">
        <v>1</v>
      </c>
    </row>
    <row r="211" spans="1:502" x14ac:dyDescent="0.2">
      <c r="A211" s="10">
        <v>2.4219854677956457E-2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>
        <v>1</v>
      </c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  <c r="OM211" s="11"/>
      <c r="ON211" s="11"/>
      <c r="OO211" s="11"/>
      <c r="OP211" s="11"/>
      <c r="OQ211" s="11"/>
      <c r="OR211" s="11"/>
      <c r="OS211" s="11"/>
      <c r="OT211" s="11"/>
      <c r="OU211" s="11"/>
      <c r="OV211" s="11"/>
      <c r="OW211" s="11"/>
      <c r="OX211" s="11"/>
      <c r="OY211" s="11"/>
      <c r="OZ211" s="11"/>
      <c r="PA211" s="11"/>
      <c r="PB211" s="11"/>
      <c r="PC211" s="11"/>
      <c r="PD211" s="11"/>
      <c r="PE211" s="11"/>
      <c r="PF211" s="11"/>
      <c r="PG211" s="11"/>
      <c r="PH211" s="11"/>
      <c r="PI211" s="11"/>
      <c r="PJ211" s="11"/>
      <c r="PK211" s="11"/>
      <c r="PL211" s="11"/>
      <c r="PM211" s="11"/>
      <c r="PN211" s="11"/>
      <c r="PO211" s="11"/>
      <c r="PP211" s="11"/>
      <c r="PQ211" s="11"/>
      <c r="PR211" s="11"/>
      <c r="PS211" s="11"/>
      <c r="PT211" s="11"/>
      <c r="PU211" s="11"/>
      <c r="PV211" s="11"/>
      <c r="PW211" s="11"/>
      <c r="PX211" s="11"/>
      <c r="PY211" s="11"/>
      <c r="PZ211" s="11"/>
      <c r="QA211" s="11"/>
      <c r="QB211" s="11"/>
      <c r="QC211" s="11"/>
      <c r="QD211" s="11"/>
      <c r="QE211" s="11"/>
      <c r="QF211" s="11"/>
      <c r="QG211" s="11"/>
      <c r="QH211" s="11"/>
      <c r="QI211" s="11"/>
      <c r="QJ211" s="11"/>
      <c r="QK211" s="11"/>
      <c r="QL211" s="11"/>
      <c r="QM211" s="11"/>
      <c r="QN211" s="11"/>
      <c r="QO211" s="11"/>
      <c r="QP211" s="11"/>
      <c r="QQ211" s="11"/>
      <c r="QR211" s="11"/>
      <c r="QS211" s="11"/>
      <c r="QT211" s="11"/>
      <c r="QU211" s="11"/>
      <c r="QV211" s="11"/>
      <c r="QW211" s="11"/>
      <c r="QX211" s="11"/>
      <c r="QY211" s="11"/>
      <c r="QZ211" s="11"/>
      <c r="RA211" s="11"/>
      <c r="RB211" s="11"/>
      <c r="RC211" s="11"/>
      <c r="RD211" s="11"/>
      <c r="RE211" s="11"/>
      <c r="RF211" s="11"/>
      <c r="RG211" s="11"/>
      <c r="RH211" s="11"/>
      <c r="RI211" s="11"/>
      <c r="RJ211" s="11"/>
      <c r="RK211" s="11"/>
      <c r="RL211" s="11"/>
      <c r="RM211" s="11"/>
      <c r="RN211" s="11"/>
      <c r="RO211" s="11"/>
      <c r="RP211" s="11"/>
      <c r="RQ211" s="11"/>
      <c r="RR211" s="11"/>
      <c r="RS211" s="11"/>
      <c r="RT211" s="11"/>
      <c r="RU211" s="11"/>
      <c r="RV211" s="11"/>
      <c r="RW211" s="11"/>
      <c r="RX211" s="11"/>
      <c r="RY211" s="11"/>
      <c r="RZ211" s="11"/>
      <c r="SA211" s="11"/>
      <c r="SB211" s="11"/>
      <c r="SC211" s="11"/>
      <c r="SD211" s="11"/>
      <c r="SE211" s="11"/>
      <c r="SF211" s="11"/>
      <c r="SG211" s="11"/>
      <c r="SH211" s="11">
        <v>1</v>
      </c>
    </row>
    <row r="212" spans="1:502" x14ac:dyDescent="0.2">
      <c r="A212" s="10">
        <v>2.431736754313589E-2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>
        <v>1</v>
      </c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  <c r="OM212" s="11"/>
      <c r="ON212" s="11"/>
      <c r="OO212" s="11"/>
      <c r="OP212" s="11"/>
      <c r="OQ212" s="11"/>
      <c r="OR212" s="11"/>
      <c r="OS212" s="11"/>
      <c r="OT212" s="11"/>
      <c r="OU212" s="11"/>
      <c r="OV212" s="11"/>
      <c r="OW212" s="11"/>
      <c r="OX212" s="11"/>
      <c r="OY212" s="11"/>
      <c r="OZ212" s="11"/>
      <c r="PA212" s="11"/>
      <c r="PB212" s="11"/>
      <c r="PC212" s="11"/>
      <c r="PD212" s="11"/>
      <c r="PE212" s="11"/>
      <c r="PF212" s="11"/>
      <c r="PG212" s="11"/>
      <c r="PH212" s="11"/>
      <c r="PI212" s="11"/>
      <c r="PJ212" s="11"/>
      <c r="PK212" s="11"/>
      <c r="PL212" s="11"/>
      <c r="PM212" s="11"/>
      <c r="PN212" s="11"/>
      <c r="PO212" s="11"/>
      <c r="PP212" s="11"/>
      <c r="PQ212" s="11"/>
      <c r="PR212" s="11"/>
      <c r="PS212" s="11"/>
      <c r="PT212" s="11"/>
      <c r="PU212" s="11"/>
      <c r="PV212" s="11"/>
      <c r="PW212" s="11"/>
      <c r="PX212" s="11"/>
      <c r="PY212" s="11"/>
      <c r="PZ212" s="11"/>
      <c r="QA212" s="11"/>
      <c r="QB212" s="11"/>
      <c r="QC212" s="11"/>
      <c r="QD212" s="11"/>
      <c r="QE212" s="11"/>
      <c r="QF212" s="11"/>
      <c r="QG212" s="11"/>
      <c r="QH212" s="11"/>
      <c r="QI212" s="11"/>
      <c r="QJ212" s="11"/>
      <c r="QK212" s="11"/>
      <c r="QL212" s="11"/>
      <c r="QM212" s="11"/>
      <c r="QN212" s="11"/>
      <c r="QO212" s="11"/>
      <c r="QP212" s="11"/>
      <c r="QQ212" s="11"/>
      <c r="QR212" s="11"/>
      <c r="QS212" s="11"/>
      <c r="QT212" s="11"/>
      <c r="QU212" s="11"/>
      <c r="QV212" s="11"/>
      <c r="QW212" s="11"/>
      <c r="QX212" s="11"/>
      <c r="QY212" s="11"/>
      <c r="QZ212" s="11"/>
      <c r="RA212" s="11"/>
      <c r="RB212" s="11"/>
      <c r="RC212" s="11"/>
      <c r="RD212" s="11"/>
      <c r="RE212" s="11"/>
      <c r="RF212" s="11"/>
      <c r="RG212" s="11"/>
      <c r="RH212" s="11"/>
      <c r="RI212" s="11"/>
      <c r="RJ212" s="11"/>
      <c r="RK212" s="11"/>
      <c r="RL212" s="11"/>
      <c r="RM212" s="11"/>
      <c r="RN212" s="11"/>
      <c r="RO212" s="11"/>
      <c r="RP212" s="11"/>
      <c r="RQ212" s="11"/>
      <c r="RR212" s="11"/>
      <c r="RS212" s="11"/>
      <c r="RT212" s="11"/>
      <c r="RU212" s="11"/>
      <c r="RV212" s="11"/>
      <c r="RW212" s="11"/>
      <c r="RX212" s="11"/>
      <c r="RY212" s="11"/>
      <c r="RZ212" s="11"/>
      <c r="SA212" s="11"/>
      <c r="SB212" s="11"/>
      <c r="SC212" s="11"/>
      <c r="SD212" s="11"/>
      <c r="SE212" s="11"/>
      <c r="SF212" s="11"/>
      <c r="SG212" s="11"/>
      <c r="SH212" s="11">
        <v>1</v>
      </c>
    </row>
    <row r="213" spans="1:502" x14ac:dyDescent="0.2">
      <c r="A213" s="10">
        <v>2.4461814897151685E-2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>
        <v>1</v>
      </c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  <c r="OM213" s="11"/>
      <c r="ON213" s="11"/>
      <c r="OO213" s="11"/>
      <c r="OP213" s="11"/>
      <c r="OQ213" s="11"/>
      <c r="OR213" s="11"/>
      <c r="OS213" s="11"/>
      <c r="OT213" s="11"/>
      <c r="OU213" s="11"/>
      <c r="OV213" s="11"/>
      <c r="OW213" s="11"/>
      <c r="OX213" s="11"/>
      <c r="OY213" s="11"/>
      <c r="OZ213" s="11"/>
      <c r="PA213" s="11"/>
      <c r="PB213" s="11"/>
      <c r="PC213" s="11"/>
      <c r="PD213" s="11"/>
      <c r="PE213" s="11"/>
      <c r="PF213" s="11"/>
      <c r="PG213" s="11"/>
      <c r="PH213" s="11"/>
      <c r="PI213" s="11"/>
      <c r="PJ213" s="11"/>
      <c r="PK213" s="11"/>
      <c r="PL213" s="11"/>
      <c r="PM213" s="11"/>
      <c r="PN213" s="11"/>
      <c r="PO213" s="11"/>
      <c r="PP213" s="11"/>
      <c r="PQ213" s="11"/>
      <c r="PR213" s="11"/>
      <c r="PS213" s="11"/>
      <c r="PT213" s="11"/>
      <c r="PU213" s="11"/>
      <c r="PV213" s="11"/>
      <c r="PW213" s="11"/>
      <c r="PX213" s="11"/>
      <c r="PY213" s="11"/>
      <c r="PZ213" s="11"/>
      <c r="QA213" s="11"/>
      <c r="QB213" s="11"/>
      <c r="QC213" s="11"/>
      <c r="QD213" s="11"/>
      <c r="QE213" s="11"/>
      <c r="QF213" s="11"/>
      <c r="QG213" s="11"/>
      <c r="QH213" s="11"/>
      <c r="QI213" s="11"/>
      <c r="QJ213" s="11"/>
      <c r="QK213" s="11"/>
      <c r="QL213" s="11"/>
      <c r="QM213" s="11"/>
      <c r="QN213" s="11"/>
      <c r="QO213" s="11"/>
      <c r="QP213" s="11"/>
      <c r="QQ213" s="11"/>
      <c r="QR213" s="11"/>
      <c r="QS213" s="11"/>
      <c r="QT213" s="11"/>
      <c r="QU213" s="11"/>
      <c r="QV213" s="11"/>
      <c r="QW213" s="11"/>
      <c r="QX213" s="11"/>
      <c r="QY213" s="11"/>
      <c r="QZ213" s="11"/>
      <c r="RA213" s="11"/>
      <c r="RB213" s="11"/>
      <c r="RC213" s="11"/>
      <c r="RD213" s="11"/>
      <c r="RE213" s="11"/>
      <c r="RF213" s="11"/>
      <c r="RG213" s="11"/>
      <c r="RH213" s="11"/>
      <c r="RI213" s="11"/>
      <c r="RJ213" s="11"/>
      <c r="RK213" s="11"/>
      <c r="RL213" s="11"/>
      <c r="RM213" s="11"/>
      <c r="RN213" s="11"/>
      <c r="RO213" s="11"/>
      <c r="RP213" s="11"/>
      <c r="RQ213" s="11"/>
      <c r="RR213" s="11"/>
      <c r="RS213" s="11"/>
      <c r="RT213" s="11"/>
      <c r="RU213" s="11"/>
      <c r="RV213" s="11"/>
      <c r="RW213" s="11"/>
      <c r="RX213" s="11"/>
      <c r="RY213" s="11"/>
      <c r="RZ213" s="11"/>
      <c r="SA213" s="11"/>
      <c r="SB213" s="11"/>
      <c r="SC213" s="11"/>
      <c r="SD213" s="11"/>
      <c r="SE213" s="11"/>
      <c r="SF213" s="11"/>
      <c r="SG213" s="11"/>
      <c r="SH213" s="11">
        <v>1</v>
      </c>
    </row>
    <row r="214" spans="1:502" x14ac:dyDescent="0.2">
      <c r="A214" s="10">
        <v>2.4493154258644186E-2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  <c r="OM214" s="11"/>
      <c r="ON214" s="11"/>
      <c r="OO214" s="11"/>
      <c r="OP214" s="11"/>
      <c r="OQ214" s="11"/>
      <c r="OR214" s="11"/>
      <c r="OS214" s="11"/>
      <c r="OT214" s="11"/>
      <c r="OU214" s="11"/>
      <c r="OV214" s="11"/>
      <c r="OW214" s="11"/>
      <c r="OX214" s="11"/>
      <c r="OY214" s="11"/>
      <c r="OZ214" s="11"/>
      <c r="PA214" s="11"/>
      <c r="PB214" s="11"/>
      <c r="PC214" s="11"/>
      <c r="PD214" s="11"/>
      <c r="PE214" s="11"/>
      <c r="PF214" s="11"/>
      <c r="PG214" s="11"/>
      <c r="PH214" s="11"/>
      <c r="PI214" s="11"/>
      <c r="PJ214" s="11"/>
      <c r="PK214" s="11"/>
      <c r="PL214" s="11"/>
      <c r="PM214" s="11"/>
      <c r="PN214" s="11"/>
      <c r="PO214" s="11"/>
      <c r="PP214" s="11"/>
      <c r="PQ214" s="11"/>
      <c r="PR214" s="11"/>
      <c r="PS214" s="11"/>
      <c r="PT214" s="11"/>
      <c r="PU214" s="11"/>
      <c r="PV214" s="11"/>
      <c r="PW214" s="11"/>
      <c r="PX214" s="11"/>
      <c r="PY214" s="11"/>
      <c r="PZ214" s="11"/>
      <c r="QA214" s="11"/>
      <c r="QB214" s="11"/>
      <c r="QC214" s="11"/>
      <c r="QD214" s="11"/>
      <c r="QE214" s="11"/>
      <c r="QF214" s="11"/>
      <c r="QG214" s="11"/>
      <c r="QH214" s="11"/>
      <c r="QI214" s="11"/>
      <c r="QJ214" s="11"/>
      <c r="QK214" s="11"/>
      <c r="QL214" s="11"/>
      <c r="QM214" s="11"/>
      <c r="QN214" s="11"/>
      <c r="QO214" s="11"/>
      <c r="QP214" s="11"/>
      <c r="QQ214" s="11"/>
      <c r="QR214" s="11"/>
      <c r="QS214" s="11"/>
      <c r="QT214" s="11"/>
      <c r="QU214" s="11"/>
      <c r="QV214" s="11"/>
      <c r="QW214" s="11"/>
      <c r="QX214" s="11"/>
      <c r="QY214" s="11"/>
      <c r="QZ214" s="11"/>
      <c r="RA214" s="11"/>
      <c r="RB214" s="11"/>
      <c r="RC214" s="11"/>
      <c r="RD214" s="11"/>
      <c r="RE214" s="11"/>
      <c r="RF214" s="11"/>
      <c r="RG214" s="11"/>
      <c r="RH214" s="11"/>
      <c r="RI214" s="11"/>
      <c r="RJ214" s="11"/>
      <c r="RK214" s="11"/>
      <c r="RL214" s="11"/>
      <c r="RM214" s="11"/>
      <c r="RN214" s="11"/>
      <c r="RO214" s="11"/>
      <c r="RP214" s="11"/>
      <c r="RQ214" s="11"/>
      <c r="RR214" s="11"/>
      <c r="RS214" s="11"/>
      <c r="RT214" s="11"/>
      <c r="RU214" s="11"/>
      <c r="RV214" s="11"/>
      <c r="RW214" s="11"/>
      <c r="RX214" s="11"/>
      <c r="RY214" s="11"/>
      <c r="RZ214" s="11"/>
      <c r="SA214" s="11"/>
      <c r="SB214" s="11">
        <v>1</v>
      </c>
      <c r="SC214" s="11"/>
      <c r="SD214" s="11"/>
      <c r="SE214" s="11"/>
      <c r="SF214" s="11"/>
      <c r="SG214" s="11"/>
      <c r="SH214" s="11">
        <v>1</v>
      </c>
    </row>
    <row r="215" spans="1:502" x14ac:dyDescent="0.2">
      <c r="A215" s="10">
        <v>2.4494401678515746E-2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>
        <v>1</v>
      </c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  <c r="OM215" s="11"/>
      <c r="ON215" s="11"/>
      <c r="OO215" s="11"/>
      <c r="OP215" s="11"/>
      <c r="OQ215" s="11"/>
      <c r="OR215" s="11"/>
      <c r="OS215" s="11"/>
      <c r="OT215" s="11"/>
      <c r="OU215" s="11"/>
      <c r="OV215" s="11"/>
      <c r="OW215" s="11"/>
      <c r="OX215" s="11"/>
      <c r="OY215" s="11"/>
      <c r="OZ215" s="11"/>
      <c r="PA215" s="11"/>
      <c r="PB215" s="11"/>
      <c r="PC215" s="11"/>
      <c r="PD215" s="11"/>
      <c r="PE215" s="11"/>
      <c r="PF215" s="11"/>
      <c r="PG215" s="11"/>
      <c r="PH215" s="11"/>
      <c r="PI215" s="11"/>
      <c r="PJ215" s="11"/>
      <c r="PK215" s="11"/>
      <c r="PL215" s="11"/>
      <c r="PM215" s="11"/>
      <c r="PN215" s="11"/>
      <c r="PO215" s="11"/>
      <c r="PP215" s="11"/>
      <c r="PQ215" s="11"/>
      <c r="PR215" s="11"/>
      <c r="PS215" s="11"/>
      <c r="PT215" s="11"/>
      <c r="PU215" s="11"/>
      <c r="PV215" s="11"/>
      <c r="PW215" s="11"/>
      <c r="PX215" s="11"/>
      <c r="PY215" s="11"/>
      <c r="PZ215" s="11"/>
      <c r="QA215" s="11"/>
      <c r="QB215" s="11"/>
      <c r="QC215" s="11"/>
      <c r="QD215" s="11"/>
      <c r="QE215" s="11"/>
      <c r="QF215" s="11"/>
      <c r="QG215" s="11"/>
      <c r="QH215" s="11"/>
      <c r="QI215" s="11"/>
      <c r="QJ215" s="11"/>
      <c r="QK215" s="11"/>
      <c r="QL215" s="11"/>
      <c r="QM215" s="11"/>
      <c r="QN215" s="11"/>
      <c r="QO215" s="11"/>
      <c r="QP215" s="11"/>
      <c r="QQ215" s="11"/>
      <c r="QR215" s="11"/>
      <c r="QS215" s="11"/>
      <c r="QT215" s="11"/>
      <c r="QU215" s="11"/>
      <c r="QV215" s="11"/>
      <c r="QW215" s="11"/>
      <c r="QX215" s="11"/>
      <c r="QY215" s="11"/>
      <c r="QZ215" s="11"/>
      <c r="RA215" s="11"/>
      <c r="RB215" s="11"/>
      <c r="RC215" s="11"/>
      <c r="RD215" s="11"/>
      <c r="RE215" s="11"/>
      <c r="RF215" s="11"/>
      <c r="RG215" s="11"/>
      <c r="RH215" s="11"/>
      <c r="RI215" s="11"/>
      <c r="RJ215" s="11"/>
      <c r="RK215" s="11"/>
      <c r="RL215" s="11"/>
      <c r="RM215" s="11"/>
      <c r="RN215" s="11"/>
      <c r="RO215" s="11"/>
      <c r="RP215" s="11"/>
      <c r="RQ215" s="11"/>
      <c r="RR215" s="11"/>
      <c r="RS215" s="11"/>
      <c r="RT215" s="11"/>
      <c r="RU215" s="11"/>
      <c r="RV215" s="11"/>
      <c r="RW215" s="11"/>
      <c r="RX215" s="11"/>
      <c r="RY215" s="11"/>
      <c r="RZ215" s="11"/>
      <c r="SA215" s="11"/>
      <c r="SB215" s="11"/>
      <c r="SC215" s="11"/>
      <c r="SD215" s="11"/>
      <c r="SE215" s="11"/>
      <c r="SF215" s="11"/>
      <c r="SG215" s="11"/>
      <c r="SH215" s="11">
        <v>1</v>
      </c>
    </row>
    <row r="216" spans="1:502" x14ac:dyDescent="0.2">
      <c r="A216" s="10">
        <v>2.4523755327900056E-2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>
        <v>1</v>
      </c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  <c r="OM216" s="11"/>
      <c r="ON216" s="11"/>
      <c r="OO216" s="11"/>
      <c r="OP216" s="11"/>
      <c r="OQ216" s="11"/>
      <c r="OR216" s="11"/>
      <c r="OS216" s="11"/>
      <c r="OT216" s="11"/>
      <c r="OU216" s="11"/>
      <c r="OV216" s="11"/>
      <c r="OW216" s="11"/>
      <c r="OX216" s="11"/>
      <c r="OY216" s="11"/>
      <c r="OZ216" s="11"/>
      <c r="PA216" s="11"/>
      <c r="PB216" s="11"/>
      <c r="PC216" s="11"/>
      <c r="PD216" s="11"/>
      <c r="PE216" s="11"/>
      <c r="PF216" s="11"/>
      <c r="PG216" s="11"/>
      <c r="PH216" s="11"/>
      <c r="PI216" s="11"/>
      <c r="PJ216" s="11"/>
      <c r="PK216" s="11"/>
      <c r="PL216" s="11"/>
      <c r="PM216" s="11"/>
      <c r="PN216" s="11"/>
      <c r="PO216" s="11"/>
      <c r="PP216" s="11"/>
      <c r="PQ216" s="11"/>
      <c r="PR216" s="11"/>
      <c r="PS216" s="11"/>
      <c r="PT216" s="11"/>
      <c r="PU216" s="11"/>
      <c r="PV216" s="11"/>
      <c r="PW216" s="11"/>
      <c r="PX216" s="11"/>
      <c r="PY216" s="11"/>
      <c r="PZ216" s="11"/>
      <c r="QA216" s="11"/>
      <c r="QB216" s="11"/>
      <c r="QC216" s="11"/>
      <c r="QD216" s="11"/>
      <c r="QE216" s="11"/>
      <c r="QF216" s="11"/>
      <c r="QG216" s="11"/>
      <c r="QH216" s="11"/>
      <c r="QI216" s="11"/>
      <c r="QJ216" s="11"/>
      <c r="QK216" s="11"/>
      <c r="QL216" s="11"/>
      <c r="QM216" s="11"/>
      <c r="QN216" s="11"/>
      <c r="QO216" s="11"/>
      <c r="QP216" s="11"/>
      <c r="QQ216" s="11"/>
      <c r="QR216" s="11"/>
      <c r="QS216" s="11"/>
      <c r="QT216" s="11"/>
      <c r="QU216" s="11"/>
      <c r="QV216" s="11"/>
      <c r="QW216" s="11"/>
      <c r="QX216" s="11"/>
      <c r="QY216" s="11"/>
      <c r="QZ216" s="11"/>
      <c r="RA216" s="11"/>
      <c r="RB216" s="11"/>
      <c r="RC216" s="11"/>
      <c r="RD216" s="11"/>
      <c r="RE216" s="11"/>
      <c r="RF216" s="11"/>
      <c r="RG216" s="11"/>
      <c r="RH216" s="11"/>
      <c r="RI216" s="11"/>
      <c r="RJ216" s="11"/>
      <c r="RK216" s="11"/>
      <c r="RL216" s="11"/>
      <c r="RM216" s="11"/>
      <c r="RN216" s="11"/>
      <c r="RO216" s="11"/>
      <c r="RP216" s="11"/>
      <c r="RQ216" s="11"/>
      <c r="RR216" s="11"/>
      <c r="RS216" s="11"/>
      <c r="RT216" s="11"/>
      <c r="RU216" s="11"/>
      <c r="RV216" s="11"/>
      <c r="RW216" s="11"/>
      <c r="RX216" s="11"/>
      <c r="RY216" s="11"/>
      <c r="RZ216" s="11"/>
      <c r="SA216" s="11"/>
      <c r="SB216" s="11"/>
      <c r="SC216" s="11"/>
      <c r="SD216" s="11"/>
      <c r="SE216" s="11"/>
      <c r="SF216" s="11"/>
      <c r="SG216" s="11"/>
      <c r="SH216" s="11">
        <v>1</v>
      </c>
    </row>
    <row r="217" spans="1:502" x14ac:dyDescent="0.2">
      <c r="A217" s="10">
        <v>2.452382002915653E-2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>
        <v>1</v>
      </c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  <c r="OM217" s="11"/>
      <c r="ON217" s="11"/>
      <c r="OO217" s="11"/>
      <c r="OP217" s="11"/>
      <c r="OQ217" s="11"/>
      <c r="OR217" s="11"/>
      <c r="OS217" s="11"/>
      <c r="OT217" s="11"/>
      <c r="OU217" s="11"/>
      <c r="OV217" s="11"/>
      <c r="OW217" s="11"/>
      <c r="OX217" s="11"/>
      <c r="OY217" s="11"/>
      <c r="OZ217" s="11"/>
      <c r="PA217" s="11"/>
      <c r="PB217" s="11"/>
      <c r="PC217" s="11"/>
      <c r="PD217" s="11"/>
      <c r="PE217" s="11"/>
      <c r="PF217" s="11"/>
      <c r="PG217" s="11"/>
      <c r="PH217" s="11"/>
      <c r="PI217" s="11"/>
      <c r="PJ217" s="11"/>
      <c r="PK217" s="11"/>
      <c r="PL217" s="11"/>
      <c r="PM217" s="11"/>
      <c r="PN217" s="11"/>
      <c r="PO217" s="11"/>
      <c r="PP217" s="11"/>
      <c r="PQ217" s="11"/>
      <c r="PR217" s="11"/>
      <c r="PS217" s="11"/>
      <c r="PT217" s="11"/>
      <c r="PU217" s="11"/>
      <c r="PV217" s="11"/>
      <c r="PW217" s="11"/>
      <c r="PX217" s="11"/>
      <c r="PY217" s="11"/>
      <c r="PZ217" s="11"/>
      <c r="QA217" s="11"/>
      <c r="QB217" s="11"/>
      <c r="QC217" s="11"/>
      <c r="QD217" s="11"/>
      <c r="QE217" s="11"/>
      <c r="QF217" s="11"/>
      <c r="QG217" s="11"/>
      <c r="QH217" s="11"/>
      <c r="QI217" s="11"/>
      <c r="QJ217" s="11"/>
      <c r="QK217" s="11"/>
      <c r="QL217" s="11"/>
      <c r="QM217" s="11"/>
      <c r="QN217" s="11"/>
      <c r="QO217" s="11"/>
      <c r="QP217" s="11"/>
      <c r="QQ217" s="11"/>
      <c r="QR217" s="11"/>
      <c r="QS217" s="11"/>
      <c r="QT217" s="11"/>
      <c r="QU217" s="11"/>
      <c r="QV217" s="11"/>
      <c r="QW217" s="11"/>
      <c r="QX217" s="11"/>
      <c r="QY217" s="11"/>
      <c r="QZ217" s="11"/>
      <c r="RA217" s="11"/>
      <c r="RB217" s="11"/>
      <c r="RC217" s="11"/>
      <c r="RD217" s="11"/>
      <c r="RE217" s="11"/>
      <c r="RF217" s="11"/>
      <c r="RG217" s="11"/>
      <c r="RH217" s="11"/>
      <c r="RI217" s="11"/>
      <c r="RJ217" s="11"/>
      <c r="RK217" s="11"/>
      <c r="RL217" s="11"/>
      <c r="RM217" s="11"/>
      <c r="RN217" s="11"/>
      <c r="RO217" s="11"/>
      <c r="RP217" s="11"/>
      <c r="RQ217" s="11"/>
      <c r="RR217" s="11"/>
      <c r="RS217" s="11"/>
      <c r="RT217" s="11"/>
      <c r="RU217" s="11"/>
      <c r="RV217" s="11"/>
      <c r="RW217" s="11"/>
      <c r="RX217" s="11"/>
      <c r="RY217" s="11"/>
      <c r="RZ217" s="11"/>
      <c r="SA217" s="11"/>
      <c r="SB217" s="11"/>
      <c r="SC217" s="11"/>
      <c r="SD217" s="11"/>
      <c r="SE217" s="11"/>
      <c r="SF217" s="11"/>
      <c r="SG217" s="11"/>
      <c r="SH217" s="11">
        <v>1</v>
      </c>
    </row>
    <row r="218" spans="1:502" x14ac:dyDescent="0.2">
      <c r="A218" s="10">
        <v>2.4530239760183557E-2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  <c r="OM218" s="11"/>
      <c r="ON218" s="11"/>
      <c r="OO218" s="11"/>
      <c r="OP218" s="11"/>
      <c r="OQ218" s="11"/>
      <c r="OR218" s="11"/>
      <c r="OS218" s="11"/>
      <c r="OT218" s="11"/>
      <c r="OU218" s="11"/>
      <c r="OV218" s="11"/>
      <c r="OW218" s="11"/>
      <c r="OX218" s="11"/>
      <c r="OY218" s="11"/>
      <c r="OZ218" s="11"/>
      <c r="PA218" s="11"/>
      <c r="PB218" s="11"/>
      <c r="PC218" s="11"/>
      <c r="PD218" s="11"/>
      <c r="PE218" s="11"/>
      <c r="PF218" s="11"/>
      <c r="PG218" s="11"/>
      <c r="PH218" s="11"/>
      <c r="PI218" s="11"/>
      <c r="PJ218" s="11"/>
      <c r="PK218" s="11"/>
      <c r="PL218" s="11"/>
      <c r="PM218" s="11"/>
      <c r="PN218" s="11"/>
      <c r="PO218" s="11"/>
      <c r="PP218" s="11"/>
      <c r="PQ218" s="11"/>
      <c r="PR218" s="11"/>
      <c r="PS218" s="11"/>
      <c r="PT218" s="11"/>
      <c r="PU218" s="11"/>
      <c r="PV218" s="11"/>
      <c r="PW218" s="11"/>
      <c r="PX218" s="11"/>
      <c r="PY218" s="11"/>
      <c r="PZ218" s="11"/>
      <c r="QA218" s="11"/>
      <c r="QB218" s="11"/>
      <c r="QC218" s="11"/>
      <c r="QD218" s="11"/>
      <c r="QE218" s="11"/>
      <c r="QF218" s="11"/>
      <c r="QG218" s="11"/>
      <c r="QH218" s="11"/>
      <c r="QI218" s="11"/>
      <c r="QJ218" s="11"/>
      <c r="QK218" s="11"/>
      <c r="QL218" s="11"/>
      <c r="QM218" s="11"/>
      <c r="QN218" s="11"/>
      <c r="QO218" s="11"/>
      <c r="QP218" s="11"/>
      <c r="QQ218" s="11"/>
      <c r="QR218" s="11"/>
      <c r="QS218" s="11"/>
      <c r="QT218" s="11"/>
      <c r="QU218" s="11"/>
      <c r="QV218" s="11"/>
      <c r="QW218" s="11"/>
      <c r="QX218" s="11"/>
      <c r="QY218" s="11"/>
      <c r="QZ218" s="11"/>
      <c r="RA218" s="11"/>
      <c r="RB218" s="11"/>
      <c r="RC218" s="11"/>
      <c r="RD218" s="11"/>
      <c r="RE218" s="11"/>
      <c r="RF218" s="11"/>
      <c r="RG218" s="11"/>
      <c r="RH218" s="11"/>
      <c r="RI218" s="11"/>
      <c r="RJ218" s="11"/>
      <c r="RK218" s="11"/>
      <c r="RL218" s="11"/>
      <c r="RM218" s="11"/>
      <c r="RN218" s="11"/>
      <c r="RO218" s="11"/>
      <c r="RP218" s="11"/>
      <c r="RQ218" s="11"/>
      <c r="RR218" s="11"/>
      <c r="RS218" s="11"/>
      <c r="RT218" s="11"/>
      <c r="RU218" s="11"/>
      <c r="RV218" s="11"/>
      <c r="RW218" s="11"/>
      <c r="RX218" s="11"/>
      <c r="RY218" s="11"/>
      <c r="RZ218" s="11"/>
      <c r="SA218" s="11"/>
      <c r="SB218" s="11"/>
      <c r="SC218" s="11"/>
      <c r="SD218" s="11"/>
      <c r="SE218" s="11">
        <v>1</v>
      </c>
      <c r="SF218" s="11"/>
      <c r="SG218" s="11"/>
      <c r="SH218" s="11">
        <v>1</v>
      </c>
    </row>
    <row r="219" spans="1:502" x14ac:dyDescent="0.2">
      <c r="A219" s="10">
        <v>2.4535619033256025E-2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>
        <v>1</v>
      </c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  <c r="OM219" s="11"/>
      <c r="ON219" s="11"/>
      <c r="OO219" s="11"/>
      <c r="OP219" s="11"/>
      <c r="OQ219" s="11"/>
      <c r="OR219" s="11"/>
      <c r="OS219" s="11"/>
      <c r="OT219" s="11"/>
      <c r="OU219" s="11"/>
      <c r="OV219" s="11"/>
      <c r="OW219" s="11"/>
      <c r="OX219" s="11"/>
      <c r="OY219" s="11"/>
      <c r="OZ219" s="11"/>
      <c r="PA219" s="11"/>
      <c r="PB219" s="11"/>
      <c r="PC219" s="11"/>
      <c r="PD219" s="11"/>
      <c r="PE219" s="11"/>
      <c r="PF219" s="11"/>
      <c r="PG219" s="11"/>
      <c r="PH219" s="11"/>
      <c r="PI219" s="11"/>
      <c r="PJ219" s="11"/>
      <c r="PK219" s="11"/>
      <c r="PL219" s="11"/>
      <c r="PM219" s="11"/>
      <c r="PN219" s="11"/>
      <c r="PO219" s="11"/>
      <c r="PP219" s="11"/>
      <c r="PQ219" s="11"/>
      <c r="PR219" s="11"/>
      <c r="PS219" s="11"/>
      <c r="PT219" s="11"/>
      <c r="PU219" s="11"/>
      <c r="PV219" s="11"/>
      <c r="PW219" s="11"/>
      <c r="PX219" s="11"/>
      <c r="PY219" s="11"/>
      <c r="PZ219" s="11"/>
      <c r="QA219" s="11"/>
      <c r="QB219" s="11"/>
      <c r="QC219" s="11"/>
      <c r="QD219" s="11"/>
      <c r="QE219" s="11"/>
      <c r="QF219" s="11"/>
      <c r="QG219" s="11"/>
      <c r="QH219" s="11"/>
      <c r="QI219" s="11"/>
      <c r="QJ219" s="11"/>
      <c r="QK219" s="11"/>
      <c r="QL219" s="11"/>
      <c r="QM219" s="11"/>
      <c r="QN219" s="11"/>
      <c r="QO219" s="11"/>
      <c r="QP219" s="11"/>
      <c r="QQ219" s="11"/>
      <c r="QR219" s="11"/>
      <c r="QS219" s="11"/>
      <c r="QT219" s="11"/>
      <c r="QU219" s="11"/>
      <c r="QV219" s="11"/>
      <c r="QW219" s="11"/>
      <c r="QX219" s="11"/>
      <c r="QY219" s="11"/>
      <c r="QZ219" s="11"/>
      <c r="RA219" s="11"/>
      <c r="RB219" s="11"/>
      <c r="RC219" s="11"/>
      <c r="RD219" s="11"/>
      <c r="RE219" s="11"/>
      <c r="RF219" s="11"/>
      <c r="RG219" s="11"/>
      <c r="RH219" s="11"/>
      <c r="RI219" s="11"/>
      <c r="RJ219" s="11"/>
      <c r="RK219" s="11"/>
      <c r="RL219" s="11"/>
      <c r="RM219" s="11"/>
      <c r="RN219" s="11"/>
      <c r="RO219" s="11"/>
      <c r="RP219" s="11"/>
      <c r="RQ219" s="11"/>
      <c r="RR219" s="11"/>
      <c r="RS219" s="11"/>
      <c r="RT219" s="11"/>
      <c r="RU219" s="11"/>
      <c r="RV219" s="11"/>
      <c r="RW219" s="11"/>
      <c r="RX219" s="11"/>
      <c r="RY219" s="11"/>
      <c r="RZ219" s="11"/>
      <c r="SA219" s="11"/>
      <c r="SB219" s="11"/>
      <c r="SC219" s="11"/>
      <c r="SD219" s="11"/>
      <c r="SE219" s="11"/>
      <c r="SF219" s="11"/>
      <c r="SG219" s="11"/>
      <c r="SH219" s="11">
        <v>1</v>
      </c>
    </row>
    <row r="220" spans="1:502" x14ac:dyDescent="0.2">
      <c r="A220" s="10">
        <v>2.4551565726485855E-2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>
        <v>1</v>
      </c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  <c r="OM220" s="11"/>
      <c r="ON220" s="11"/>
      <c r="OO220" s="11"/>
      <c r="OP220" s="11"/>
      <c r="OQ220" s="11"/>
      <c r="OR220" s="11"/>
      <c r="OS220" s="11"/>
      <c r="OT220" s="11"/>
      <c r="OU220" s="11"/>
      <c r="OV220" s="11"/>
      <c r="OW220" s="11"/>
      <c r="OX220" s="11"/>
      <c r="OY220" s="11"/>
      <c r="OZ220" s="11"/>
      <c r="PA220" s="11"/>
      <c r="PB220" s="11"/>
      <c r="PC220" s="11"/>
      <c r="PD220" s="11"/>
      <c r="PE220" s="11"/>
      <c r="PF220" s="11"/>
      <c r="PG220" s="11"/>
      <c r="PH220" s="11"/>
      <c r="PI220" s="11"/>
      <c r="PJ220" s="11"/>
      <c r="PK220" s="11"/>
      <c r="PL220" s="11"/>
      <c r="PM220" s="11"/>
      <c r="PN220" s="11"/>
      <c r="PO220" s="11"/>
      <c r="PP220" s="11"/>
      <c r="PQ220" s="11"/>
      <c r="PR220" s="11"/>
      <c r="PS220" s="11"/>
      <c r="PT220" s="11"/>
      <c r="PU220" s="11"/>
      <c r="PV220" s="11"/>
      <c r="PW220" s="11"/>
      <c r="PX220" s="11"/>
      <c r="PY220" s="11"/>
      <c r="PZ220" s="11"/>
      <c r="QA220" s="11"/>
      <c r="QB220" s="11"/>
      <c r="QC220" s="11"/>
      <c r="QD220" s="11"/>
      <c r="QE220" s="11"/>
      <c r="QF220" s="11"/>
      <c r="QG220" s="11"/>
      <c r="QH220" s="11"/>
      <c r="QI220" s="11"/>
      <c r="QJ220" s="11"/>
      <c r="QK220" s="11"/>
      <c r="QL220" s="11"/>
      <c r="QM220" s="11"/>
      <c r="QN220" s="11"/>
      <c r="QO220" s="11"/>
      <c r="QP220" s="11"/>
      <c r="QQ220" s="11"/>
      <c r="QR220" s="11"/>
      <c r="QS220" s="11"/>
      <c r="QT220" s="11"/>
      <c r="QU220" s="11"/>
      <c r="QV220" s="11"/>
      <c r="QW220" s="11"/>
      <c r="QX220" s="11"/>
      <c r="QY220" s="11"/>
      <c r="QZ220" s="11"/>
      <c r="RA220" s="11"/>
      <c r="RB220" s="11"/>
      <c r="RC220" s="11"/>
      <c r="RD220" s="11"/>
      <c r="RE220" s="11"/>
      <c r="RF220" s="11"/>
      <c r="RG220" s="11"/>
      <c r="RH220" s="11"/>
      <c r="RI220" s="11"/>
      <c r="RJ220" s="11"/>
      <c r="RK220" s="11"/>
      <c r="RL220" s="11"/>
      <c r="RM220" s="11"/>
      <c r="RN220" s="11"/>
      <c r="RO220" s="11"/>
      <c r="RP220" s="11"/>
      <c r="RQ220" s="11"/>
      <c r="RR220" s="11"/>
      <c r="RS220" s="11"/>
      <c r="RT220" s="11"/>
      <c r="RU220" s="11"/>
      <c r="RV220" s="11"/>
      <c r="RW220" s="11"/>
      <c r="RX220" s="11"/>
      <c r="RY220" s="11"/>
      <c r="RZ220" s="11"/>
      <c r="SA220" s="11"/>
      <c r="SB220" s="11"/>
      <c r="SC220" s="11"/>
      <c r="SD220" s="11"/>
      <c r="SE220" s="11"/>
      <c r="SF220" s="11"/>
      <c r="SG220" s="11"/>
      <c r="SH220" s="11">
        <v>1</v>
      </c>
    </row>
    <row r="221" spans="1:502" x14ac:dyDescent="0.2">
      <c r="A221" s="10">
        <v>2.4639346329802452E-2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>
        <v>1</v>
      </c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  <c r="OM221" s="11"/>
      <c r="ON221" s="11"/>
      <c r="OO221" s="11"/>
      <c r="OP221" s="11"/>
      <c r="OQ221" s="11"/>
      <c r="OR221" s="11"/>
      <c r="OS221" s="11"/>
      <c r="OT221" s="11"/>
      <c r="OU221" s="11"/>
      <c r="OV221" s="11"/>
      <c r="OW221" s="11"/>
      <c r="OX221" s="11"/>
      <c r="OY221" s="11"/>
      <c r="OZ221" s="11"/>
      <c r="PA221" s="11"/>
      <c r="PB221" s="11"/>
      <c r="PC221" s="11"/>
      <c r="PD221" s="11"/>
      <c r="PE221" s="11"/>
      <c r="PF221" s="11"/>
      <c r="PG221" s="11"/>
      <c r="PH221" s="11"/>
      <c r="PI221" s="11"/>
      <c r="PJ221" s="11"/>
      <c r="PK221" s="11"/>
      <c r="PL221" s="11"/>
      <c r="PM221" s="11"/>
      <c r="PN221" s="11"/>
      <c r="PO221" s="11"/>
      <c r="PP221" s="11"/>
      <c r="PQ221" s="11"/>
      <c r="PR221" s="11"/>
      <c r="PS221" s="11"/>
      <c r="PT221" s="11"/>
      <c r="PU221" s="11"/>
      <c r="PV221" s="11"/>
      <c r="PW221" s="11"/>
      <c r="PX221" s="11"/>
      <c r="PY221" s="11"/>
      <c r="PZ221" s="11"/>
      <c r="QA221" s="11"/>
      <c r="QB221" s="11"/>
      <c r="QC221" s="11"/>
      <c r="QD221" s="11"/>
      <c r="QE221" s="11"/>
      <c r="QF221" s="11"/>
      <c r="QG221" s="11"/>
      <c r="QH221" s="11"/>
      <c r="QI221" s="11"/>
      <c r="QJ221" s="11"/>
      <c r="QK221" s="11"/>
      <c r="QL221" s="11"/>
      <c r="QM221" s="11"/>
      <c r="QN221" s="11"/>
      <c r="QO221" s="11"/>
      <c r="QP221" s="11"/>
      <c r="QQ221" s="11"/>
      <c r="QR221" s="11"/>
      <c r="QS221" s="11"/>
      <c r="QT221" s="11"/>
      <c r="QU221" s="11"/>
      <c r="QV221" s="11"/>
      <c r="QW221" s="11"/>
      <c r="QX221" s="11"/>
      <c r="QY221" s="11"/>
      <c r="QZ221" s="11"/>
      <c r="RA221" s="11"/>
      <c r="RB221" s="11"/>
      <c r="RC221" s="11"/>
      <c r="RD221" s="11"/>
      <c r="RE221" s="11"/>
      <c r="RF221" s="11"/>
      <c r="RG221" s="11"/>
      <c r="RH221" s="11"/>
      <c r="RI221" s="11"/>
      <c r="RJ221" s="11"/>
      <c r="RK221" s="11"/>
      <c r="RL221" s="11"/>
      <c r="RM221" s="11"/>
      <c r="RN221" s="11"/>
      <c r="RO221" s="11"/>
      <c r="RP221" s="11"/>
      <c r="RQ221" s="11"/>
      <c r="RR221" s="11"/>
      <c r="RS221" s="11"/>
      <c r="RT221" s="11"/>
      <c r="RU221" s="11"/>
      <c r="RV221" s="11"/>
      <c r="RW221" s="11"/>
      <c r="RX221" s="11"/>
      <c r="RY221" s="11"/>
      <c r="RZ221" s="11"/>
      <c r="SA221" s="11"/>
      <c r="SB221" s="11"/>
      <c r="SC221" s="11"/>
      <c r="SD221" s="11"/>
      <c r="SE221" s="11"/>
      <c r="SF221" s="11"/>
      <c r="SG221" s="11"/>
      <c r="SH221" s="11">
        <v>1</v>
      </c>
    </row>
    <row r="222" spans="1:502" x14ac:dyDescent="0.2">
      <c r="A222" s="10">
        <v>2.4842512278164169E-2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>
        <v>1</v>
      </c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  <c r="OM222" s="11"/>
      <c r="ON222" s="11"/>
      <c r="OO222" s="11"/>
      <c r="OP222" s="11"/>
      <c r="OQ222" s="11"/>
      <c r="OR222" s="11"/>
      <c r="OS222" s="11"/>
      <c r="OT222" s="11"/>
      <c r="OU222" s="11"/>
      <c r="OV222" s="11"/>
      <c r="OW222" s="11"/>
      <c r="OX222" s="11"/>
      <c r="OY222" s="11"/>
      <c r="OZ222" s="11"/>
      <c r="PA222" s="11"/>
      <c r="PB222" s="11"/>
      <c r="PC222" s="11"/>
      <c r="PD222" s="11"/>
      <c r="PE222" s="11"/>
      <c r="PF222" s="11"/>
      <c r="PG222" s="11"/>
      <c r="PH222" s="11"/>
      <c r="PI222" s="11"/>
      <c r="PJ222" s="11"/>
      <c r="PK222" s="11"/>
      <c r="PL222" s="11"/>
      <c r="PM222" s="11"/>
      <c r="PN222" s="11"/>
      <c r="PO222" s="11"/>
      <c r="PP222" s="11"/>
      <c r="PQ222" s="11"/>
      <c r="PR222" s="11"/>
      <c r="PS222" s="11"/>
      <c r="PT222" s="11"/>
      <c r="PU222" s="11"/>
      <c r="PV222" s="11"/>
      <c r="PW222" s="11"/>
      <c r="PX222" s="11"/>
      <c r="PY222" s="11"/>
      <c r="PZ222" s="11"/>
      <c r="QA222" s="11"/>
      <c r="QB222" s="11"/>
      <c r="QC222" s="11"/>
      <c r="QD222" s="11"/>
      <c r="QE222" s="11"/>
      <c r="QF222" s="11"/>
      <c r="QG222" s="11"/>
      <c r="QH222" s="11"/>
      <c r="QI222" s="11"/>
      <c r="QJ222" s="11"/>
      <c r="QK222" s="11"/>
      <c r="QL222" s="11"/>
      <c r="QM222" s="11"/>
      <c r="QN222" s="11"/>
      <c r="QO222" s="11"/>
      <c r="QP222" s="11"/>
      <c r="QQ222" s="11"/>
      <c r="QR222" s="11"/>
      <c r="QS222" s="11"/>
      <c r="QT222" s="11"/>
      <c r="QU222" s="11"/>
      <c r="QV222" s="11"/>
      <c r="QW222" s="11"/>
      <c r="QX222" s="11"/>
      <c r="QY222" s="11"/>
      <c r="QZ222" s="11"/>
      <c r="RA222" s="11"/>
      <c r="RB222" s="11"/>
      <c r="RC222" s="11"/>
      <c r="RD222" s="11"/>
      <c r="RE222" s="11"/>
      <c r="RF222" s="11"/>
      <c r="RG222" s="11"/>
      <c r="RH222" s="11"/>
      <c r="RI222" s="11"/>
      <c r="RJ222" s="11"/>
      <c r="RK222" s="11"/>
      <c r="RL222" s="11"/>
      <c r="RM222" s="11"/>
      <c r="RN222" s="11"/>
      <c r="RO222" s="11"/>
      <c r="RP222" s="11"/>
      <c r="RQ222" s="11"/>
      <c r="RR222" s="11"/>
      <c r="RS222" s="11"/>
      <c r="RT222" s="11"/>
      <c r="RU222" s="11"/>
      <c r="RV222" s="11"/>
      <c r="RW222" s="11"/>
      <c r="RX222" s="11"/>
      <c r="RY222" s="11"/>
      <c r="RZ222" s="11"/>
      <c r="SA222" s="11"/>
      <c r="SB222" s="11"/>
      <c r="SC222" s="11"/>
      <c r="SD222" s="11"/>
      <c r="SE222" s="11"/>
      <c r="SF222" s="11"/>
      <c r="SG222" s="11"/>
      <c r="SH222" s="11">
        <v>1</v>
      </c>
    </row>
    <row r="223" spans="1:502" x14ac:dyDescent="0.2">
      <c r="A223" s="10">
        <v>2.4884128279032646E-2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>
        <v>1</v>
      </c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  <c r="OM223" s="11"/>
      <c r="ON223" s="11"/>
      <c r="OO223" s="11"/>
      <c r="OP223" s="11"/>
      <c r="OQ223" s="11"/>
      <c r="OR223" s="11"/>
      <c r="OS223" s="11"/>
      <c r="OT223" s="11"/>
      <c r="OU223" s="11"/>
      <c r="OV223" s="11"/>
      <c r="OW223" s="11"/>
      <c r="OX223" s="11"/>
      <c r="OY223" s="11"/>
      <c r="OZ223" s="11"/>
      <c r="PA223" s="11"/>
      <c r="PB223" s="11"/>
      <c r="PC223" s="11"/>
      <c r="PD223" s="11"/>
      <c r="PE223" s="11"/>
      <c r="PF223" s="11"/>
      <c r="PG223" s="11"/>
      <c r="PH223" s="11"/>
      <c r="PI223" s="11"/>
      <c r="PJ223" s="11"/>
      <c r="PK223" s="11"/>
      <c r="PL223" s="11"/>
      <c r="PM223" s="11"/>
      <c r="PN223" s="11"/>
      <c r="PO223" s="11"/>
      <c r="PP223" s="11"/>
      <c r="PQ223" s="11"/>
      <c r="PR223" s="11"/>
      <c r="PS223" s="11"/>
      <c r="PT223" s="11"/>
      <c r="PU223" s="11"/>
      <c r="PV223" s="11"/>
      <c r="PW223" s="11"/>
      <c r="PX223" s="11"/>
      <c r="PY223" s="11"/>
      <c r="PZ223" s="11"/>
      <c r="QA223" s="11"/>
      <c r="QB223" s="11"/>
      <c r="QC223" s="11"/>
      <c r="QD223" s="11"/>
      <c r="QE223" s="11"/>
      <c r="QF223" s="11"/>
      <c r="QG223" s="11"/>
      <c r="QH223" s="11"/>
      <c r="QI223" s="11"/>
      <c r="QJ223" s="11"/>
      <c r="QK223" s="11"/>
      <c r="QL223" s="11"/>
      <c r="QM223" s="11"/>
      <c r="QN223" s="11"/>
      <c r="QO223" s="11"/>
      <c r="QP223" s="11"/>
      <c r="QQ223" s="11"/>
      <c r="QR223" s="11"/>
      <c r="QS223" s="11"/>
      <c r="QT223" s="11"/>
      <c r="QU223" s="11"/>
      <c r="QV223" s="11"/>
      <c r="QW223" s="11"/>
      <c r="QX223" s="11"/>
      <c r="QY223" s="11"/>
      <c r="QZ223" s="11"/>
      <c r="RA223" s="11"/>
      <c r="RB223" s="11"/>
      <c r="RC223" s="11"/>
      <c r="RD223" s="11"/>
      <c r="RE223" s="11"/>
      <c r="RF223" s="11"/>
      <c r="RG223" s="11"/>
      <c r="RH223" s="11"/>
      <c r="RI223" s="11"/>
      <c r="RJ223" s="11"/>
      <c r="RK223" s="11"/>
      <c r="RL223" s="11"/>
      <c r="RM223" s="11"/>
      <c r="RN223" s="11"/>
      <c r="RO223" s="11"/>
      <c r="RP223" s="11"/>
      <c r="RQ223" s="11"/>
      <c r="RR223" s="11"/>
      <c r="RS223" s="11"/>
      <c r="RT223" s="11"/>
      <c r="RU223" s="11"/>
      <c r="RV223" s="11"/>
      <c r="RW223" s="11"/>
      <c r="RX223" s="11"/>
      <c r="RY223" s="11"/>
      <c r="RZ223" s="11"/>
      <c r="SA223" s="11"/>
      <c r="SB223" s="11"/>
      <c r="SC223" s="11"/>
      <c r="SD223" s="11"/>
      <c r="SE223" s="11"/>
      <c r="SF223" s="11"/>
      <c r="SG223" s="11"/>
      <c r="SH223" s="11">
        <v>1</v>
      </c>
    </row>
    <row r="224" spans="1:502" x14ac:dyDescent="0.2">
      <c r="A224" s="10">
        <v>2.504721910911973E-2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>
        <v>1</v>
      </c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  <c r="OM224" s="11"/>
      <c r="ON224" s="11"/>
      <c r="OO224" s="11"/>
      <c r="OP224" s="11"/>
      <c r="OQ224" s="11"/>
      <c r="OR224" s="11"/>
      <c r="OS224" s="11"/>
      <c r="OT224" s="11"/>
      <c r="OU224" s="11"/>
      <c r="OV224" s="11"/>
      <c r="OW224" s="11"/>
      <c r="OX224" s="11"/>
      <c r="OY224" s="11"/>
      <c r="OZ224" s="11"/>
      <c r="PA224" s="11"/>
      <c r="PB224" s="11"/>
      <c r="PC224" s="11"/>
      <c r="PD224" s="11"/>
      <c r="PE224" s="11"/>
      <c r="PF224" s="11"/>
      <c r="PG224" s="11"/>
      <c r="PH224" s="11"/>
      <c r="PI224" s="11"/>
      <c r="PJ224" s="11"/>
      <c r="PK224" s="11"/>
      <c r="PL224" s="11"/>
      <c r="PM224" s="11"/>
      <c r="PN224" s="11"/>
      <c r="PO224" s="11"/>
      <c r="PP224" s="11"/>
      <c r="PQ224" s="11"/>
      <c r="PR224" s="11"/>
      <c r="PS224" s="11"/>
      <c r="PT224" s="11"/>
      <c r="PU224" s="11"/>
      <c r="PV224" s="11"/>
      <c r="PW224" s="11"/>
      <c r="PX224" s="11"/>
      <c r="PY224" s="11"/>
      <c r="PZ224" s="11"/>
      <c r="QA224" s="11"/>
      <c r="QB224" s="11"/>
      <c r="QC224" s="11"/>
      <c r="QD224" s="11"/>
      <c r="QE224" s="11"/>
      <c r="QF224" s="11"/>
      <c r="QG224" s="11"/>
      <c r="QH224" s="11"/>
      <c r="QI224" s="11"/>
      <c r="QJ224" s="11"/>
      <c r="QK224" s="11"/>
      <c r="QL224" s="11"/>
      <c r="QM224" s="11"/>
      <c r="QN224" s="11"/>
      <c r="QO224" s="11"/>
      <c r="QP224" s="11"/>
      <c r="QQ224" s="11"/>
      <c r="QR224" s="11"/>
      <c r="QS224" s="11"/>
      <c r="QT224" s="11"/>
      <c r="QU224" s="11"/>
      <c r="QV224" s="11"/>
      <c r="QW224" s="11"/>
      <c r="QX224" s="11"/>
      <c r="QY224" s="11"/>
      <c r="QZ224" s="11"/>
      <c r="RA224" s="11"/>
      <c r="RB224" s="11"/>
      <c r="RC224" s="11"/>
      <c r="RD224" s="11"/>
      <c r="RE224" s="11"/>
      <c r="RF224" s="11"/>
      <c r="RG224" s="11"/>
      <c r="RH224" s="11"/>
      <c r="RI224" s="11"/>
      <c r="RJ224" s="11"/>
      <c r="RK224" s="11"/>
      <c r="RL224" s="11"/>
      <c r="RM224" s="11"/>
      <c r="RN224" s="11"/>
      <c r="RO224" s="11"/>
      <c r="RP224" s="11"/>
      <c r="RQ224" s="11"/>
      <c r="RR224" s="11"/>
      <c r="RS224" s="11"/>
      <c r="RT224" s="11"/>
      <c r="RU224" s="11"/>
      <c r="RV224" s="11"/>
      <c r="RW224" s="11"/>
      <c r="RX224" s="11"/>
      <c r="RY224" s="11"/>
      <c r="RZ224" s="11"/>
      <c r="SA224" s="11"/>
      <c r="SB224" s="11"/>
      <c r="SC224" s="11"/>
      <c r="SD224" s="11"/>
      <c r="SE224" s="11"/>
      <c r="SF224" s="11"/>
      <c r="SG224" s="11"/>
      <c r="SH224" s="11">
        <v>1</v>
      </c>
    </row>
    <row r="225" spans="1:502" x14ac:dyDescent="0.2">
      <c r="A225" s="10">
        <v>2.5126174414550461E-2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>
        <v>1</v>
      </c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  <c r="OM225" s="11"/>
      <c r="ON225" s="11"/>
      <c r="OO225" s="11"/>
      <c r="OP225" s="11"/>
      <c r="OQ225" s="11"/>
      <c r="OR225" s="11"/>
      <c r="OS225" s="11"/>
      <c r="OT225" s="11"/>
      <c r="OU225" s="11"/>
      <c r="OV225" s="11"/>
      <c r="OW225" s="11"/>
      <c r="OX225" s="11"/>
      <c r="OY225" s="11"/>
      <c r="OZ225" s="11"/>
      <c r="PA225" s="11"/>
      <c r="PB225" s="11"/>
      <c r="PC225" s="11"/>
      <c r="PD225" s="11"/>
      <c r="PE225" s="11"/>
      <c r="PF225" s="11"/>
      <c r="PG225" s="11"/>
      <c r="PH225" s="11"/>
      <c r="PI225" s="11"/>
      <c r="PJ225" s="11"/>
      <c r="PK225" s="11"/>
      <c r="PL225" s="11"/>
      <c r="PM225" s="11"/>
      <c r="PN225" s="11"/>
      <c r="PO225" s="11"/>
      <c r="PP225" s="11"/>
      <c r="PQ225" s="11"/>
      <c r="PR225" s="11"/>
      <c r="PS225" s="11"/>
      <c r="PT225" s="11"/>
      <c r="PU225" s="11"/>
      <c r="PV225" s="11"/>
      <c r="PW225" s="11"/>
      <c r="PX225" s="11"/>
      <c r="PY225" s="11"/>
      <c r="PZ225" s="11"/>
      <c r="QA225" s="11"/>
      <c r="QB225" s="11"/>
      <c r="QC225" s="11"/>
      <c r="QD225" s="11"/>
      <c r="QE225" s="11"/>
      <c r="QF225" s="11"/>
      <c r="QG225" s="11"/>
      <c r="QH225" s="11"/>
      <c r="QI225" s="11"/>
      <c r="QJ225" s="11"/>
      <c r="QK225" s="11"/>
      <c r="QL225" s="11"/>
      <c r="QM225" s="11"/>
      <c r="QN225" s="11"/>
      <c r="QO225" s="11"/>
      <c r="QP225" s="11"/>
      <c r="QQ225" s="11"/>
      <c r="QR225" s="11"/>
      <c r="QS225" s="11"/>
      <c r="QT225" s="11"/>
      <c r="QU225" s="11"/>
      <c r="QV225" s="11"/>
      <c r="QW225" s="11"/>
      <c r="QX225" s="11"/>
      <c r="QY225" s="11"/>
      <c r="QZ225" s="11"/>
      <c r="RA225" s="11"/>
      <c r="RB225" s="11"/>
      <c r="RC225" s="11"/>
      <c r="RD225" s="11"/>
      <c r="RE225" s="11"/>
      <c r="RF225" s="11"/>
      <c r="RG225" s="11"/>
      <c r="RH225" s="11"/>
      <c r="RI225" s="11"/>
      <c r="RJ225" s="11"/>
      <c r="RK225" s="11"/>
      <c r="RL225" s="11"/>
      <c r="RM225" s="11"/>
      <c r="RN225" s="11"/>
      <c r="RO225" s="11"/>
      <c r="RP225" s="11"/>
      <c r="RQ225" s="11"/>
      <c r="RR225" s="11"/>
      <c r="RS225" s="11"/>
      <c r="RT225" s="11"/>
      <c r="RU225" s="11"/>
      <c r="RV225" s="11"/>
      <c r="RW225" s="11"/>
      <c r="RX225" s="11"/>
      <c r="RY225" s="11"/>
      <c r="RZ225" s="11"/>
      <c r="SA225" s="11"/>
      <c r="SB225" s="11"/>
      <c r="SC225" s="11"/>
      <c r="SD225" s="11"/>
      <c r="SE225" s="11"/>
      <c r="SF225" s="11"/>
      <c r="SG225" s="11"/>
      <c r="SH225" s="11">
        <v>1</v>
      </c>
    </row>
    <row r="226" spans="1:502" x14ac:dyDescent="0.2">
      <c r="A226" s="10">
        <v>2.5172080237174103E-2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>
        <v>1</v>
      </c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  <c r="OM226" s="11"/>
      <c r="ON226" s="11"/>
      <c r="OO226" s="11"/>
      <c r="OP226" s="11"/>
      <c r="OQ226" s="11"/>
      <c r="OR226" s="11"/>
      <c r="OS226" s="11"/>
      <c r="OT226" s="11"/>
      <c r="OU226" s="11"/>
      <c r="OV226" s="11"/>
      <c r="OW226" s="11"/>
      <c r="OX226" s="11"/>
      <c r="OY226" s="11"/>
      <c r="OZ226" s="11"/>
      <c r="PA226" s="11"/>
      <c r="PB226" s="11"/>
      <c r="PC226" s="11"/>
      <c r="PD226" s="11"/>
      <c r="PE226" s="11"/>
      <c r="PF226" s="11"/>
      <c r="PG226" s="11"/>
      <c r="PH226" s="11"/>
      <c r="PI226" s="11"/>
      <c r="PJ226" s="11"/>
      <c r="PK226" s="11"/>
      <c r="PL226" s="11"/>
      <c r="PM226" s="11"/>
      <c r="PN226" s="11"/>
      <c r="PO226" s="11"/>
      <c r="PP226" s="11"/>
      <c r="PQ226" s="11"/>
      <c r="PR226" s="11"/>
      <c r="PS226" s="11"/>
      <c r="PT226" s="11"/>
      <c r="PU226" s="11"/>
      <c r="PV226" s="11"/>
      <c r="PW226" s="11"/>
      <c r="PX226" s="11"/>
      <c r="PY226" s="11"/>
      <c r="PZ226" s="11"/>
      <c r="QA226" s="11"/>
      <c r="QB226" s="11"/>
      <c r="QC226" s="11"/>
      <c r="QD226" s="11"/>
      <c r="QE226" s="11"/>
      <c r="QF226" s="11"/>
      <c r="QG226" s="11"/>
      <c r="QH226" s="11"/>
      <c r="QI226" s="11"/>
      <c r="QJ226" s="11"/>
      <c r="QK226" s="11"/>
      <c r="QL226" s="11"/>
      <c r="QM226" s="11"/>
      <c r="QN226" s="11"/>
      <c r="QO226" s="11"/>
      <c r="QP226" s="11"/>
      <c r="QQ226" s="11"/>
      <c r="QR226" s="11"/>
      <c r="QS226" s="11"/>
      <c r="QT226" s="11"/>
      <c r="QU226" s="11"/>
      <c r="QV226" s="11"/>
      <c r="QW226" s="11"/>
      <c r="QX226" s="11"/>
      <c r="QY226" s="11"/>
      <c r="QZ226" s="11"/>
      <c r="RA226" s="11"/>
      <c r="RB226" s="11"/>
      <c r="RC226" s="11"/>
      <c r="RD226" s="11"/>
      <c r="RE226" s="11"/>
      <c r="RF226" s="11"/>
      <c r="RG226" s="11"/>
      <c r="RH226" s="11"/>
      <c r="RI226" s="11"/>
      <c r="RJ226" s="11"/>
      <c r="RK226" s="11"/>
      <c r="RL226" s="11"/>
      <c r="RM226" s="11"/>
      <c r="RN226" s="11"/>
      <c r="RO226" s="11"/>
      <c r="RP226" s="11"/>
      <c r="RQ226" s="11"/>
      <c r="RR226" s="11"/>
      <c r="RS226" s="11"/>
      <c r="RT226" s="11"/>
      <c r="RU226" s="11"/>
      <c r="RV226" s="11"/>
      <c r="RW226" s="11"/>
      <c r="RX226" s="11"/>
      <c r="RY226" s="11"/>
      <c r="RZ226" s="11"/>
      <c r="SA226" s="11"/>
      <c r="SB226" s="11"/>
      <c r="SC226" s="11"/>
      <c r="SD226" s="11"/>
      <c r="SE226" s="11"/>
      <c r="SF226" s="11"/>
      <c r="SG226" s="11"/>
      <c r="SH226" s="11">
        <v>1</v>
      </c>
    </row>
    <row r="227" spans="1:502" x14ac:dyDescent="0.2">
      <c r="A227" s="10">
        <v>2.5200273553939761E-2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  <c r="OM227" s="11"/>
      <c r="ON227" s="11"/>
      <c r="OO227" s="11"/>
      <c r="OP227" s="11"/>
      <c r="OQ227" s="11"/>
      <c r="OR227" s="11"/>
      <c r="OS227" s="11"/>
      <c r="OT227" s="11"/>
      <c r="OU227" s="11"/>
      <c r="OV227" s="11"/>
      <c r="OW227" s="11"/>
      <c r="OX227" s="11"/>
      <c r="OY227" s="11"/>
      <c r="OZ227" s="11"/>
      <c r="PA227" s="11"/>
      <c r="PB227" s="11"/>
      <c r="PC227" s="11"/>
      <c r="PD227" s="11"/>
      <c r="PE227" s="11"/>
      <c r="PF227" s="11"/>
      <c r="PG227" s="11"/>
      <c r="PH227" s="11"/>
      <c r="PI227" s="11"/>
      <c r="PJ227" s="11"/>
      <c r="PK227" s="11"/>
      <c r="PL227" s="11"/>
      <c r="PM227" s="11"/>
      <c r="PN227" s="11"/>
      <c r="PO227" s="11"/>
      <c r="PP227" s="11"/>
      <c r="PQ227" s="11"/>
      <c r="PR227" s="11"/>
      <c r="PS227" s="11"/>
      <c r="PT227" s="11"/>
      <c r="PU227" s="11"/>
      <c r="PV227" s="11"/>
      <c r="PW227" s="11"/>
      <c r="PX227" s="11"/>
      <c r="PY227" s="11"/>
      <c r="PZ227" s="11"/>
      <c r="QA227" s="11"/>
      <c r="QB227" s="11"/>
      <c r="QC227" s="11"/>
      <c r="QD227" s="11"/>
      <c r="QE227" s="11"/>
      <c r="QF227" s="11"/>
      <c r="QG227" s="11"/>
      <c r="QH227" s="11"/>
      <c r="QI227" s="11"/>
      <c r="QJ227" s="11"/>
      <c r="QK227" s="11"/>
      <c r="QL227" s="11"/>
      <c r="QM227" s="11"/>
      <c r="QN227" s="11"/>
      <c r="QO227" s="11"/>
      <c r="QP227" s="11"/>
      <c r="QQ227" s="11"/>
      <c r="QR227" s="11"/>
      <c r="QS227" s="11"/>
      <c r="QT227" s="11"/>
      <c r="QU227" s="11"/>
      <c r="QV227" s="11"/>
      <c r="QW227" s="11"/>
      <c r="QX227" s="11"/>
      <c r="QY227" s="11"/>
      <c r="QZ227" s="11"/>
      <c r="RA227" s="11"/>
      <c r="RB227" s="11"/>
      <c r="RC227" s="11"/>
      <c r="RD227" s="11"/>
      <c r="RE227" s="11"/>
      <c r="RF227" s="11"/>
      <c r="RG227" s="11"/>
      <c r="RH227" s="11"/>
      <c r="RI227" s="11"/>
      <c r="RJ227" s="11"/>
      <c r="RK227" s="11"/>
      <c r="RL227" s="11">
        <v>1</v>
      </c>
      <c r="RM227" s="11"/>
      <c r="RN227" s="11"/>
      <c r="RO227" s="11"/>
      <c r="RP227" s="11"/>
      <c r="RQ227" s="11"/>
      <c r="RR227" s="11"/>
      <c r="RS227" s="11"/>
      <c r="RT227" s="11"/>
      <c r="RU227" s="11"/>
      <c r="RV227" s="11"/>
      <c r="RW227" s="11"/>
      <c r="RX227" s="11"/>
      <c r="RY227" s="11"/>
      <c r="RZ227" s="11"/>
      <c r="SA227" s="11"/>
      <c r="SB227" s="11"/>
      <c r="SC227" s="11"/>
      <c r="SD227" s="11"/>
      <c r="SE227" s="11"/>
      <c r="SF227" s="11"/>
      <c r="SG227" s="11"/>
      <c r="SH227" s="11">
        <v>1</v>
      </c>
    </row>
    <row r="228" spans="1:502" x14ac:dyDescent="0.2">
      <c r="A228" s="10">
        <v>2.5258090222767735E-2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>
        <v>1</v>
      </c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  <c r="OM228" s="11"/>
      <c r="ON228" s="11"/>
      <c r="OO228" s="11"/>
      <c r="OP228" s="11"/>
      <c r="OQ228" s="11"/>
      <c r="OR228" s="11"/>
      <c r="OS228" s="11"/>
      <c r="OT228" s="11"/>
      <c r="OU228" s="11"/>
      <c r="OV228" s="11"/>
      <c r="OW228" s="11"/>
      <c r="OX228" s="11"/>
      <c r="OY228" s="11"/>
      <c r="OZ228" s="11"/>
      <c r="PA228" s="11"/>
      <c r="PB228" s="11"/>
      <c r="PC228" s="11"/>
      <c r="PD228" s="11"/>
      <c r="PE228" s="11"/>
      <c r="PF228" s="11"/>
      <c r="PG228" s="11"/>
      <c r="PH228" s="11"/>
      <c r="PI228" s="11"/>
      <c r="PJ228" s="11"/>
      <c r="PK228" s="11"/>
      <c r="PL228" s="11"/>
      <c r="PM228" s="11"/>
      <c r="PN228" s="11"/>
      <c r="PO228" s="11"/>
      <c r="PP228" s="11"/>
      <c r="PQ228" s="11"/>
      <c r="PR228" s="11"/>
      <c r="PS228" s="11"/>
      <c r="PT228" s="11"/>
      <c r="PU228" s="11"/>
      <c r="PV228" s="11"/>
      <c r="PW228" s="11"/>
      <c r="PX228" s="11"/>
      <c r="PY228" s="11"/>
      <c r="PZ228" s="11"/>
      <c r="QA228" s="11"/>
      <c r="QB228" s="11"/>
      <c r="QC228" s="11"/>
      <c r="QD228" s="11"/>
      <c r="QE228" s="11"/>
      <c r="QF228" s="11"/>
      <c r="QG228" s="11"/>
      <c r="QH228" s="11"/>
      <c r="QI228" s="11"/>
      <c r="QJ228" s="11"/>
      <c r="QK228" s="11"/>
      <c r="QL228" s="11"/>
      <c r="QM228" s="11"/>
      <c r="QN228" s="11"/>
      <c r="QO228" s="11"/>
      <c r="QP228" s="11"/>
      <c r="QQ228" s="11"/>
      <c r="QR228" s="11"/>
      <c r="QS228" s="11"/>
      <c r="QT228" s="11"/>
      <c r="QU228" s="11"/>
      <c r="QV228" s="11"/>
      <c r="QW228" s="11"/>
      <c r="QX228" s="11"/>
      <c r="QY228" s="11"/>
      <c r="QZ228" s="11"/>
      <c r="RA228" s="11"/>
      <c r="RB228" s="11"/>
      <c r="RC228" s="11"/>
      <c r="RD228" s="11"/>
      <c r="RE228" s="11"/>
      <c r="RF228" s="11"/>
      <c r="RG228" s="11"/>
      <c r="RH228" s="11"/>
      <c r="RI228" s="11"/>
      <c r="RJ228" s="11"/>
      <c r="RK228" s="11"/>
      <c r="RL228" s="11"/>
      <c r="RM228" s="11"/>
      <c r="RN228" s="11"/>
      <c r="RO228" s="11"/>
      <c r="RP228" s="11"/>
      <c r="RQ228" s="11"/>
      <c r="RR228" s="11"/>
      <c r="RS228" s="11"/>
      <c r="RT228" s="11"/>
      <c r="RU228" s="11"/>
      <c r="RV228" s="11"/>
      <c r="RW228" s="11"/>
      <c r="RX228" s="11"/>
      <c r="RY228" s="11"/>
      <c r="RZ228" s="11"/>
      <c r="SA228" s="11"/>
      <c r="SB228" s="11"/>
      <c r="SC228" s="11"/>
      <c r="SD228" s="11"/>
      <c r="SE228" s="11"/>
      <c r="SF228" s="11"/>
      <c r="SG228" s="11"/>
      <c r="SH228" s="11">
        <v>1</v>
      </c>
    </row>
    <row r="229" spans="1:502" x14ac:dyDescent="0.2">
      <c r="A229" s="10">
        <v>2.5483759841213323E-2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>
        <v>1</v>
      </c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  <c r="OM229" s="11"/>
      <c r="ON229" s="11"/>
      <c r="OO229" s="11"/>
      <c r="OP229" s="11"/>
      <c r="OQ229" s="11"/>
      <c r="OR229" s="11"/>
      <c r="OS229" s="11"/>
      <c r="OT229" s="11"/>
      <c r="OU229" s="11"/>
      <c r="OV229" s="11"/>
      <c r="OW229" s="11"/>
      <c r="OX229" s="11"/>
      <c r="OY229" s="11"/>
      <c r="OZ229" s="11"/>
      <c r="PA229" s="11"/>
      <c r="PB229" s="11"/>
      <c r="PC229" s="11"/>
      <c r="PD229" s="11"/>
      <c r="PE229" s="11"/>
      <c r="PF229" s="11"/>
      <c r="PG229" s="11"/>
      <c r="PH229" s="11"/>
      <c r="PI229" s="11"/>
      <c r="PJ229" s="11"/>
      <c r="PK229" s="11"/>
      <c r="PL229" s="11"/>
      <c r="PM229" s="11"/>
      <c r="PN229" s="11"/>
      <c r="PO229" s="11"/>
      <c r="PP229" s="11"/>
      <c r="PQ229" s="11"/>
      <c r="PR229" s="11"/>
      <c r="PS229" s="11"/>
      <c r="PT229" s="11"/>
      <c r="PU229" s="11"/>
      <c r="PV229" s="11"/>
      <c r="PW229" s="11"/>
      <c r="PX229" s="11"/>
      <c r="PY229" s="11"/>
      <c r="PZ229" s="11"/>
      <c r="QA229" s="11"/>
      <c r="QB229" s="11"/>
      <c r="QC229" s="11"/>
      <c r="QD229" s="11"/>
      <c r="QE229" s="11"/>
      <c r="QF229" s="11"/>
      <c r="QG229" s="11"/>
      <c r="QH229" s="11"/>
      <c r="QI229" s="11"/>
      <c r="QJ229" s="11"/>
      <c r="QK229" s="11"/>
      <c r="QL229" s="11"/>
      <c r="QM229" s="11"/>
      <c r="QN229" s="11"/>
      <c r="QO229" s="11"/>
      <c r="QP229" s="11"/>
      <c r="QQ229" s="11"/>
      <c r="QR229" s="11"/>
      <c r="QS229" s="11"/>
      <c r="QT229" s="11"/>
      <c r="QU229" s="11"/>
      <c r="QV229" s="11"/>
      <c r="QW229" s="11"/>
      <c r="QX229" s="11"/>
      <c r="QY229" s="11"/>
      <c r="QZ229" s="11"/>
      <c r="RA229" s="11"/>
      <c r="RB229" s="11"/>
      <c r="RC229" s="11"/>
      <c r="RD229" s="11"/>
      <c r="RE229" s="11"/>
      <c r="RF229" s="11"/>
      <c r="RG229" s="11"/>
      <c r="RH229" s="11"/>
      <c r="RI229" s="11"/>
      <c r="RJ229" s="11"/>
      <c r="RK229" s="11"/>
      <c r="RL229" s="11"/>
      <c r="RM229" s="11"/>
      <c r="RN229" s="11"/>
      <c r="RO229" s="11"/>
      <c r="RP229" s="11"/>
      <c r="RQ229" s="11"/>
      <c r="RR229" s="11"/>
      <c r="RS229" s="11"/>
      <c r="RT229" s="11"/>
      <c r="RU229" s="11"/>
      <c r="RV229" s="11"/>
      <c r="RW229" s="11"/>
      <c r="RX229" s="11"/>
      <c r="RY229" s="11"/>
      <c r="RZ229" s="11"/>
      <c r="SA229" s="11"/>
      <c r="SB229" s="11"/>
      <c r="SC229" s="11"/>
      <c r="SD229" s="11"/>
      <c r="SE229" s="11"/>
      <c r="SF229" s="11"/>
      <c r="SG229" s="11"/>
      <c r="SH229" s="11">
        <v>1</v>
      </c>
    </row>
    <row r="230" spans="1:502" x14ac:dyDescent="0.2">
      <c r="A230" s="10">
        <v>2.5528919122263807E-2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>
        <v>1</v>
      </c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  <c r="OM230" s="11"/>
      <c r="ON230" s="11"/>
      <c r="OO230" s="11"/>
      <c r="OP230" s="11"/>
      <c r="OQ230" s="11"/>
      <c r="OR230" s="11"/>
      <c r="OS230" s="11"/>
      <c r="OT230" s="11"/>
      <c r="OU230" s="11"/>
      <c r="OV230" s="11"/>
      <c r="OW230" s="11"/>
      <c r="OX230" s="11"/>
      <c r="OY230" s="11"/>
      <c r="OZ230" s="11"/>
      <c r="PA230" s="11"/>
      <c r="PB230" s="11"/>
      <c r="PC230" s="11"/>
      <c r="PD230" s="11"/>
      <c r="PE230" s="11"/>
      <c r="PF230" s="11"/>
      <c r="PG230" s="11"/>
      <c r="PH230" s="11"/>
      <c r="PI230" s="11"/>
      <c r="PJ230" s="11"/>
      <c r="PK230" s="11"/>
      <c r="PL230" s="11"/>
      <c r="PM230" s="11"/>
      <c r="PN230" s="11"/>
      <c r="PO230" s="11"/>
      <c r="PP230" s="11"/>
      <c r="PQ230" s="11"/>
      <c r="PR230" s="11"/>
      <c r="PS230" s="11"/>
      <c r="PT230" s="11"/>
      <c r="PU230" s="11"/>
      <c r="PV230" s="11"/>
      <c r="PW230" s="11"/>
      <c r="PX230" s="11"/>
      <c r="PY230" s="11"/>
      <c r="PZ230" s="11"/>
      <c r="QA230" s="11"/>
      <c r="QB230" s="11"/>
      <c r="QC230" s="11"/>
      <c r="QD230" s="11"/>
      <c r="QE230" s="11"/>
      <c r="QF230" s="11"/>
      <c r="QG230" s="11"/>
      <c r="QH230" s="11"/>
      <c r="QI230" s="11"/>
      <c r="QJ230" s="11"/>
      <c r="QK230" s="11"/>
      <c r="QL230" s="11"/>
      <c r="QM230" s="11"/>
      <c r="QN230" s="11"/>
      <c r="QO230" s="11"/>
      <c r="QP230" s="11"/>
      <c r="QQ230" s="11"/>
      <c r="QR230" s="11"/>
      <c r="QS230" s="11"/>
      <c r="QT230" s="11"/>
      <c r="QU230" s="11"/>
      <c r="QV230" s="11"/>
      <c r="QW230" s="11"/>
      <c r="QX230" s="11"/>
      <c r="QY230" s="11"/>
      <c r="QZ230" s="11"/>
      <c r="RA230" s="11"/>
      <c r="RB230" s="11"/>
      <c r="RC230" s="11"/>
      <c r="RD230" s="11"/>
      <c r="RE230" s="11"/>
      <c r="RF230" s="11"/>
      <c r="RG230" s="11"/>
      <c r="RH230" s="11"/>
      <c r="RI230" s="11"/>
      <c r="RJ230" s="11"/>
      <c r="RK230" s="11"/>
      <c r="RL230" s="11"/>
      <c r="RM230" s="11"/>
      <c r="RN230" s="11"/>
      <c r="RO230" s="11"/>
      <c r="RP230" s="11"/>
      <c r="RQ230" s="11"/>
      <c r="RR230" s="11"/>
      <c r="RS230" s="11"/>
      <c r="RT230" s="11"/>
      <c r="RU230" s="11"/>
      <c r="RV230" s="11"/>
      <c r="RW230" s="11"/>
      <c r="RX230" s="11"/>
      <c r="RY230" s="11"/>
      <c r="RZ230" s="11"/>
      <c r="SA230" s="11"/>
      <c r="SB230" s="11"/>
      <c r="SC230" s="11"/>
      <c r="SD230" s="11"/>
      <c r="SE230" s="11"/>
      <c r="SF230" s="11"/>
      <c r="SG230" s="11"/>
      <c r="SH230" s="11">
        <v>1</v>
      </c>
    </row>
    <row r="231" spans="1:502" x14ac:dyDescent="0.2">
      <c r="A231" s="10">
        <v>2.5571609761955452E-2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>
        <v>1</v>
      </c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  <c r="OM231" s="11"/>
      <c r="ON231" s="11"/>
      <c r="OO231" s="11"/>
      <c r="OP231" s="11"/>
      <c r="OQ231" s="11"/>
      <c r="OR231" s="11"/>
      <c r="OS231" s="11"/>
      <c r="OT231" s="11"/>
      <c r="OU231" s="11"/>
      <c r="OV231" s="11"/>
      <c r="OW231" s="11"/>
      <c r="OX231" s="11"/>
      <c r="OY231" s="11"/>
      <c r="OZ231" s="11"/>
      <c r="PA231" s="11"/>
      <c r="PB231" s="11"/>
      <c r="PC231" s="11"/>
      <c r="PD231" s="11"/>
      <c r="PE231" s="11"/>
      <c r="PF231" s="11"/>
      <c r="PG231" s="11"/>
      <c r="PH231" s="11"/>
      <c r="PI231" s="11"/>
      <c r="PJ231" s="11"/>
      <c r="PK231" s="11"/>
      <c r="PL231" s="11"/>
      <c r="PM231" s="11"/>
      <c r="PN231" s="11"/>
      <c r="PO231" s="11"/>
      <c r="PP231" s="11"/>
      <c r="PQ231" s="11"/>
      <c r="PR231" s="11"/>
      <c r="PS231" s="11"/>
      <c r="PT231" s="11"/>
      <c r="PU231" s="11"/>
      <c r="PV231" s="11"/>
      <c r="PW231" s="11"/>
      <c r="PX231" s="11"/>
      <c r="PY231" s="11"/>
      <c r="PZ231" s="11"/>
      <c r="QA231" s="11"/>
      <c r="QB231" s="11"/>
      <c r="QC231" s="11"/>
      <c r="QD231" s="11"/>
      <c r="QE231" s="11"/>
      <c r="QF231" s="11"/>
      <c r="QG231" s="11"/>
      <c r="QH231" s="11"/>
      <c r="QI231" s="11"/>
      <c r="QJ231" s="11"/>
      <c r="QK231" s="11"/>
      <c r="QL231" s="11"/>
      <c r="QM231" s="11"/>
      <c r="QN231" s="11"/>
      <c r="QO231" s="11"/>
      <c r="QP231" s="11"/>
      <c r="QQ231" s="11"/>
      <c r="QR231" s="11"/>
      <c r="QS231" s="11"/>
      <c r="QT231" s="11"/>
      <c r="QU231" s="11"/>
      <c r="QV231" s="11"/>
      <c r="QW231" s="11"/>
      <c r="QX231" s="11"/>
      <c r="QY231" s="11"/>
      <c r="QZ231" s="11"/>
      <c r="RA231" s="11"/>
      <c r="RB231" s="11"/>
      <c r="RC231" s="11"/>
      <c r="RD231" s="11"/>
      <c r="RE231" s="11"/>
      <c r="RF231" s="11"/>
      <c r="RG231" s="11"/>
      <c r="RH231" s="11"/>
      <c r="RI231" s="11"/>
      <c r="RJ231" s="11"/>
      <c r="RK231" s="11"/>
      <c r="RL231" s="11"/>
      <c r="RM231" s="11"/>
      <c r="RN231" s="11"/>
      <c r="RO231" s="11"/>
      <c r="RP231" s="11"/>
      <c r="RQ231" s="11"/>
      <c r="RR231" s="11"/>
      <c r="RS231" s="11"/>
      <c r="RT231" s="11"/>
      <c r="RU231" s="11"/>
      <c r="RV231" s="11"/>
      <c r="RW231" s="11"/>
      <c r="RX231" s="11"/>
      <c r="RY231" s="11"/>
      <c r="RZ231" s="11"/>
      <c r="SA231" s="11"/>
      <c r="SB231" s="11"/>
      <c r="SC231" s="11"/>
      <c r="SD231" s="11"/>
      <c r="SE231" s="11"/>
      <c r="SF231" s="11"/>
      <c r="SG231" s="11"/>
      <c r="SH231" s="11">
        <v>1</v>
      </c>
    </row>
    <row r="232" spans="1:502" x14ac:dyDescent="0.2">
      <c r="A232" s="10">
        <v>2.5955808251482571E-2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>
        <v>1</v>
      </c>
      <c r="OM232" s="11"/>
      <c r="ON232" s="11"/>
      <c r="OO232" s="11"/>
      <c r="OP232" s="11"/>
      <c r="OQ232" s="11"/>
      <c r="OR232" s="11"/>
      <c r="OS232" s="11"/>
      <c r="OT232" s="11"/>
      <c r="OU232" s="11"/>
      <c r="OV232" s="11"/>
      <c r="OW232" s="11"/>
      <c r="OX232" s="11"/>
      <c r="OY232" s="11"/>
      <c r="OZ232" s="11"/>
      <c r="PA232" s="11"/>
      <c r="PB232" s="11"/>
      <c r="PC232" s="11"/>
      <c r="PD232" s="11"/>
      <c r="PE232" s="11"/>
      <c r="PF232" s="11"/>
      <c r="PG232" s="11"/>
      <c r="PH232" s="11"/>
      <c r="PI232" s="11"/>
      <c r="PJ232" s="11"/>
      <c r="PK232" s="11"/>
      <c r="PL232" s="11"/>
      <c r="PM232" s="11"/>
      <c r="PN232" s="11"/>
      <c r="PO232" s="11"/>
      <c r="PP232" s="11"/>
      <c r="PQ232" s="11"/>
      <c r="PR232" s="11"/>
      <c r="PS232" s="11"/>
      <c r="PT232" s="11"/>
      <c r="PU232" s="11"/>
      <c r="PV232" s="11"/>
      <c r="PW232" s="11"/>
      <c r="PX232" s="11"/>
      <c r="PY232" s="11"/>
      <c r="PZ232" s="11"/>
      <c r="QA232" s="11"/>
      <c r="QB232" s="11"/>
      <c r="QC232" s="11"/>
      <c r="QD232" s="11"/>
      <c r="QE232" s="11"/>
      <c r="QF232" s="11"/>
      <c r="QG232" s="11"/>
      <c r="QH232" s="11"/>
      <c r="QI232" s="11"/>
      <c r="QJ232" s="11"/>
      <c r="QK232" s="11"/>
      <c r="QL232" s="11"/>
      <c r="QM232" s="11"/>
      <c r="QN232" s="11"/>
      <c r="QO232" s="11"/>
      <c r="QP232" s="11"/>
      <c r="QQ232" s="11"/>
      <c r="QR232" s="11"/>
      <c r="QS232" s="11"/>
      <c r="QT232" s="11"/>
      <c r="QU232" s="11"/>
      <c r="QV232" s="11"/>
      <c r="QW232" s="11"/>
      <c r="QX232" s="11"/>
      <c r="QY232" s="11"/>
      <c r="QZ232" s="11"/>
      <c r="RA232" s="11"/>
      <c r="RB232" s="11"/>
      <c r="RC232" s="11"/>
      <c r="RD232" s="11"/>
      <c r="RE232" s="11"/>
      <c r="RF232" s="11"/>
      <c r="RG232" s="11"/>
      <c r="RH232" s="11"/>
      <c r="RI232" s="11"/>
      <c r="RJ232" s="11"/>
      <c r="RK232" s="11"/>
      <c r="RL232" s="11"/>
      <c r="RM232" s="11"/>
      <c r="RN232" s="11"/>
      <c r="RO232" s="11"/>
      <c r="RP232" s="11"/>
      <c r="RQ232" s="11"/>
      <c r="RR232" s="11"/>
      <c r="RS232" s="11"/>
      <c r="RT232" s="11"/>
      <c r="RU232" s="11"/>
      <c r="RV232" s="11"/>
      <c r="RW232" s="11"/>
      <c r="RX232" s="11"/>
      <c r="RY232" s="11"/>
      <c r="RZ232" s="11"/>
      <c r="SA232" s="11"/>
      <c r="SB232" s="11"/>
      <c r="SC232" s="11"/>
      <c r="SD232" s="11"/>
      <c r="SE232" s="11"/>
      <c r="SF232" s="11"/>
      <c r="SG232" s="11"/>
      <c r="SH232" s="11">
        <v>1</v>
      </c>
    </row>
    <row r="233" spans="1:502" x14ac:dyDescent="0.2">
      <c r="A233" s="10">
        <v>2.5976546913131913E-2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>
        <v>1</v>
      </c>
      <c r="OD233" s="11"/>
      <c r="OE233" s="11"/>
      <c r="OF233" s="11"/>
      <c r="OG233" s="11"/>
      <c r="OH233" s="11"/>
      <c r="OI233" s="11"/>
      <c r="OJ233" s="11"/>
      <c r="OK233" s="11"/>
      <c r="OL233" s="11"/>
      <c r="OM233" s="11"/>
      <c r="ON233" s="11"/>
      <c r="OO233" s="11"/>
      <c r="OP233" s="11"/>
      <c r="OQ233" s="11"/>
      <c r="OR233" s="11"/>
      <c r="OS233" s="11"/>
      <c r="OT233" s="11"/>
      <c r="OU233" s="11"/>
      <c r="OV233" s="11"/>
      <c r="OW233" s="11"/>
      <c r="OX233" s="11"/>
      <c r="OY233" s="11"/>
      <c r="OZ233" s="11"/>
      <c r="PA233" s="11"/>
      <c r="PB233" s="11"/>
      <c r="PC233" s="11"/>
      <c r="PD233" s="11"/>
      <c r="PE233" s="11"/>
      <c r="PF233" s="11"/>
      <c r="PG233" s="11"/>
      <c r="PH233" s="11"/>
      <c r="PI233" s="11"/>
      <c r="PJ233" s="11"/>
      <c r="PK233" s="11"/>
      <c r="PL233" s="11"/>
      <c r="PM233" s="11"/>
      <c r="PN233" s="11"/>
      <c r="PO233" s="11"/>
      <c r="PP233" s="11"/>
      <c r="PQ233" s="11"/>
      <c r="PR233" s="11"/>
      <c r="PS233" s="11"/>
      <c r="PT233" s="11"/>
      <c r="PU233" s="11"/>
      <c r="PV233" s="11"/>
      <c r="PW233" s="11"/>
      <c r="PX233" s="11"/>
      <c r="PY233" s="11"/>
      <c r="PZ233" s="11"/>
      <c r="QA233" s="11"/>
      <c r="QB233" s="11"/>
      <c r="QC233" s="11"/>
      <c r="QD233" s="11"/>
      <c r="QE233" s="11"/>
      <c r="QF233" s="11"/>
      <c r="QG233" s="11"/>
      <c r="QH233" s="11"/>
      <c r="QI233" s="11"/>
      <c r="QJ233" s="11"/>
      <c r="QK233" s="11"/>
      <c r="QL233" s="11"/>
      <c r="QM233" s="11"/>
      <c r="QN233" s="11"/>
      <c r="QO233" s="11"/>
      <c r="QP233" s="11"/>
      <c r="QQ233" s="11"/>
      <c r="QR233" s="11"/>
      <c r="QS233" s="11"/>
      <c r="QT233" s="11"/>
      <c r="QU233" s="11"/>
      <c r="QV233" s="11"/>
      <c r="QW233" s="11"/>
      <c r="QX233" s="11"/>
      <c r="QY233" s="11"/>
      <c r="QZ233" s="11"/>
      <c r="RA233" s="11"/>
      <c r="RB233" s="11"/>
      <c r="RC233" s="11"/>
      <c r="RD233" s="11"/>
      <c r="RE233" s="11"/>
      <c r="RF233" s="11"/>
      <c r="RG233" s="11"/>
      <c r="RH233" s="11"/>
      <c r="RI233" s="11"/>
      <c r="RJ233" s="11"/>
      <c r="RK233" s="11"/>
      <c r="RL233" s="11"/>
      <c r="RM233" s="11"/>
      <c r="RN233" s="11"/>
      <c r="RO233" s="11"/>
      <c r="RP233" s="11"/>
      <c r="RQ233" s="11"/>
      <c r="RR233" s="11"/>
      <c r="RS233" s="11"/>
      <c r="RT233" s="11"/>
      <c r="RU233" s="11"/>
      <c r="RV233" s="11"/>
      <c r="RW233" s="11"/>
      <c r="RX233" s="11"/>
      <c r="RY233" s="11"/>
      <c r="RZ233" s="11"/>
      <c r="SA233" s="11"/>
      <c r="SB233" s="11"/>
      <c r="SC233" s="11"/>
      <c r="SD233" s="11"/>
      <c r="SE233" s="11"/>
      <c r="SF233" s="11"/>
      <c r="SG233" s="11"/>
      <c r="SH233" s="11">
        <v>1</v>
      </c>
    </row>
    <row r="234" spans="1:502" x14ac:dyDescent="0.2">
      <c r="A234" s="10">
        <v>2.6027086502707353E-2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>
        <v>1</v>
      </c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  <c r="OM234" s="11"/>
      <c r="ON234" s="11"/>
      <c r="OO234" s="11"/>
      <c r="OP234" s="11"/>
      <c r="OQ234" s="11"/>
      <c r="OR234" s="11"/>
      <c r="OS234" s="11"/>
      <c r="OT234" s="11"/>
      <c r="OU234" s="11"/>
      <c r="OV234" s="11"/>
      <c r="OW234" s="11"/>
      <c r="OX234" s="11"/>
      <c r="OY234" s="11"/>
      <c r="OZ234" s="11"/>
      <c r="PA234" s="11"/>
      <c r="PB234" s="11"/>
      <c r="PC234" s="11"/>
      <c r="PD234" s="11"/>
      <c r="PE234" s="11"/>
      <c r="PF234" s="11"/>
      <c r="PG234" s="11"/>
      <c r="PH234" s="11"/>
      <c r="PI234" s="11"/>
      <c r="PJ234" s="11"/>
      <c r="PK234" s="11"/>
      <c r="PL234" s="11"/>
      <c r="PM234" s="11"/>
      <c r="PN234" s="11"/>
      <c r="PO234" s="11"/>
      <c r="PP234" s="11"/>
      <c r="PQ234" s="11"/>
      <c r="PR234" s="11"/>
      <c r="PS234" s="11"/>
      <c r="PT234" s="11"/>
      <c r="PU234" s="11"/>
      <c r="PV234" s="11"/>
      <c r="PW234" s="11"/>
      <c r="PX234" s="11"/>
      <c r="PY234" s="11"/>
      <c r="PZ234" s="11"/>
      <c r="QA234" s="11"/>
      <c r="QB234" s="11"/>
      <c r="QC234" s="11"/>
      <c r="QD234" s="11"/>
      <c r="QE234" s="11"/>
      <c r="QF234" s="11"/>
      <c r="QG234" s="11"/>
      <c r="QH234" s="11"/>
      <c r="QI234" s="11"/>
      <c r="QJ234" s="11"/>
      <c r="QK234" s="11"/>
      <c r="QL234" s="11"/>
      <c r="QM234" s="11"/>
      <c r="QN234" s="11"/>
      <c r="QO234" s="11"/>
      <c r="QP234" s="11"/>
      <c r="QQ234" s="11"/>
      <c r="QR234" s="11"/>
      <c r="QS234" s="11"/>
      <c r="QT234" s="11"/>
      <c r="QU234" s="11"/>
      <c r="QV234" s="11"/>
      <c r="QW234" s="11"/>
      <c r="QX234" s="11"/>
      <c r="QY234" s="11"/>
      <c r="QZ234" s="11"/>
      <c r="RA234" s="11"/>
      <c r="RB234" s="11"/>
      <c r="RC234" s="11"/>
      <c r="RD234" s="11"/>
      <c r="RE234" s="11"/>
      <c r="RF234" s="11"/>
      <c r="RG234" s="11"/>
      <c r="RH234" s="11"/>
      <c r="RI234" s="11"/>
      <c r="RJ234" s="11"/>
      <c r="RK234" s="11"/>
      <c r="RL234" s="11"/>
      <c r="RM234" s="11"/>
      <c r="RN234" s="11"/>
      <c r="RO234" s="11"/>
      <c r="RP234" s="11"/>
      <c r="RQ234" s="11"/>
      <c r="RR234" s="11"/>
      <c r="RS234" s="11"/>
      <c r="RT234" s="11"/>
      <c r="RU234" s="11"/>
      <c r="RV234" s="11"/>
      <c r="RW234" s="11"/>
      <c r="RX234" s="11"/>
      <c r="RY234" s="11"/>
      <c r="RZ234" s="11"/>
      <c r="SA234" s="11"/>
      <c r="SB234" s="11"/>
      <c r="SC234" s="11"/>
      <c r="SD234" s="11"/>
      <c r="SE234" s="11"/>
      <c r="SF234" s="11"/>
      <c r="SG234" s="11"/>
      <c r="SH234" s="11">
        <v>1</v>
      </c>
    </row>
    <row r="235" spans="1:502" x14ac:dyDescent="0.2">
      <c r="A235" s="10">
        <v>2.6122443159636525E-2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>
        <v>1</v>
      </c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  <c r="OM235" s="11"/>
      <c r="ON235" s="11"/>
      <c r="OO235" s="11"/>
      <c r="OP235" s="11"/>
      <c r="OQ235" s="11"/>
      <c r="OR235" s="11"/>
      <c r="OS235" s="11"/>
      <c r="OT235" s="11"/>
      <c r="OU235" s="11"/>
      <c r="OV235" s="11"/>
      <c r="OW235" s="11"/>
      <c r="OX235" s="11"/>
      <c r="OY235" s="11"/>
      <c r="OZ235" s="11"/>
      <c r="PA235" s="11"/>
      <c r="PB235" s="11"/>
      <c r="PC235" s="11"/>
      <c r="PD235" s="11"/>
      <c r="PE235" s="11"/>
      <c r="PF235" s="11"/>
      <c r="PG235" s="11"/>
      <c r="PH235" s="11"/>
      <c r="PI235" s="11"/>
      <c r="PJ235" s="11"/>
      <c r="PK235" s="11"/>
      <c r="PL235" s="11"/>
      <c r="PM235" s="11"/>
      <c r="PN235" s="11"/>
      <c r="PO235" s="11"/>
      <c r="PP235" s="11"/>
      <c r="PQ235" s="11"/>
      <c r="PR235" s="11"/>
      <c r="PS235" s="11"/>
      <c r="PT235" s="11"/>
      <c r="PU235" s="11"/>
      <c r="PV235" s="11"/>
      <c r="PW235" s="11"/>
      <c r="PX235" s="11"/>
      <c r="PY235" s="11"/>
      <c r="PZ235" s="11"/>
      <c r="QA235" s="11"/>
      <c r="QB235" s="11"/>
      <c r="QC235" s="11"/>
      <c r="QD235" s="11"/>
      <c r="QE235" s="11"/>
      <c r="QF235" s="11"/>
      <c r="QG235" s="11"/>
      <c r="QH235" s="11"/>
      <c r="QI235" s="11"/>
      <c r="QJ235" s="11"/>
      <c r="QK235" s="11"/>
      <c r="QL235" s="11"/>
      <c r="QM235" s="11"/>
      <c r="QN235" s="11"/>
      <c r="QO235" s="11"/>
      <c r="QP235" s="11"/>
      <c r="QQ235" s="11"/>
      <c r="QR235" s="11"/>
      <c r="QS235" s="11"/>
      <c r="QT235" s="11"/>
      <c r="QU235" s="11"/>
      <c r="QV235" s="11"/>
      <c r="QW235" s="11"/>
      <c r="QX235" s="11"/>
      <c r="QY235" s="11"/>
      <c r="QZ235" s="11"/>
      <c r="RA235" s="11"/>
      <c r="RB235" s="11"/>
      <c r="RC235" s="11"/>
      <c r="RD235" s="11"/>
      <c r="RE235" s="11"/>
      <c r="RF235" s="11"/>
      <c r="RG235" s="11"/>
      <c r="RH235" s="11"/>
      <c r="RI235" s="11"/>
      <c r="RJ235" s="11"/>
      <c r="RK235" s="11"/>
      <c r="RL235" s="11"/>
      <c r="RM235" s="11"/>
      <c r="RN235" s="11"/>
      <c r="RO235" s="11"/>
      <c r="RP235" s="11"/>
      <c r="RQ235" s="11"/>
      <c r="RR235" s="11"/>
      <c r="RS235" s="11"/>
      <c r="RT235" s="11"/>
      <c r="RU235" s="11"/>
      <c r="RV235" s="11"/>
      <c r="RW235" s="11"/>
      <c r="RX235" s="11"/>
      <c r="RY235" s="11"/>
      <c r="RZ235" s="11"/>
      <c r="SA235" s="11"/>
      <c r="SB235" s="11"/>
      <c r="SC235" s="11"/>
      <c r="SD235" s="11"/>
      <c r="SE235" s="11"/>
      <c r="SF235" s="11"/>
      <c r="SG235" s="11"/>
      <c r="SH235" s="11">
        <v>1</v>
      </c>
    </row>
    <row r="236" spans="1:502" x14ac:dyDescent="0.2">
      <c r="A236" s="10">
        <v>2.6202920551410068E-2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>
        <v>1</v>
      </c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  <c r="OM236" s="11"/>
      <c r="ON236" s="11"/>
      <c r="OO236" s="11"/>
      <c r="OP236" s="11"/>
      <c r="OQ236" s="11"/>
      <c r="OR236" s="11"/>
      <c r="OS236" s="11"/>
      <c r="OT236" s="11"/>
      <c r="OU236" s="11"/>
      <c r="OV236" s="11"/>
      <c r="OW236" s="11"/>
      <c r="OX236" s="11"/>
      <c r="OY236" s="11"/>
      <c r="OZ236" s="11"/>
      <c r="PA236" s="11"/>
      <c r="PB236" s="11"/>
      <c r="PC236" s="11"/>
      <c r="PD236" s="11"/>
      <c r="PE236" s="11"/>
      <c r="PF236" s="11"/>
      <c r="PG236" s="11"/>
      <c r="PH236" s="11"/>
      <c r="PI236" s="11"/>
      <c r="PJ236" s="11"/>
      <c r="PK236" s="11"/>
      <c r="PL236" s="11"/>
      <c r="PM236" s="11"/>
      <c r="PN236" s="11"/>
      <c r="PO236" s="11"/>
      <c r="PP236" s="11"/>
      <c r="PQ236" s="11"/>
      <c r="PR236" s="11"/>
      <c r="PS236" s="11"/>
      <c r="PT236" s="11"/>
      <c r="PU236" s="11"/>
      <c r="PV236" s="11"/>
      <c r="PW236" s="11"/>
      <c r="PX236" s="11"/>
      <c r="PY236" s="11"/>
      <c r="PZ236" s="11"/>
      <c r="QA236" s="11"/>
      <c r="QB236" s="11"/>
      <c r="QC236" s="11"/>
      <c r="QD236" s="11"/>
      <c r="QE236" s="11"/>
      <c r="QF236" s="11"/>
      <c r="QG236" s="11"/>
      <c r="QH236" s="11"/>
      <c r="QI236" s="11"/>
      <c r="QJ236" s="11"/>
      <c r="QK236" s="11"/>
      <c r="QL236" s="11"/>
      <c r="QM236" s="11"/>
      <c r="QN236" s="11"/>
      <c r="QO236" s="11"/>
      <c r="QP236" s="11"/>
      <c r="QQ236" s="11"/>
      <c r="QR236" s="11"/>
      <c r="QS236" s="11"/>
      <c r="QT236" s="11"/>
      <c r="QU236" s="11"/>
      <c r="QV236" s="11"/>
      <c r="QW236" s="11"/>
      <c r="QX236" s="11"/>
      <c r="QY236" s="11"/>
      <c r="QZ236" s="11"/>
      <c r="RA236" s="11"/>
      <c r="RB236" s="11"/>
      <c r="RC236" s="11"/>
      <c r="RD236" s="11"/>
      <c r="RE236" s="11"/>
      <c r="RF236" s="11"/>
      <c r="RG236" s="11"/>
      <c r="RH236" s="11"/>
      <c r="RI236" s="11"/>
      <c r="RJ236" s="11"/>
      <c r="RK236" s="11"/>
      <c r="RL236" s="11"/>
      <c r="RM236" s="11"/>
      <c r="RN236" s="11"/>
      <c r="RO236" s="11"/>
      <c r="RP236" s="11"/>
      <c r="RQ236" s="11"/>
      <c r="RR236" s="11"/>
      <c r="RS236" s="11"/>
      <c r="RT236" s="11"/>
      <c r="RU236" s="11"/>
      <c r="RV236" s="11"/>
      <c r="RW236" s="11"/>
      <c r="RX236" s="11"/>
      <c r="RY236" s="11"/>
      <c r="RZ236" s="11"/>
      <c r="SA236" s="11"/>
      <c r="SB236" s="11"/>
      <c r="SC236" s="11"/>
      <c r="SD236" s="11"/>
      <c r="SE236" s="11"/>
      <c r="SF236" s="11"/>
      <c r="SG236" s="11"/>
      <c r="SH236" s="11">
        <v>1</v>
      </c>
    </row>
    <row r="237" spans="1:502" x14ac:dyDescent="0.2">
      <c r="A237" s="10">
        <v>2.6214450803688123E-2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>
        <v>1</v>
      </c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  <c r="OM237" s="11"/>
      <c r="ON237" s="11"/>
      <c r="OO237" s="11"/>
      <c r="OP237" s="11"/>
      <c r="OQ237" s="11"/>
      <c r="OR237" s="11"/>
      <c r="OS237" s="11"/>
      <c r="OT237" s="11"/>
      <c r="OU237" s="11"/>
      <c r="OV237" s="11"/>
      <c r="OW237" s="11"/>
      <c r="OX237" s="11"/>
      <c r="OY237" s="11"/>
      <c r="OZ237" s="11"/>
      <c r="PA237" s="11"/>
      <c r="PB237" s="11"/>
      <c r="PC237" s="11"/>
      <c r="PD237" s="11"/>
      <c r="PE237" s="11"/>
      <c r="PF237" s="11"/>
      <c r="PG237" s="11"/>
      <c r="PH237" s="11"/>
      <c r="PI237" s="11"/>
      <c r="PJ237" s="11"/>
      <c r="PK237" s="11"/>
      <c r="PL237" s="11"/>
      <c r="PM237" s="11"/>
      <c r="PN237" s="11"/>
      <c r="PO237" s="11"/>
      <c r="PP237" s="11"/>
      <c r="PQ237" s="11"/>
      <c r="PR237" s="11"/>
      <c r="PS237" s="11"/>
      <c r="PT237" s="11"/>
      <c r="PU237" s="11"/>
      <c r="PV237" s="11"/>
      <c r="PW237" s="11"/>
      <c r="PX237" s="11"/>
      <c r="PY237" s="11"/>
      <c r="PZ237" s="11"/>
      <c r="QA237" s="11"/>
      <c r="QB237" s="11"/>
      <c r="QC237" s="11"/>
      <c r="QD237" s="11"/>
      <c r="QE237" s="11"/>
      <c r="QF237" s="11"/>
      <c r="QG237" s="11"/>
      <c r="QH237" s="11"/>
      <c r="QI237" s="11"/>
      <c r="QJ237" s="11"/>
      <c r="QK237" s="11"/>
      <c r="QL237" s="11"/>
      <c r="QM237" s="11"/>
      <c r="QN237" s="11"/>
      <c r="QO237" s="11"/>
      <c r="QP237" s="11"/>
      <c r="QQ237" s="11"/>
      <c r="QR237" s="11"/>
      <c r="QS237" s="11"/>
      <c r="QT237" s="11"/>
      <c r="QU237" s="11"/>
      <c r="QV237" s="11"/>
      <c r="QW237" s="11"/>
      <c r="QX237" s="11"/>
      <c r="QY237" s="11"/>
      <c r="QZ237" s="11"/>
      <c r="RA237" s="11"/>
      <c r="RB237" s="11"/>
      <c r="RC237" s="11"/>
      <c r="RD237" s="11"/>
      <c r="RE237" s="11"/>
      <c r="RF237" s="11"/>
      <c r="RG237" s="11"/>
      <c r="RH237" s="11"/>
      <c r="RI237" s="11"/>
      <c r="RJ237" s="11"/>
      <c r="RK237" s="11"/>
      <c r="RL237" s="11"/>
      <c r="RM237" s="11"/>
      <c r="RN237" s="11"/>
      <c r="RO237" s="11"/>
      <c r="RP237" s="11"/>
      <c r="RQ237" s="11"/>
      <c r="RR237" s="11"/>
      <c r="RS237" s="11"/>
      <c r="RT237" s="11"/>
      <c r="RU237" s="11"/>
      <c r="RV237" s="11"/>
      <c r="RW237" s="11"/>
      <c r="RX237" s="11"/>
      <c r="RY237" s="11"/>
      <c r="RZ237" s="11"/>
      <c r="SA237" s="11"/>
      <c r="SB237" s="11"/>
      <c r="SC237" s="11"/>
      <c r="SD237" s="11"/>
      <c r="SE237" s="11"/>
      <c r="SF237" s="11"/>
      <c r="SG237" s="11"/>
      <c r="SH237" s="11">
        <v>1</v>
      </c>
    </row>
    <row r="238" spans="1:502" x14ac:dyDescent="0.2">
      <c r="A238" s="10">
        <v>2.6272344531935901E-2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>
        <v>1</v>
      </c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  <c r="OM238" s="11"/>
      <c r="ON238" s="11"/>
      <c r="OO238" s="11"/>
      <c r="OP238" s="11"/>
      <c r="OQ238" s="11"/>
      <c r="OR238" s="11"/>
      <c r="OS238" s="11"/>
      <c r="OT238" s="11"/>
      <c r="OU238" s="11"/>
      <c r="OV238" s="11"/>
      <c r="OW238" s="11"/>
      <c r="OX238" s="11"/>
      <c r="OY238" s="11"/>
      <c r="OZ238" s="11"/>
      <c r="PA238" s="11"/>
      <c r="PB238" s="11"/>
      <c r="PC238" s="11"/>
      <c r="PD238" s="11"/>
      <c r="PE238" s="11"/>
      <c r="PF238" s="11"/>
      <c r="PG238" s="11"/>
      <c r="PH238" s="11"/>
      <c r="PI238" s="11"/>
      <c r="PJ238" s="11"/>
      <c r="PK238" s="11"/>
      <c r="PL238" s="11"/>
      <c r="PM238" s="11"/>
      <c r="PN238" s="11"/>
      <c r="PO238" s="11"/>
      <c r="PP238" s="11"/>
      <c r="PQ238" s="11"/>
      <c r="PR238" s="11"/>
      <c r="PS238" s="11"/>
      <c r="PT238" s="11"/>
      <c r="PU238" s="11"/>
      <c r="PV238" s="11"/>
      <c r="PW238" s="11"/>
      <c r="PX238" s="11"/>
      <c r="PY238" s="11"/>
      <c r="PZ238" s="11"/>
      <c r="QA238" s="11"/>
      <c r="QB238" s="11"/>
      <c r="QC238" s="11"/>
      <c r="QD238" s="11"/>
      <c r="QE238" s="11"/>
      <c r="QF238" s="11"/>
      <c r="QG238" s="11"/>
      <c r="QH238" s="11"/>
      <c r="QI238" s="11"/>
      <c r="QJ238" s="11"/>
      <c r="QK238" s="11"/>
      <c r="QL238" s="11"/>
      <c r="QM238" s="11"/>
      <c r="QN238" s="11"/>
      <c r="QO238" s="11"/>
      <c r="QP238" s="11"/>
      <c r="QQ238" s="11"/>
      <c r="QR238" s="11"/>
      <c r="QS238" s="11"/>
      <c r="QT238" s="11"/>
      <c r="QU238" s="11"/>
      <c r="QV238" s="11"/>
      <c r="QW238" s="11"/>
      <c r="QX238" s="11"/>
      <c r="QY238" s="11"/>
      <c r="QZ238" s="11"/>
      <c r="RA238" s="11"/>
      <c r="RB238" s="11"/>
      <c r="RC238" s="11"/>
      <c r="RD238" s="11"/>
      <c r="RE238" s="11"/>
      <c r="RF238" s="11"/>
      <c r="RG238" s="11"/>
      <c r="RH238" s="11"/>
      <c r="RI238" s="11"/>
      <c r="RJ238" s="11"/>
      <c r="RK238" s="11"/>
      <c r="RL238" s="11"/>
      <c r="RM238" s="11"/>
      <c r="RN238" s="11"/>
      <c r="RO238" s="11"/>
      <c r="RP238" s="11"/>
      <c r="RQ238" s="11"/>
      <c r="RR238" s="11"/>
      <c r="RS238" s="11"/>
      <c r="RT238" s="11"/>
      <c r="RU238" s="11"/>
      <c r="RV238" s="11"/>
      <c r="RW238" s="11"/>
      <c r="RX238" s="11"/>
      <c r="RY238" s="11"/>
      <c r="RZ238" s="11"/>
      <c r="SA238" s="11"/>
      <c r="SB238" s="11"/>
      <c r="SC238" s="11"/>
      <c r="SD238" s="11"/>
      <c r="SE238" s="11"/>
      <c r="SF238" s="11"/>
      <c r="SG238" s="11"/>
      <c r="SH238" s="11">
        <v>1</v>
      </c>
    </row>
    <row r="239" spans="1:502" x14ac:dyDescent="0.2">
      <c r="A239" s="10">
        <v>2.6336878768803244E-2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>
        <v>1</v>
      </c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  <c r="OM239" s="11"/>
      <c r="ON239" s="11"/>
      <c r="OO239" s="11"/>
      <c r="OP239" s="11"/>
      <c r="OQ239" s="11"/>
      <c r="OR239" s="11"/>
      <c r="OS239" s="11"/>
      <c r="OT239" s="11"/>
      <c r="OU239" s="11"/>
      <c r="OV239" s="11"/>
      <c r="OW239" s="11"/>
      <c r="OX239" s="11"/>
      <c r="OY239" s="11"/>
      <c r="OZ239" s="11"/>
      <c r="PA239" s="11"/>
      <c r="PB239" s="11"/>
      <c r="PC239" s="11"/>
      <c r="PD239" s="11"/>
      <c r="PE239" s="11"/>
      <c r="PF239" s="11"/>
      <c r="PG239" s="11"/>
      <c r="PH239" s="11"/>
      <c r="PI239" s="11"/>
      <c r="PJ239" s="11"/>
      <c r="PK239" s="11"/>
      <c r="PL239" s="11"/>
      <c r="PM239" s="11"/>
      <c r="PN239" s="11"/>
      <c r="PO239" s="11"/>
      <c r="PP239" s="11"/>
      <c r="PQ239" s="11"/>
      <c r="PR239" s="11"/>
      <c r="PS239" s="11"/>
      <c r="PT239" s="11"/>
      <c r="PU239" s="11"/>
      <c r="PV239" s="11"/>
      <c r="PW239" s="11"/>
      <c r="PX239" s="11"/>
      <c r="PY239" s="11"/>
      <c r="PZ239" s="11"/>
      <c r="QA239" s="11"/>
      <c r="QB239" s="11"/>
      <c r="QC239" s="11"/>
      <c r="QD239" s="11"/>
      <c r="QE239" s="11"/>
      <c r="QF239" s="11"/>
      <c r="QG239" s="11"/>
      <c r="QH239" s="11"/>
      <c r="QI239" s="11"/>
      <c r="QJ239" s="11"/>
      <c r="QK239" s="11"/>
      <c r="QL239" s="11"/>
      <c r="QM239" s="11"/>
      <c r="QN239" s="11"/>
      <c r="QO239" s="11"/>
      <c r="QP239" s="11"/>
      <c r="QQ239" s="11"/>
      <c r="QR239" s="11"/>
      <c r="QS239" s="11"/>
      <c r="QT239" s="11"/>
      <c r="QU239" s="11"/>
      <c r="QV239" s="11"/>
      <c r="QW239" s="11"/>
      <c r="QX239" s="11"/>
      <c r="QY239" s="11"/>
      <c r="QZ239" s="11"/>
      <c r="RA239" s="11"/>
      <c r="RB239" s="11"/>
      <c r="RC239" s="11"/>
      <c r="RD239" s="11"/>
      <c r="RE239" s="11"/>
      <c r="RF239" s="11"/>
      <c r="RG239" s="11"/>
      <c r="RH239" s="11"/>
      <c r="RI239" s="11"/>
      <c r="RJ239" s="11"/>
      <c r="RK239" s="11"/>
      <c r="RL239" s="11"/>
      <c r="RM239" s="11"/>
      <c r="RN239" s="11"/>
      <c r="RO239" s="11"/>
      <c r="RP239" s="11"/>
      <c r="RQ239" s="11"/>
      <c r="RR239" s="11"/>
      <c r="RS239" s="11"/>
      <c r="RT239" s="11"/>
      <c r="RU239" s="11"/>
      <c r="RV239" s="11"/>
      <c r="RW239" s="11"/>
      <c r="RX239" s="11"/>
      <c r="RY239" s="11"/>
      <c r="RZ239" s="11"/>
      <c r="SA239" s="11"/>
      <c r="SB239" s="11"/>
      <c r="SC239" s="11"/>
      <c r="SD239" s="11"/>
      <c r="SE239" s="11"/>
      <c r="SF239" s="11"/>
      <c r="SG239" s="11"/>
      <c r="SH239" s="11">
        <v>1</v>
      </c>
    </row>
    <row r="240" spans="1:502" x14ac:dyDescent="0.2">
      <c r="A240" s="10">
        <v>2.6359812138903482E-2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>
        <v>1</v>
      </c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  <c r="OM240" s="11"/>
      <c r="ON240" s="11"/>
      <c r="OO240" s="11"/>
      <c r="OP240" s="11"/>
      <c r="OQ240" s="11"/>
      <c r="OR240" s="11"/>
      <c r="OS240" s="11"/>
      <c r="OT240" s="11"/>
      <c r="OU240" s="11"/>
      <c r="OV240" s="11"/>
      <c r="OW240" s="11"/>
      <c r="OX240" s="11"/>
      <c r="OY240" s="11"/>
      <c r="OZ240" s="11"/>
      <c r="PA240" s="11"/>
      <c r="PB240" s="11"/>
      <c r="PC240" s="11"/>
      <c r="PD240" s="11"/>
      <c r="PE240" s="11"/>
      <c r="PF240" s="11"/>
      <c r="PG240" s="11"/>
      <c r="PH240" s="11"/>
      <c r="PI240" s="11"/>
      <c r="PJ240" s="11"/>
      <c r="PK240" s="11"/>
      <c r="PL240" s="11"/>
      <c r="PM240" s="11"/>
      <c r="PN240" s="11"/>
      <c r="PO240" s="11"/>
      <c r="PP240" s="11"/>
      <c r="PQ240" s="11"/>
      <c r="PR240" s="11"/>
      <c r="PS240" s="11"/>
      <c r="PT240" s="11"/>
      <c r="PU240" s="11"/>
      <c r="PV240" s="11"/>
      <c r="PW240" s="11"/>
      <c r="PX240" s="11"/>
      <c r="PY240" s="11"/>
      <c r="PZ240" s="11"/>
      <c r="QA240" s="11"/>
      <c r="QB240" s="11"/>
      <c r="QC240" s="11"/>
      <c r="QD240" s="11"/>
      <c r="QE240" s="11"/>
      <c r="QF240" s="11"/>
      <c r="QG240" s="11"/>
      <c r="QH240" s="11"/>
      <c r="QI240" s="11"/>
      <c r="QJ240" s="11"/>
      <c r="QK240" s="11"/>
      <c r="QL240" s="11"/>
      <c r="QM240" s="11"/>
      <c r="QN240" s="11"/>
      <c r="QO240" s="11"/>
      <c r="QP240" s="11"/>
      <c r="QQ240" s="11"/>
      <c r="QR240" s="11"/>
      <c r="QS240" s="11"/>
      <c r="QT240" s="11"/>
      <c r="QU240" s="11"/>
      <c r="QV240" s="11"/>
      <c r="QW240" s="11"/>
      <c r="QX240" s="11"/>
      <c r="QY240" s="11"/>
      <c r="QZ240" s="11"/>
      <c r="RA240" s="11"/>
      <c r="RB240" s="11"/>
      <c r="RC240" s="11"/>
      <c r="RD240" s="11"/>
      <c r="RE240" s="11"/>
      <c r="RF240" s="11"/>
      <c r="RG240" s="11"/>
      <c r="RH240" s="11"/>
      <c r="RI240" s="11"/>
      <c r="RJ240" s="11"/>
      <c r="RK240" s="11"/>
      <c r="RL240" s="11"/>
      <c r="RM240" s="11"/>
      <c r="RN240" s="11"/>
      <c r="RO240" s="11"/>
      <c r="RP240" s="11"/>
      <c r="RQ240" s="11"/>
      <c r="RR240" s="11"/>
      <c r="RS240" s="11"/>
      <c r="RT240" s="11"/>
      <c r="RU240" s="11"/>
      <c r="RV240" s="11"/>
      <c r="RW240" s="11"/>
      <c r="RX240" s="11"/>
      <c r="RY240" s="11"/>
      <c r="RZ240" s="11"/>
      <c r="SA240" s="11"/>
      <c r="SB240" s="11"/>
      <c r="SC240" s="11"/>
      <c r="SD240" s="11"/>
      <c r="SE240" s="11"/>
      <c r="SF240" s="11"/>
      <c r="SG240" s="11"/>
      <c r="SH240" s="11">
        <v>1</v>
      </c>
    </row>
    <row r="241" spans="1:502" x14ac:dyDescent="0.2">
      <c r="A241" s="10">
        <v>2.6377871179648273E-2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>
        <v>1</v>
      </c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  <c r="OM241" s="11"/>
      <c r="ON241" s="11"/>
      <c r="OO241" s="11"/>
      <c r="OP241" s="11"/>
      <c r="OQ241" s="11"/>
      <c r="OR241" s="11"/>
      <c r="OS241" s="11"/>
      <c r="OT241" s="11"/>
      <c r="OU241" s="11"/>
      <c r="OV241" s="11"/>
      <c r="OW241" s="11"/>
      <c r="OX241" s="11"/>
      <c r="OY241" s="11"/>
      <c r="OZ241" s="11"/>
      <c r="PA241" s="11"/>
      <c r="PB241" s="11"/>
      <c r="PC241" s="11"/>
      <c r="PD241" s="11"/>
      <c r="PE241" s="11"/>
      <c r="PF241" s="11"/>
      <c r="PG241" s="11"/>
      <c r="PH241" s="11"/>
      <c r="PI241" s="11"/>
      <c r="PJ241" s="11"/>
      <c r="PK241" s="11"/>
      <c r="PL241" s="11"/>
      <c r="PM241" s="11"/>
      <c r="PN241" s="11"/>
      <c r="PO241" s="11"/>
      <c r="PP241" s="11"/>
      <c r="PQ241" s="11"/>
      <c r="PR241" s="11"/>
      <c r="PS241" s="11"/>
      <c r="PT241" s="11"/>
      <c r="PU241" s="11"/>
      <c r="PV241" s="11"/>
      <c r="PW241" s="11"/>
      <c r="PX241" s="11"/>
      <c r="PY241" s="11"/>
      <c r="PZ241" s="11"/>
      <c r="QA241" s="11"/>
      <c r="QB241" s="11"/>
      <c r="QC241" s="11"/>
      <c r="QD241" s="11"/>
      <c r="QE241" s="11"/>
      <c r="QF241" s="11"/>
      <c r="QG241" s="11"/>
      <c r="QH241" s="11"/>
      <c r="QI241" s="11"/>
      <c r="QJ241" s="11"/>
      <c r="QK241" s="11"/>
      <c r="QL241" s="11"/>
      <c r="QM241" s="11"/>
      <c r="QN241" s="11"/>
      <c r="QO241" s="11"/>
      <c r="QP241" s="11"/>
      <c r="QQ241" s="11"/>
      <c r="QR241" s="11"/>
      <c r="QS241" s="11"/>
      <c r="QT241" s="11"/>
      <c r="QU241" s="11"/>
      <c r="QV241" s="11"/>
      <c r="QW241" s="11"/>
      <c r="QX241" s="11"/>
      <c r="QY241" s="11"/>
      <c r="QZ241" s="11"/>
      <c r="RA241" s="11"/>
      <c r="RB241" s="11"/>
      <c r="RC241" s="11"/>
      <c r="RD241" s="11"/>
      <c r="RE241" s="11"/>
      <c r="RF241" s="11"/>
      <c r="RG241" s="11"/>
      <c r="RH241" s="11"/>
      <c r="RI241" s="11"/>
      <c r="RJ241" s="11"/>
      <c r="RK241" s="11"/>
      <c r="RL241" s="11"/>
      <c r="RM241" s="11"/>
      <c r="RN241" s="11"/>
      <c r="RO241" s="11"/>
      <c r="RP241" s="11"/>
      <c r="RQ241" s="11"/>
      <c r="RR241" s="11"/>
      <c r="RS241" s="11"/>
      <c r="RT241" s="11"/>
      <c r="RU241" s="11"/>
      <c r="RV241" s="11"/>
      <c r="RW241" s="11"/>
      <c r="RX241" s="11"/>
      <c r="RY241" s="11"/>
      <c r="RZ241" s="11"/>
      <c r="SA241" s="11"/>
      <c r="SB241" s="11"/>
      <c r="SC241" s="11"/>
      <c r="SD241" s="11"/>
      <c r="SE241" s="11"/>
      <c r="SF241" s="11"/>
      <c r="SG241" s="11"/>
      <c r="SH241" s="11">
        <v>1</v>
      </c>
    </row>
    <row r="242" spans="1:502" x14ac:dyDescent="0.2">
      <c r="A242" s="10">
        <v>2.6478719217006955E-2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  <c r="OM242" s="11"/>
      <c r="ON242" s="11"/>
      <c r="OO242" s="11"/>
      <c r="OP242" s="11"/>
      <c r="OQ242" s="11"/>
      <c r="OR242" s="11"/>
      <c r="OS242" s="11"/>
      <c r="OT242" s="11"/>
      <c r="OU242" s="11"/>
      <c r="OV242" s="11"/>
      <c r="OW242" s="11"/>
      <c r="OX242" s="11"/>
      <c r="OY242" s="11"/>
      <c r="OZ242" s="11"/>
      <c r="PA242" s="11"/>
      <c r="PB242" s="11"/>
      <c r="PC242" s="11"/>
      <c r="PD242" s="11"/>
      <c r="PE242" s="11"/>
      <c r="PF242" s="11"/>
      <c r="PG242" s="11"/>
      <c r="PH242" s="11"/>
      <c r="PI242" s="11">
        <v>1</v>
      </c>
      <c r="PJ242" s="11"/>
      <c r="PK242" s="11"/>
      <c r="PL242" s="11"/>
      <c r="PM242" s="11"/>
      <c r="PN242" s="11"/>
      <c r="PO242" s="11"/>
      <c r="PP242" s="11"/>
      <c r="PQ242" s="11"/>
      <c r="PR242" s="11"/>
      <c r="PS242" s="11"/>
      <c r="PT242" s="11"/>
      <c r="PU242" s="11"/>
      <c r="PV242" s="11"/>
      <c r="PW242" s="11"/>
      <c r="PX242" s="11"/>
      <c r="PY242" s="11"/>
      <c r="PZ242" s="11"/>
      <c r="QA242" s="11"/>
      <c r="QB242" s="11"/>
      <c r="QC242" s="11"/>
      <c r="QD242" s="11"/>
      <c r="QE242" s="11"/>
      <c r="QF242" s="11"/>
      <c r="QG242" s="11"/>
      <c r="QH242" s="11"/>
      <c r="QI242" s="11"/>
      <c r="QJ242" s="11"/>
      <c r="QK242" s="11"/>
      <c r="QL242" s="11"/>
      <c r="QM242" s="11"/>
      <c r="QN242" s="11"/>
      <c r="QO242" s="11"/>
      <c r="QP242" s="11"/>
      <c r="QQ242" s="11"/>
      <c r="QR242" s="11"/>
      <c r="QS242" s="11"/>
      <c r="QT242" s="11"/>
      <c r="QU242" s="11"/>
      <c r="QV242" s="11"/>
      <c r="QW242" s="11"/>
      <c r="QX242" s="11"/>
      <c r="QY242" s="11"/>
      <c r="QZ242" s="11"/>
      <c r="RA242" s="11"/>
      <c r="RB242" s="11"/>
      <c r="RC242" s="11"/>
      <c r="RD242" s="11"/>
      <c r="RE242" s="11"/>
      <c r="RF242" s="11"/>
      <c r="RG242" s="11"/>
      <c r="RH242" s="11"/>
      <c r="RI242" s="11"/>
      <c r="RJ242" s="11"/>
      <c r="RK242" s="11"/>
      <c r="RL242" s="11"/>
      <c r="RM242" s="11"/>
      <c r="RN242" s="11"/>
      <c r="RO242" s="11"/>
      <c r="RP242" s="11"/>
      <c r="RQ242" s="11"/>
      <c r="RR242" s="11"/>
      <c r="RS242" s="11"/>
      <c r="RT242" s="11"/>
      <c r="RU242" s="11"/>
      <c r="RV242" s="11"/>
      <c r="RW242" s="11"/>
      <c r="RX242" s="11"/>
      <c r="RY242" s="11"/>
      <c r="RZ242" s="11"/>
      <c r="SA242" s="11"/>
      <c r="SB242" s="11"/>
      <c r="SC242" s="11"/>
      <c r="SD242" s="11"/>
      <c r="SE242" s="11"/>
      <c r="SF242" s="11"/>
      <c r="SG242" s="11"/>
      <c r="SH242" s="11">
        <v>1</v>
      </c>
    </row>
    <row r="243" spans="1:502" x14ac:dyDescent="0.2">
      <c r="A243" s="10">
        <v>2.653387143633977E-2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>
        <v>1</v>
      </c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  <c r="OM243" s="11"/>
      <c r="ON243" s="11"/>
      <c r="OO243" s="11"/>
      <c r="OP243" s="11"/>
      <c r="OQ243" s="11"/>
      <c r="OR243" s="11"/>
      <c r="OS243" s="11"/>
      <c r="OT243" s="11"/>
      <c r="OU243" s="11"/>
      <c r="OV243" s="11"/>
      <c r="OW243" s="11"/>
      <c r="OX243" s="11"/>
      <c r="OY243" s="11"/>
      <c r="OZ243" s="11"/>
      <c r="PA243" s="11"/>
      <c r="PB243" s="11"/>
      <c r="PC243" s="11"/>
      <c r="PD243" s="11"/>
      <c r="PE243" s="11"/>
      <c r="PF243" s="11"/>
      <c r="PG243" s="11"/>
      <c r="PH243" s="11"/>
      <c r="PI243" s="11"/>
      <c r="PJ243" s="11"/>
      <c r="PK243" s="11"/>
      <c r="PL243" s="11"/>
      <c r="PM243" s="11"/>
      <c r="PN243" s="11"/>
      <c r="PO243" s="11"/>
      <c r="PP243" s="11"/>
      <c r="PQ243" s="11"/>
      <c r="PR243" s="11"/>
      <c r="PS243" s="11"/>
      <c r="PT243" s="11"/>
      <c r="PU243" s="11"/>
      <c r="PV243" s="11"/>
      <c r="PW243" s="11"/>
      <c r="PX243" s="11"/>
      <c r="PY243" s="11"/>
      <c r="PZ243" s="11"/>
      <c r="QA243" s="11"/>
      <c r="QB243" s="11"/>
      <c r="QC243" s="11"/>
      <c r="QD243" s="11"/>
      <c r="QE243" s="11"/>
      <c r="QF243" s="11"/>
      <c r="QG243" s="11"/>
      <c r="QH243" s="11"/>
      <c r="QI243" s="11"/>
      <c r="QJ243" s="11"/>
      <c r="QK243" s="11"/>
      <c r="QL243" s="11"/>
      <c r="QM243" s="11"/>
      <c r="QN243" s="11"/>
      <c r="QO243" s="11"/>
      <c r="QP243" s="11"/>
      <c r="QQ243" s="11"/>
      <c r="QR243" s="11"/>
      <c r="QS243" s="11"/>
      <c r="QT243" s="11"/>
      <c r="QU243" s="11"/>
      <c r="QV243" s="11"/>
      <c r="QW243" s="11"/>
      <c r="QX243" s="11"/>
      <c r="QY243" s="11"/>
      <c r="QZ243" s="11"/>
      <c r="RA243" s="11"/>
      <c r="RB243" s="11"/>
      <c r="RC243" s="11"/>
      <c r="RD243" s="11"/>
      <c r="RE243" s="11"/>
      <c r="RF243" s="11"/>
      <c r="RG243" s="11"/>
      <c r="RH243" s="11"/>
      <c r="RI243" s="11"/>
      <c r="RJ243" s="11"/>
      <c r="RK243" s="11"/>
      <c r="RL243" s="11"/>
      <c r="RM243" s="11"/>
      <c r="RN243" s="11"/>
      <c r="RO243" s="11"/>
      <c r="RP243" s="11"/>
      <c r="RQ243" s="11"/>
      <c r="RR243" s="11"/>
      <c r="RS243" s="11"/>
      <c r="RT243" s="11"/>
      <c r="RU243" s="11"/>
      <c r="RV243" s="11"/>
      <c r="RW243" s="11"/>
      <c r="RX243" s="11"/>
      <c r="RY243" s="11"/>
      <c r="RZ243" s="11"/>
      <c r="SA243" s="11"/>
      <c r="SB243" s="11"/>
      <c r="SC243" s="11"/>
      <c r="SD243" s="11"/>
      <c r="SE243" s="11"/>
      <c r="SF243" s="11"/>
      <c r="SG243" s="11"/>
      <c r="SH243" s="11">
        <v>1</v>
      </c>
    </row>
    <row r="244" spans="1:502" x14ac:dyDescent="0.2">
      <c r="A244" s="10">
        <v>2.6546677634341945E-2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>
        <v>1</v>
      </c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  <c r="OM244" s="11"/>
      <c r="ON244" s="11"/>
      <c r="OO244" s="11"/>
      <c r="OP244" s="11"/>
      <c r="OQ244" s="11"/>
      <c r="OR244" s="11"/>
      <c r="OS244" s="11"/>
      <c r="OT244" s="11"/>
      <c r="OU244" s="11"/>
      <c r="OV244" s="11"/>
      <c r="OW244" s="11"/>
      <c r="OX244" s="11"/>
      <c r="OY244" s="11"/>
      <c r="OZ244" s="11"/>
      <c r="PA244" s="11"/>
      <c r="PB244" s="11"/>
      <c r="PC244" s="11"/>
      <c r="PD244" s="11"/>
      <c r="PE244" s="11"/>
      <c r="PF244" s="11"/>
      <c r="PG244" s="11"/>
      <c r="PH244" s="11"/>
      <c r="PI244" s="11"/>
      <c r="PJ244" s="11"/>
      <c r="PK244" s="11"/>
      <c r="PL244" s="11"/>
      <c r="PM244" s="11"/>
      <c r="PN244" s="11"/>
      <c r="PO244" s="11"/>
      <c r="PP244" s="11"/>
      <c r="PQ244" s="11"/>
      <c r="PR244" s="11"/>
      <c r="PS244" s="11"/>
      <c r="PT244" s="11"/>
      <c r="PU244" s="11"/>
      <c r="PV244" s="11"/>
      <c r="PW244" s="11"/>
      <c r="PX244" s="11"/>
      <c r="PY244" s="11"/>
      <c r="PZ244" s="11"/>
      <c r="QA244" s="11"/>
      <c r="QB244" s="11"/>
      <c r="QC244" s="11"/>
      <c r="QD244" s="11"/>
      <c r="QE244" s="11"/>
      <c r="QF244" s="11"/>
      <c r="QG244" s="11"/>
      <c r="QH244" s="11"/>
      <c r="QI244" s="11"/>
      <c r="QJ244" s="11"/>
      <c r="QK244" s="11"/>
      <c r="QL244" s="11"/>
      <c r="QM244" s="11"/>
      <c r="QN244" s="11"/>
      <c r="QO244" s="11"/>
      <c r="QP244" s="11"/>
      <c r="QQ244" s="11"/>
      <c r="QR244" s="11"/>
      <c r="QS244" s="11"/>
      <c r="QT244" s="11"/>
      <c r="QU244" s="11"/>
      <c r="QV244" s="11"/>
      <c r="QW244" s="11"/>
      <c r="QX244" s="11"/>
      <c r="QY244" s="11"/>
      <c r="QZ244" s="11"/>
      <c r="RA244" s="11"/>
      <c r="RB244" s="11"/>
      <c r="RC244" s="11"/>
      <c r="RD244" s="11"/>
      <c r="RE244" s="11"/>
      <c r="RF244" s="11"/>
      <c r="RG244" s="11"/>
      <c r="RH244" s="11"/>
      <c r="RI244" s="11"/>
      <c r="RJ244" s="11"/>
      <c r="RK244" s="11"/>
      <c r="RL244" s="11"/>
      <c r="RM244" s="11"/>
      <c r="RN244" s="11"/>
      <c r="RO244" s="11"/>
      <c r="RP244" s="11"/>
      <c r="RQ244" s="11"/>
      <c r="RR244" s="11"/>
      <c r="RS244" s="11"/>
      <c r="RT244" s="11"/>
      <c r="RU244" s="11"/>
      <c r="RV244" s="11"/>
      <c r="RW244" s="11"/>
      <c r="RX244" s="11"/>
      <c r="RY244" s="11"/>
      <c r="RZ244" s="11"/>
      <c r="SA244" s="11"/>
      <c r="SB244" s="11"/>
      <c r="SC244" s="11"/>
      <c r="SD244" s="11"/>
      <c r="SE244" s="11"/>
      <c r="SF244" s="11"/>
      <c r="SG244" s="11"/>
      <c r="SH244" s="11">
        <v>1</v>
      </c>
    </row>
    <row r="245" spans="1:502" x14ac:dyDescent="0.2">
      <c r="A245" s="10">
        <v>2.6674412038236672E-2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>
        <v>1</v>
      </c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  <c r="OM245" s="11"/>
      <c r="ON245" s="11"/>
      <c r="OO245" s="11"/>
      <c r="OP245" s="11"/>
      <c r="OQ245" s="11"/>
      <c r="OR245" s="11"/>
      <c r="OS245" s="11"/>
      <c r="OT245" s="11"/>
      <c r="OU245" s="11"/>
      <c r="OV245" s="11"/>
      <c r="OW245" s="11"/>
      <c r="OX245" s="11"/>
      <c r="OY245" s="11"/>
      <c r="OZ245" s="11"/>
      <c r="PA245" s="11"/>
      <c r="PB245" s="11"/>
      <c r="PC245" s="11"/>
      <c r="PD245" s="11"/>
      <c r="PE245" s="11"/>
      <c r="PF245" s="11"/>
      <c r="PG245" s="11"/>
      <c r="PH245" s="11"/>
      <c r="PI245" s="11"/>
      <c r="PJ245" s="11"/>
      <c r="PK245" s="11"/>
      <c r="PL245" s="11"/>
      <c r="PM245" s="11"/>
      <c r="PN245" s="11"/>
      <c r="PO245" s="11"/>
      <c r="PP245" s="11"/>
      <c r="PQ245" s="11"/>
      <c r="PR245" s="11"/>
      <c r="PS245" s="11"/>
      <c r="PT245" s="11"/>
      <c r="PU245" s="11"/>
      <c r="PV245" s="11"/>
      <c r="PW245" s="11"/>
      <c r="PX245" s="11"/>
      <c r="PY245" s="11"/>
      <c r="PZ245" s="11"/>
      <c r="QA245" s="11"/>
      <c r="QB245" s="11"/>
      <c r="QC245" s="11"/>
      <c r="QD245" s="11"/>
      <c r="QE245" s="11"/>
      <c r="QF245" s="11"/>
      <c r="QG245" s="11"/>
      <c r="QH245" s="11"/>
      <c r="QI245" s="11"/>
      <c r="QJ245" s="11"/>
      <c r="QK245" s="11"/>
      <c r="QL245" s="11"/>
      <c r="QM245" s="11"/>
      <c r="QN245" s="11"/>
      <c r="QO245" s="11"/>
      <c r="QP245" s="11"/>
      <c r="QQ245" s="11"/>
      <c r="QR245" s="11"/>
      <c r="QS245" s="11"/>
      <c r="QT245" s="11"/>
      <c r="QU245" s="11"/>
      <c r="QV245" s="11"/>
      <c r="QW245" s="11"/>
      <c r="QX245" s="11"/>
      <c r="QY245" s="11"/>
      <c r="QZ245" s="11"/>
      <c r="RA245" s="11"/>
      <c r="RB245" s="11"/>
      <c r="RC245" s="11"/>
      <c r="RD245" s="11"/>
      <c r="RE245" s="11"/>
      <c r="RF245" s="11"/>
      <c r="RG245" s="11"/>
      <c r="RH245" s="11"/>
      <c r="RI245" s="11"/>
      <c r="RJ245" s="11"/>
      <c r="RK245" s="11"/>
      <c r="RL245" s="11"/>
      <c r="RM245" s="11"/>
      <c r="RN245" s="11"/>
      <c r="RO245" s="11"/>
      <c r="RP245" s="11"/>
      <c r="RQ245" s="11"/>
      <c r="RR245" s="11"/>
      <c r="RS245" s="11"/>
      <c r="RT245" s="11"/>
      <c r="RU245" s="11"/>
      <c r="RV245" s="11"/>
      <c r="RW245" s="11"/>
      <c r="RX245" s="11"/>
      <c r="RY245" s="11"/>
      <c r="RZ245" s="11"/>
      <c r="SA245" s="11"/>
      <c r="SB245" s="11"/>
      <c r="SC245" s="11"/>
      <c r="SD245" s="11"/>
      <c r="SE245" s="11"/>
      <c r="SF245" s="11"/>
      <c r="SG245" s="11"/>
      <c r="SH245" s="11">
        <v>1</v>
      </c>
    </row>
    <row r="246" spans="1:502" x14ac:dyDescent="0.2">
      <c r="A246" s="10">
        <v>2.6784269966564262E-2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>
        <v>1</v>
      </c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  <c r="OM246" s="11"/>
      <c r="ON246" s="11"/>
      <c r="OO246" s="11"/>
      <c r="OP246" s="11"/>
      <c r="OQ246" s="11"/>
      <c r="OR246" s="11"/>
      <c r="OS246" s="11"/>
      <c r="OT246" s="11"/>
      <c r="OU246" s="11"/>
      <c r="OV246" s="11"/>
      <c r="OW246" s="11"/>
      <c r="OX246" s="11"/>
      <c r="OY246" s="11"/>
      <c r="OZ246" s="11"/>
      <c r="PA246" s="11"/>
      <c r="PB246" s="11"/>
      <c r="PC246" s="11"/>
      <c r="PD246" s="11"/>
      <c r="PE246" s="11"/>
      <c r="PF246" s="11"/>
      <c r="PG246" s="11"/>
      <c r="PH246" s="11"/>
      <c r="PI246" s="11"/>
      <c r="PJ246" s="11"/>
      <c r="PK246" s="11"/>
      <c r="PL246" s="11"/>
      <c r="PM246" s="11"/>
      <c r="PN246" s="11"/>
      <c r="PO246" s="11"/>
      <c r="PP246" s="11"/>
      <c r="PQ246" s="11"/>
      <c r="PR246" s="11"/>
      <c r="PS246" s="11"/>
      <c r="PT246" s="11"/>
      <c r="PU246" s="11"/>
      <c r="PV246" s="11"/>
      <c r="PW246" s="11"/>
      <c r="PX246" s="11"/>
      <c r="PY246" s="11"/>
      <c r="PZ246" s="11"/>
      <c r="QA246" s="11"/>
      <c r="QB246" s="11"/>
      <c r="QC246" s="11"/>
      <c r="QD246" s="11"/>
      <c r="QE246" s="11"/>
      <c r="QF246" s="11"/>
      <c r="QG246" s="11"/>
      <c r="QH246" s="11"/>
      <c r="QI246" s="11"/>
      <c r="QJ246" s="11"/>
      <c r="QK246" s="11"/>
      <c r="QL246" s="11"/>
      <c r="QM246" s="11"/>
      <c r="QN246" s="11"/>
      <c r="QO246" s="11"/>
      <c r="QP246" s="11"/>
      <c r="QQ246" s="11"/>
      <c r="QR246" s="11"/>
      <c r="QS246" s="11"/>
      <c r="QT246" s="11"/>
      <c r="QU246" s="11"/>
      <c r="QV246" s="11"/>
      <c r="QW246" s="11"/>
      <c r="QX246" s="11"/>
      <c r="QY246" s="11"/>
      <c r="QZ246" s="11"/>
      <c r="RA246" s="11"/>
      <c r="RB246" s="11"/>
      <c r="RC246" s="11"/>
      <c r="RD246" s="11"/>
      <c r="RE246" s="11"/>
      <c r="RF246" s="11"/>
      <c r="RG246" s="11"/>
      <c r="RH246" s="11"/>
      <c r="RI246" s="11"/>
      <c r="RJ246" s="11"/>
      <c r="RK246" s="11"/>
      <c r="RL246" s="11"/>
      <c r="RM246" s="11"/>
      <c r="RN246" s="11"/>
      <c r="RO246" s="11"/>
      <c r="RP246" s="11"/>
      <c r="RQ246" s="11"/>
      <c r="RR246" s="11"/>
      <c r="RS246" s="11"/>
      <c r="RT246" s="11"/>
      <c r="RU246" s="11"/>
      <c r="RV246" s="11"/>
      <c r="RW246" s="11"/>
      <c r="RX246" s="11"/>
      <c r="RY246" s="11"/>
      <c r="RZ246" s="11"/>
      <c r="SA246" s="11"/>
      <c r="SB246" s="11"/>
      <c r="SC246" s="11"/>
      <c r="SD246" s="11"/>
      <c r="SE246" s="11"/>
      <c r="SF246" s="11"/>
      <c r="SG246" s="11"/>
      <c r="SH246" s="11">
        <v>1</v>
      </c>
    </row>
    <row r="247" spans="1:502" x14ac:dyDescent="0.2">
      <c r="A247" s="10">
        <v>2.6852663535724255E-2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>
        <v>1</v>
      </c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  <c r="OM247" s="11"/>
      <c r="ON247" s="11"/>
      <c r="OO247" s="11"/>
      <c r="OP247" s="11"/>
      <c r="OQ247" s="11"/>
      <c r="OR247" s="11"/>
      <c r="OS247" s="11"/>
      <c r="OT247" s="11"/>
      <c r="OU247" s="11"/>
      <c r="OV247" s="11"/>
      <c r="OW247" s="11"/>
      <c r="OX247" s="11"/>
      <c r="OY247" s="11"/>
      <c r="OZ247" s="11"/>
      <c r="PA247" s="11"/>
      <c r="PB247" s="11"/>
      <c r="PC247" s="11"/>
      <c r="PD247" s="11"/>
      <c r="PE247" s="11"/>
      <c r="PF247" s="11"/>
      <c r="PG247" s="11"/>
      <c r="PH247" s="11"/>
      <c r="PI247" s="11"/>
      <c r="PJ247" s="11"/>
      <c r="PK247" s="11"/>
      <c r="PL247" s="11"/>
      <c r="PM247" s="11"/>
      <c r="PN247" s="11"/>
      <c r="PO247" s="11"/>
      <c r="PP247" s="11"/>
      <c r="PQ247" s="11"/>
      <c r="PR247" s="11"/>
      <c r="PS247" s="11"/>
      <c r="PT247" s="11"/>
      <c r="PU247" s="11"/>
      <c r="PV247" s="11"/>
      <c r="PW247" s="11"/>
      <c r="PX247" s="11"/>
      <c r="PY247" s="11"/>
      <c r="PZ247" s="11"/>
      <c r="QA247" s="11"/>
      <c r="QB247" s="11"/>
      <c r="QC247" s="11"/>
      <c r="QD247" s="11"/>
      <c r="QE247" s="11"/>
      <c r="QF247" s="11"/>
      <c r="QG247" s="11"/>
      <c r="QH247" s="11"/>
      <c r="QI247" s="11"/>
      <c r="QJ247" s="11"/>
      <c r="QK247" s="11"/>
      <c r="QL247" s="11"/>
      <c r="QM247" s="11"/>
      <c r="QN247" s="11"/>
      <c r="QO247" s="11"/>
      <c r="QP247" s="11"/>
      <c r="QQ247" s="11"/>
      <c r="QR247" s="11"/>
      <c r="QS247" s="11"/>
      <c r="QT247" s="11"/>
      <c r="QU247" s="11"/>
      <c r="QV247" s="11"/>
      <c r="QW247" s="11"/>
      <c r="QX247" s="11"/>
      <c r="QY247" s="11"/>
      <c r="QZ247" s="11"/>
      <c r="RA247" s="11"/>
      <c r="RB247" s="11"/>
      <c r="RC247" s="11"/>
      <c r="RD247" s="11"/>
      <c r="RE247" s="11"/>
      <c r="RF247" s="11"/>
      <c r="RG247" s="11"/>
      <c r="RH247" s="11"/>
      <c r="RI247" s="11"/>
      <c r="RJ247" s="11"/>
      <c r="RK247" s="11"/>
      <c r="RL247" s="11"/>
      <c r="RM247" s="11"/>
      <c r="RN247" s="11"/>
      <c r="RO247" s="11"/>
      <c r="RP247" s="11"/>
      <c r="RQ247" s="11"/>
      <c r="RR247" s="11"/>
      <c r="RS247" s="11"/>
      <c r="RT247" s="11"/>
      <c r="RU247" s="11"/>
      <c r="RV247" s="11"/>
      <c r="RW247" s="11"/>
      <c r="RX247" s="11"/>
      <c r="RY247" s="11"/>
      <c r="RZ247" s="11"/>
      <c r="SA247" s="11"/>
      <c r="SB247" s="11"/>
      <c r="SC247" s="11"/>
      <c r="SD247" s="11"/>
      <c r="SE247" s="11"/>
      <c r="SF247" s="11"/>
      <c r="SG247" s="11"/>
      <c r="SH247" s="11">
        <v>1</v>
      </c>
    </row>
    <row r="248" spans="1:502" x14ac:dyDescent="0.2">
      <c r="A248" s="10">
        <v>2.6902426558307036E-2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  <c r="OM248" s="11"/>
      <c r="ON248" s="11"/>
      <c r="OO248" s="11"/>
      <c r="OP248" s="11"/>
      <c r="OQ248" s="11"/>
      <c r="OR248" s="11"/>
      <c r="OS248" s="11"/>
      <c r="OT248" s="11"/>
      <c r="OU248" s="11"/>
      <c r="OV248" s="11"/>
      <c r="OW248" s="11"/>
      <c r="OX248" s="11"/>
      <c r="OY248" s="11"/>
      <c r="OZ248" s="11"/>
      <c r="PA248" s="11"/>
      <c r="PB248" s="11"/>
      <c r="PC248" s="11"/>
      <c r="PD248" s="11"/>
      <c r="PE248" s="11"/>
      <c r="PF248" s="11"/>
      <c r="PG248" s="11">
        <v>1</v>
      </c>
      <c r="PH248" s="11"/>
      <c r="PI248" s="11"/>
      <c r="PJ248" s="11"/>
      <c r="PK248" s="11"/>
      <c r="PL248" s="11"/>
      <c r="PM248" s="11"/>
      <c r="PN248" s="11"/>
      <c r="PO248" s="11"/>
      <c r="PP248" s="11"/>
      <c r="PQ248" s="11"/>
      <c r="PR248" s="11"/>
      <c r="PS248" s="11"/>
      <c r="PT248" s="11"/>
      <c r="PU248" s="11"/>
      <c r="PV248" s="11"/>
      <c r="PW248" s="11"/>
      <c r="PX248" s="11"/>
      <c r="PY248" s="11"/>
      <c r="PZ248" s="11"/>
      <c r="QA248" s="11"/>
      <c r="QB248" s="11"/>
      <c r="QC248" s="11"/>
      <c r="QD248" s="11"/>
      <c r="QE248" s="11"/>
      <c r="QF248" s="11"/>
      <c r="QG248" s="11"/>
      <c r="QH248" s="11"/>
      <c r="QI248" s="11"/>
      <c r="QJ248" s="11"/>
      <c r="QK248" s="11"/>
      <c r="QL248" s="11"/>
      <c r="QM248" s="11"/>
      <c r="QN248" s="11"/>
      <c r="QO248" s="11"/>
      <c r="QP248" s="11"/>
      <c r="QQ248" s="11"/>
      <c r="QR248" s="11"/>
      <c r="QS248" s="11"/>
      <c r="QT248" s="11"/>
      <c r="QU248" s="11"/>
      <c r="QV248" s="11"/>
      <c r="QW248" s="11"/>
      <c r="QX248" s="11"/>
      <c r="QY248" s="11"/>
      <c r="QZ248" s="11"/>
      <c r="RA248" s="11"/>
      <c r="RB248" s="11"/>
      <c r="RC248" s="11"/>
      <c r="RD248" s="11"/>
      <c r="RE248" s="11"/>
      <c r="RF248" s="11"/>
      <c r="RG248" s="11"/>
      <c r="RH248" s="11"/>
      <c r="RI248" s="11"/>
      <c r="RJ248" s="11"/>
      <c r="RK248" s="11"/>
      <c r="RL248" s="11"/>
      <c r="RM248" s="11"/>
      <c r="RN248" s="11"/>
      <c r="RO248" s="11"/>
      <c r="RP248" s="11"/>
      <c r="RQ248" s="11"/>
      <c r="RR248" s="11"/>
      <c r="RS248" s="11"/>
      <c r="RT248" s="11"/>
      <c r="RU248" s="11"/>
      <c r="RV248" s="11"/>
      <c r="RW248" s="11"/>
      <c r="RX248" s="11"/>
      <c r="RY248" s="11"/>
      <c r="RZ248" s="11"/>
      <c r="SA248" s="11"/>
      <c r="SB248" s="11"/>
      <c r="SC248" s="11"/>
      <c r="SD248" s="11"/>
      <c r="SE248" s="11"/>
      <c r="SF248" s="11"/>
      <c r="SG248" s="11"/>
      <c r="SH248" s="11">
        <v>1</v>
      </c>
    </row>
    <row r="249" spans="1:502" x14ac:dyDescent="0.2">
      <c r="A249" s="10">
        <v>2.6987578698557637E-2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>
        <v>1</v>
      </c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  <c r="OM249" s="11"/>
      <c r="ON249" s="11"/>
      <c r="OO249" s="11"/>
      <c r="OP249" s="11"/>
      <c r="OQ249" s="11"/>
      <c r="OR249" s="11"/>
      <c r="OS249" s="11"/>
      <c r="OT249" s="11"/>
      <c r="OU249" s="11"/>
      <c r="OV249" s="11"/>
      <c r="OW249" s="11"/>
      <c r="OX249" s="11"/>
      <c r="OY249" s="11"/>
      <c r="OZ249" s="11"/>
      <c r="PA249" s="11"/>
      <c r="PB249" s="11"/>
      <c r="PC249" s="11"/>
      <c r="PD249" s="11"/>
      <c r="PE249" s="11"/>
      <c r="PF249" s="11"/>
      <c r="PG249" s="11"/>
      <c r="PH249" s="11"/>
      <c r="PI249" s="11"/>
      <c r="PJ249" s="11"/>
      <c r="PK249" s="11"/>
      <c r="PL249" s="11"/>
      <c r="PM249" s="11"/>
      <c r="PN249" s="11"/>
      <c r="PO249" s="11"/>
      <c r="PP249" s="11"/>
      <c r="PQ249" s="11"/>
      <c r="PR249" s="11"/>
      <c r="PS249" s="11"/>
      <c r="PT249" s="11"/>
      <c r="PU249" s="11"/>
      <c r="PV249" s="11"/>
      <c r="PW249" s="11"/>
      <c r="PX249" s="11"/>
      <c r="PY249" s="11"/>
      <c r="PZ249" s="11"/>
      <c r="QA249" s="11"/>
      <c r="QB249" s="11"/>
      <c r="QC249" s="11"/>
      <c r="QD249" s="11"/>
      <c r="QE249" s="11"/>
      <c r="QF249" s="11"/>
      <c r="QG249" s="11"/>
      <c r="QH249" s="11"/>
      <c r="QI249" s="11"/>
      <c r="QJ249" s="11"/>
      <c r="QK249" s="11"/>
      <c r="QL249" s="11"/>
      <c r="QM249" s="11"/>
      <c r="QN249" s="11"/>
      <c r="QO249" s="11"/>
      <c r="QP249" s="11"/>
      <c r="QQ249" s="11"/>
      <c r="QR249" s="11"/>
      <c r="QS249" s="11"/>
      <c r="QT249" s="11"/>
      <c r="QU249" s="11"/>
      <c r="QV249" s="11"/>
      <c r="QW249" s="11"/>
      <c r="QX249" s="11"/>
      <c r="QY249" s="11"/>
      <c r="QZ249" s="11"/>
      <c r="RA249" s="11"/>
      <c r="RB249" s="11"/>
      <c r="RC249" s="11"/>
      <c r="RD249" s="11"/>
      <c r="RE249" s="11"/>
      <c r="RF249" s="11"/>
      <c r="RG249" s="11"/>
      <c r="RH249" s="11"/>
      <c r="RI249" s="11"/>
      <c r="RJ249" s="11"/>
      <c r="RK249" s="11"/>
      <c r="RL249" s="11"/>
      <c r="RM249" s="11"/>
      <c r="RN249" s="11"/>
      <c r="RO249" s="11"/>
      <c r="RP249" s="11"/>
      <c r="RQ249" s="11"/>
      <c r="RR249" s="11"/>
      <c r="RS249" s="11"/>
      <c r="RT249" s="11"/>
      <c r="RU249" s="11"/>
      <c r="RV249" s="11"/>
      <c r="RW249" s="11"/>
      <c r="RX249" s="11"/>
      <c r="RY249" s="11"/>
      <c r="RZ249" s="11"/>
      <c r="SA249" s="11"/>
      <c r="SB249" s="11"/>
      <c r="SC249" s="11"/>
      <c r="SD249" s="11"/>
      <c r="SE249" s="11"/>
      <c r="SF249" s="11"/>
      <c r="SG249" s="11"/>
      <c r="SH249" s="11">
        <v>1</v>
      </c>
    </row>
    <row r="250" spans="1:502" x14ac:dyDescent="0.2">
      <c r="A250" s="10">
        <v>2.7050833554297122E-2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>
        <v>1</v>
      </c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  <c r="OM250" s="11"/>
      <c r="ON250" s="11"/>
      <c r="OO250" s="11"/>
      <c r="OP250" s="11"/>
      <c r="OQ250" s="11"/>
      <c r="OR250" s="11"/>
      <c r="OS250" s="11"/>
      <c r="OT250" s="11"/>
      <c r="OU250" s="11"/>
      <c r="OV250" s="11"/>
      <c r="OW250" s="11"/>
      <c r="OX250" s="11"/>
      <c r="OY250" s="11"/>
      <c r="OZ250" s="11"/>
      <c r="PA250" s="11"/>
      <c r="PB250" s="11"/>
      <c r="PC250" s="11"/>
      <c r="PD250" s="11"/>
      <c r="PE250" s="11"/>
      <c r="PF250" s="11"/>
      <c r="PG250" s="11"/>
      <c r="PH250" s="11"/>
      <c r="PI250" s="11"/>
      <c r="PJ250" s="11"/>
      <c r="PK250" s="11"/>
      <c r="PL250" s="11"/>
      <c r="PM250" s="11"/>
      <c r="PN250" s="11"/>
      <c r="PO250" s="11"/>
      <c r="PP250" s="11"/>
      <c r="PQ250" s="11"/>
      <c r="PR250" s="11"/>
      <c r="PS250" s="11"/>
      <c r="PT250" s="11"/>
      <c r="PU250" s="11"/>
      <c r="PV250" s="11"/>
      <c r="PW250" s="11"/>
      <c r="PX250" s="11"/>
      <c r="PY250" s="11"/>
      <c r="PZ250" s="11"/>
      <c r="QA250" s="11"/>
      <c r="QB250" s="11"/>
      <c r="QC250" s="11"/>
      <c r="QD250" s="11"/>
      <c r="QE250" s="11"/>
      <c r="QF250" s="11"/>
      <c r="QG250" s="11"/>
      <c r="QH250" s="11"/>
      <c r="QI250" s="11"/>
      <c r="QJ250" s="11"/>
      <c r="QK250" s="11"/>
      <c r="QL250" s="11"/>
      <c r="QM250" s="11"/>
      <c r="QN250" s="11"/>
      <c r="QO250" s="11"/>
      <c r="QP250" s="11"/>
      <c r="QQ250" s="11"/>
      <c r="QR250" s="11"/>
      <c r="QS250" s="11"/>
      <c r="QT250" s="11"/>
      <c r="QU250" s="11"/>
      <c r="QV250" s="11"/>
      <c r="QW250" s="11"/>
      <c r="QX250" s="11"/>
      <c r="QY250" s="11"/>
      <c r="QZ250" s="11"/>
      <c r="RA250" s="11"/>
      <c r="RB250" s="11"/>
      <c r="RC250" s="11"/>
      <c r="RD250" s="11"/>
      <c r="RE250" s="11"/>
      <c r="RF250" s="11"/>
      <c r="RG250" s="11"/>
      <c r="RH250" s="11"/>
      <c r="RI250" s="11"/>
      <c r="RJ250" s="11"/>
      <c r="RK250" s="11"/>
      <c r="RL250" s="11"/>
      <c r="RM250" s="11"/>
      <c r="RN250" s="11"/>
      <c r="RO250" s="11"/>
      <c r="RP250" s="11"/>
      <c r="RQ250" s="11"/>
      <c r="RR250" s="11"/>
      <c r="RS250" s="11"/>
      <c r="RT250" s="11"/>
      <c r="RU250" s="11"/>
      <c r="RV250" s="11"/>
      <c r="RW250" s="11"/>
      <c r="RX250" s="11"/>
      <c r="RY250" s="11"/>
      <c r="RZ250" s="11"/>
      <c r="SA250" s="11"/>
      <c r="SB250" s="11"/>
      <c r="SC250" s="11"/>
      <c r="SD250" s="11"/>
      <c r="SE250" s="11"/>
      <c r="SF250" s="11"/>
      <c r="SG250" s="11"/>
      <c r="SH250" s="11">
        <v>1</v>
      </c>
    </row>
    <row r="251" spans="1:502" x14ac:dyDescent="0.2">
      <c r="A251" s="10">
        <v>2.709675619470743E-2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>
        <v>1</v>
      </c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  <c r="OM251" s="11"/>
      <c r="ON251" s="11"/>
      <c r="OO251" s="11"/>
      <c r="OP251" s="11"/>
      <c r="OQ251" s="11"/>
      <c r="OR251" s="11"/>
      <c r="OS251" s="11"/>
      <c r="OT251" s="11"/>
      <c r="OU251" s="11"/>
      <c r="OV251" s="11"/>
      <c r="OW251" s="11"/>
      <c r="OX251" s="11"/>
      <c r="OY251" s="11"/>
      <c r="OZ251" s="11"/>
      <c r="PA251" s="11"/>
      <c r="PB251" s="11"/>
      <c r="PC251" s="11"/>
      <c r="PD251" s="11"/>
      <c r="PE251" s="11"/>
      <c r="PF251" s="11"/>
      <c r="PG251" s="11"/>
      <c r="PH251" s="11"/>
      <c r="PI251" s="11"/>
      <c r="PJ251" s="11"/>
      <c r="PK251" s="11"/>
      <c r="PL251" s="11"/>
      <c r="PM251" s="11"/>
      <c r="PN251" s="11"/>
      <c r="PO251" s="11"/>
      <c r="PP251" s="11"/>
      <c r="PQ251" s="11"/>
      <c r="PR251" s="11"/>
      <c r="PS251" s="11"/>
      <c r="PT251" s="11"/>
      <c r="PU251" s="11"/>
      <c r="PV251" s="11"/>
      <c r="PW251" s="11"/>
      <c r="PX251" s="11"/>
      <c r="PY251" s="11"/>
      <c r="PZ251" s="11"/>
      <c r="QA251" s="11"/>
      <c r="QB251" s="11"/>
      <c r="QC251" s="11"/>
      <c r="QD251" s="11"/>
      <c r="QE251" s="11"/>
      <c r="QF251" s="11"/>
      <c r="QG251" s="11"/>
      <c r="QH251" s="11"/>
      <c r="QI251" s="11"/>
      <c r="QJ251" s="11"/>
      <c r="QK251" s="11"/>
      <c r="QL251" s="11"/>
      <c r="QM251" s="11"/>
      <c r="QN251" s="11"/>
      <c r="QO251" s="11"/>
      <c r="QP251" s="11"/>
      <c r="QQ251" s="11"/>
      <c r="QR251" s="11"/>
      <c r="QS251" s="11"/>
      <c r="QT251" s="11"/>
      <c r="QU251" s="11"/>
      <c r="QV251" s="11"/>
      <c r="QW251" s="11"/>
      <c r="QX251" s="11"/>
      <c r="QY251" s="11"/>
      <c r="QZ251" s="11"/>
      <c r="RA251" s="11"/>
      <c r="RB251" s="11"/>
      <c r="RC251" s="11"/>
      <c r="RD251" s="11"/>
      <c r="RE251" s="11"/>
      <c r="RF251" s="11"/>
      <c r="RG251" s="11"/>
      <c r="RH251" s="11"/>
      <c r="RI251" s="11"/>
      <c r="RJ251" s="11"/>
      <c r="RK251" s="11"/>
      <c r="RL251" s="11"/>
      <c r="RM251" s="11"/>
      <c r="RN251" s="11"/>
      <c r="RO251" s="11"/>
      <c r="RP251" s="11"/>
      <c r="RQ251" s="11"/>
      <c r="RR251" s="11"/>
      <c r="RS251" s="11"/>
      <c r="RT251" s="11"/>
      <c r="RU251" s="11"/>
      <c r="RV251" s="11"/>
      <c r="RW251" s="11"/>
      <c r="RX251" s="11"/>
      <c r="RY251" s="11"/>
      <c r="RZ251" s="11"/>
      <c r="SA251" s="11"/>
      <c r="SB251" s="11"/>
      <c r="SC251" s="11"/>
      <c r="SD251" s="11"/>
      <c r="SE251" s="11"/>
      <c r="SF251" s="11"/>
      <c r="SG251" s="11"/>
      <c r="SH251" s="11">
        <v>1</v>
      </c>
    </row>
    <row r="252" spans="1:502" x14ac:dyDescent="0.2">
      <c r="A252" s="10">
        <v>2.7128267656553566E-2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>
        <v>1</v>
      </c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  <c r="OM252" s="11"/>
      <c r="ON252" s="11"/>
      <c r="OO252" s="11"/>
      <c r="OP252" s="11"/>
      <c r="OQ252" s="11"/>
      <c r="OR252" s="11"/>
      <c r="OS252" s="11"/>
      <c r="OT252" s="11"/>
      <c r="OU252" s="11"/>
      <c r="OV252" s="11"/>
      <c r="OW252" s="11"/>
      <c r="OX252" s="11"/>
      <c r="OY252" s="11"/>
      <c r="OZ252" s="11"/>
      <c r="PA252" s="11"/>
      <c r="PB252" s="11"/>
      <c r="PC252" s="11"/>
      <c r="PD252" s="11"/>
      <c r="PE252" s="11"/>
      <c r="PF252" s="11"/>
      <c r="PG252" s="11"/>
      <c r="PH252" s="11"/>
      <c r="PI252" s="11"/>
      <c r="PJ252" s="11"/>
      <c r="PK252" s="11"/>
      <c r="PL252" s="11"/>
      <c r="PM252" s="11"/>
      <c r="PN252" s="11"/>
      <c r="PO252" s="11"/>
      <c r="PP252" s="11"/>
      <c r="PQ252" s="11"/>
      <c r="PR252" s="11"/>
      <c r="PS252" s="11"/>
      <c r="PT252" s="11"/>
      <c r="PU252" s="11"/>
      <c r="PV252" s="11"/>
      <c r="PW252" s="11"/>
      <c r="PX252" s="11"/>
      <c r="PY252" s="11"/>
      <c r="PZ252" s="11"/>
      <c r="QA252" s="11"/>
      <c r="QB252" s="11"/>
      <c r="QC252" s="11"/>
      <c r="QD252" s="11"/>
      <c r="QE252" s="11"/>
      <c r="QF252" s="11"/>
      <c r="QG252" s="11"/>
      <c r="QH252" s="11"/>
      <c r="QI252" s="11"/>
      <c r="QJ252" s="11"/>
      <c r="QK252" s="11"/>
      <c r="QL252" s="11"/>
      <c r="QM252" s="11"/>
      <c r="QN252" s="11"/>
      <c r="QO252" s="11"/>
      <c r="QP252" s="11"/>
      <c r="QQ252" s="11"/>
      <c r="QR252" s="11"/>
      <c r="QS252" s="11"/>
      <c r="QT252" s="11"/>
      <c r="QU252" s="11"/>
      <c r="QV252" s="11"/>
      <c r="QW252" s="11"/>
      <c r="QX252" s="11"/>
      <c r="QY252" s="11"/>
      <c r="QZ252" s="11"/>
      <c r="RA252" s="11"/>
      <c r="RB252" s="11"/>
      <c r="RC252" s="11"/>
      <c r="RD252" s="11"/>
      <c r="RE252" s="11"/>
      <c r="RF252" s="11"/>
      <c r="RG252" s="11"/>
      <c r="RH252" s="11"/>
      <c r="RI252" s="11"/>
      <c r="RJ252" s="11"/>
      <c r="RK252" s="11"/>
      <c r="RL252" s="11"/>
      <c r="RM252" s="11"/>
      <c r="RN252" s="11"/>
      <c r="RO252" s="11"/>
      <c r="RP252" s="11"/>
      <c r="RQ252" s="11"/>
      <c r="RR252" s="11"/>
      <c r="RS252" s="11"/>
      <c r="RT252" s="11"/>
      <c r="RU252" s="11"/>
      <c r="RV252" s="11"/>
      <c r="RW252" s="11"/>
      <c r="RX252" s="11"/>
      <c r="RY252" s="11"/>
      <c r="RZ252" s="11"/>
      <c r="SA252" s="11"/>
      <c r="SB252" s="11"/>
      <c r="SC252" s="11"/>
      <c r="SD252" s="11"/>
      <c r="SE252" s="11"/>
      <c r="SF252" s="11"/>
      <c r="SG252" s="11"/>
      <c r="SH252" s="11">
        <v>1</v>
      </c>
    </row>
    <row r="253" spans="1:502" x14ac:dyDescent="0.2">
      <c r="A253" s="10">
        <v>2.7185896982514793E-2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>
        <v>1</v>
      </c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  <c r="OM253" s="11"/>
      <c r="ON253" s="11"/>
      <c r="OO253" s="11"/>
      <c r="OP253" s="11"/>
      <c r="OQ253" s="11"/>
      <c r="OR253" s="11"/>
      <c r="OS253" s="11"/>
      <c r="OT253" s="11"/>
      <c r="OU253" s="11"/>
      <c r="OV253" s="11"/>
      <c r="OW253" s="11"/>
      <c r="OX253" s="11"/>
      <c r="OY253" s="11"/>
      <c r="OZ253" s="11"/>
      <c r="PA253" s="11"/>
      <c r="PB253" s="11"/>
      <c r="PC253" s="11"/>
      <c r="PD253" s="11"/>
      <c r="PE253" s="11"/>
      <c r="PF253" s="11"/>
      <c r="PG253" s="11"/>
      <c r="PH253" s="11"/>
      <c r="PI253" s="11"/>
      <c r="PJ253" s="11"/>
      <c r="PK253" s="11"/>
      <c r="PL253" s="11"/>
      <c r="PM253" s="11"/>
      <c r="PN253" s="11"/>
      <c r="PO253" s="11"/>
      <c r="PP253" s="11"/>
      <c r="PQ253" s="11"/>
      <c r="PR253" s="11"/>
      <c r="PS253" s="11"/>
      <c r="PT253" s="11"/>
      <c r="PU253" s="11"/>
      <c r="PV253" s="11"/>
      <c r="PW253" s="11"/>
      <c r="PX253" s="11"/>
      <c r="PY253" s="11"/>
      <c r="PZ253" s="11"/>
      <c r="QA253" s="11"/>
      <c r="QB253" s="11"/>
      <c r="QC253" s="11"/>
      <c r="QD253" s="11"/>
      <c r="QE253" s="11"/>
      <c r="QF253" s="11"/>
      <c r="QG253" s="11"/>
      <c r="QH253" s="11"/>
      <c r="QI253" s="11"/>
      <c r="QJ253" s="11"/>
      <c r="QK253" s="11"/>
      <c r="QL253" s="11"/>
      <c r="QM253" s="11"/>
      <c r="QN253" s="11"/>
      <c r="QO253" s="11"/>
      <c r="QP253" s="11"/>
      <c r="QQ253" s="11"/>
      <c r="QR253" s="11"/>
      <c r="QS253" s="11"/>
      <c r="QT253" s="11"/>
      <c r="QU253" s="11"/>
      <c r="QV253" s="11"/>
      <c r="QW253" s="11"/>
      <c r="QX253" s="11"/>
      <c r="QY253" s="11"/>
      <c r="QZ253" s="11"/>
      <c r="RA253" s="11"/>
      <c r="RB253" s="11"/>
      <c r="RC253" s="11"/>
      <c r="RD253" s="11"/>
      <c r="RE253" s="11"/>
      <c r="RF253" s="11"/>
      <c r="RG253" s="11"/>
      <c r="RH253" s="11"/>
      <c r="RI253" s="11"/>
      <c r="RJ253" s="11"/>
      <c r="RK253" s="11"/>
      <c r="RL253" s="11"/>
      <c r="RM253" s="11"/>
      <c r="RN253" s="11"/>
      <c r="RO253" s="11"/>
      <c r="RP253" s="11"/>
      <c r="RQ253" s="11"/>
      <c r="RR253" s="11"/>
      <c r="RS253" s="11"/>
      <c r="RT253" s="11"/>
      <c r="RU253" s="11"/>
      <c r="RV253" s="11"/>
      <c r="RW253" s="11"/>
      <c r="RX253" s="11"/>
      <c r="RY253" s="11"/>
      <c r="RZ253" s="11"/>
      <c r="SA253" s="11"/>
      <c r="SB253" s="11"/>
      <c r="SC253" s="11"/>
      <c r="SD253" s="11"/>
      <c r="SE253" s="11"/>
      <c r="SF253" s="11"/>
      <c r="SG253" s="11"/>
      <c r="SH253" s="11">
        <v>1</v>
      </c>
    </row>
    <row r="254" spans="1:502" x14ac:dyDescent="0.2">
      <c r="A254" s="10">
        <v>2.7310297650231276E-2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>
        <v>1</v>
      </c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  <c r="OM254" s="11"/>
      <c r="ON254" s="11"/>
      <c r="OO254" s="11"/>
      <c r="OP254" s="11"/>
      <c r="OQ254" s="11"/>
      <c r="OR254" s="11"/>
      <c r="OS254" s="11"/>
      <c r="OT254" s="11"/>
      <c r="OU254" s="11"/>
      <c r="OV254" s="11"/>
      <c r="OW254" s="11"/>
      <c r="OX254" s="11"/>
      <c r="OY254" s="11"/>
      <c r="OZ254" s="11"/>
      <c r="PA254" s="11"/>
      <c r="PB254" s="11"/>
      <c r="PC254" s="11"/>
      <c r="PD254" s="11"/>
      <c r="PE254" s="11"/>
      <c r="PF254" s="11"/>
      <c r="PG254" s="11"/>
      <c r="PH254" s="11"/>
      <c r="PI254" s="11"/>
      <c r="PJ254" s="11"/>
      <c r="PK254" s="11"/>
      <c r="PL254" s="11"/>
      <c r="PM254" s="11"/>
      <c r="PN254" s="11"/>
      <c r="PO254" s="11"/>
      <c r="PP254" s="11"/>
      <c r="PQ254" s="11"/>
      <c r="PR254" s="11"/>
      <c r="PS254" s="11"/>
      <c r="PT254" s="11"/>
      <c r="PU254" s="11"/>
      <c r="PV254" s="11"/>
      <c r="PW254" s="11"/>
      <c r="PX254" s="11"/>
      <c r="PY254" s="11"/>
      <c r="PZ254" s="11"/>
      <c r="QA254" s="11"/>
      <c r="QB254" s="11"/>
      <c r="QC254" s="11"/>
      <c r="QD254" s="11"/>
      <c r="QE254" s="11"/>
      <c r="QF254" s="11"/>
      <c r="QG254" s="11"/>
      <c r="QH254" s="11"/>
      <c r="QI254" s="11"/>
      <c r="QJ254" s="11"/>
      <c r="QK254" s="11"/>
      <c r="QL254" s="11"/>
      <c r="QM254" s="11"/>
      <c r="QN254" s="11"/>
      <c r="QO254" s="11"/>
      <c r="QP254" s="11"/>
      <c r="QQ254" s="11"/>
      <c r="QR254" s="11"/>
      <c r="QS254" s="11"/>
      <c r="QT254" s="11"/>
      <c r="QU254" s="11"/>
      <c r="QV254" s="11"/>
      <c r="QW254" s="11"/>
      <c r="QX254" s="11"/>
      <c r="QY254" s="11"/>
      <c r="QZ254" s="11"/>
      <c r="RA254" s="11"/>
      <c r="RB254" s="11"/>
      <c r="RC254" s="11"/>
      <c r="RD254" s="11"/>
      <c r="RE254" s="11"/>
      <c r="RF254" s="11"/>
      <c r="RG254" s="11"/>
      <c r="RH254" s="11"/>
      <c r="RI254" s="11"/>
      <c r="RJ254" s="11"/>
      <c r="RK254" s="11"/>
      <c r="RL254" s="11"/>
      <c r="RM254" s="11"/>
      <c r="RN254" s="11"/>
      <c r="RO254" s="11"/>
      <c r="RP254" s="11"/>
      <c r="RQ254" s="11"/>
      <c r="RR254" s="11"/>
      <c r="RS254" s="11"/>
      <c r="RT254" s="11"/>
      <c r="RU254" s="11"/>
      <c r="RV254" s="11"/>
      <c r="RW254" s="11"/>
      <c r="RX254" s="11"/>
      <c r="RY254" s="11"/>
      <c r="RZ254" s="11"/>
      <c r="SA254" s="11"/>
      <c r="SB254" s="11"/>
      <c r="SC254" s="11"/>
      <c r="SD254" s="11"/>
      <c r="SE254" s="11"/>
      <c r="SF254" s="11"/>
      <c r="SG254" s="11"/>
      <c r="SH254" s="11">
        <v>1</v>
      </c>
    </row>
    <row r="255" spans="1:502" x14ac:dyDescent="0.2">
      <c r="A255" s="10">
        <v>2.7320153428507368E-2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>
        <v>1</v>
      </c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  <c r="OM255" s="11"/>
      <c r="ON255" s="11"/>
      <c r="OO255" s="11"/>
      <c r="OP255" s="11"/>
      <c r="OQ255" s="11"/>
      <c r="OR255" s="11"/>
      <c r="OS255" s="11"/>
      <c r="OT255" s="11"/>
      <c r="OU255" s="11"/>
      <c r="OV255" s="11"/>
      <c r="OW255" s="11"/>
      <c r="OX255" s="11"/>
      <c r="OY255" s="11"/>
      <c r="OZ255" s="11"/>
      <c r="PA255" s="11"/>
      <c r="PB255" s="11"/>
      <c r="PC255" s="11"/>
      <c r="PD255" s="11"/>
      <c r="PE255" s="11"/>
      <c r="PF255" s="11"/>
      <c r="PG255" s="11"/>
      <c r="PH255" s="11"/>
      <c r="PI255" s="11"/>
      <c r="PJ255" s="11"/>
      <c r="PK255" s="11"/>
      <c r="PL255" s="11"/>
      <c r="PM255" s="11"/>
      <c r="PN255" s="11"/>
      <c r="PO255" s="11"/>
      <c r="PP255" s="11"/>
      <c r="PQ255" s="11"/>
      <c r="PR255" s="11"/>
      <c r="PS255" s="11"/>
      <c r="PT255" s="11"/>
      <c r="PU255" s="11"/>
      <c r="PV255" s="11"/>
      <c r="PW255" s="11"/>
      <c r="PX255" s="11"/>
      <c r="PY255" s="11"/>
      <c r="PZ255" s="11"/>
      <c r="QA255" s="11"/>
      <c r="QB255" s="11"/>
      <c r="QC255" s="11"/>
      <c r="QD255" s="11"/>
      <c r="QE255" s="11"/>
      <c r="QF255" s="11"/>
      <c r="QG255" s="11"/>
      <c r="QH255" s="11"/>
      <c r="QI255" s="11"/>
      <c r="QJ255" s="11"/>
      <c r="QK255" s="11"/>
      <c r="QL255" s="11"/>
      <c r="QM255" s="11"/>
      <c r="QN255" s="11"/>
      <c r="QO255" s="11"/>
      <c r="QP255" s="11"/>
      <c r="QQ255" s="11"/>
      <c r="QR255" s="11"/>
      <c r="QS255" s="11"/>
      <c r="QT255" s="11"/>
      <c r="QU255" s="11"/>
      <c r="QV255" s="11"/>
      <c r="QW255" s="11"/>
      <c r="QX255" s="11"/>
      <c r="QY255" s="11"/>
      <c r="QZ255" s="11"/>
      <c r="RA255" s="11"/>
      <c r="RB255" s="11"/>
      <c r="RC255" s="11"/>
      <c r="RD255" s="11"/>
      <c r="RE255" s="11"/>
      <c r="RF255" s="11"/>
      <c r="RG255" s="11"/>
      <c r="RH255" s="11"/>
      <c r="RI255" s="11"/>
      <c r="RJ255" s="11"/>
      <c r="RK255" s="11"/>
      <c r="RL255" s="11"/>
      <c r="RM255" s="11"/>
      <c r="RN255" s="11"/>
      <c r="RO255" s="11"/>
      <c r="RP255" s="11"/>
      <c r="RQ255" s="11"/>
      <c r="RR255" s="11"/>
      <c r="RS255" s="11"/>
      <c r="RT255" s="11"/>
      <c r="RU255" s="11"/>
      <c r="RV255" s="11"/>
      <c r="RW255" s="11"/>
      <c r="RX255" s="11"/>
      <c r="RY255" s="11"/>
      <c r="RZ255" s="11"/>
      <c r="SA255" s="11"/>
      <c r="SB255" s="11"/>
      <c r="SC255" s="11"/>
      <c r="SD255" s="11"/>
      <c r="SE255" s="11"/>
      <c r="SF255" s="11"/>
      <c r="SG255" s="11"/>
      <c r="SH255" s="11">
        <v>1</v>
      </c>
    </row>
    <row r="256" spans="1:502" x14ac:dyDescent="0.2">
      <c r="A256" s="10">
        <v>2.7402188079091894E-2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>
        <v>1</v>
      </c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  <c r="OM256" s="11"/>
      <c r="ON256" s="11"/>
      <c r="OO256" s="11"/>
      <c r="OP256" s="11"/>
      <c r="OQ256" s="11"/>
      <c r="OR256" s="11"/>
      <c r="OS256" s="11"/>
      <c r="OT256" s="11"/>
      <c r="OU256" s="11"/>
      <c r="OV256" s="11"/>
      <c r="OW256" s="11"/>
      <c r="OX256" s="11"/>
      <c r="OY256" s="11"/>
      <c r="OZ256" s="11"/>
      <c r="PA256" s="11"/>
      <c r="PB256" s="11"/>
      <c r="PC256" s="11"/>
      <c r="PD256" s="11"/>
      <c r="PE256" s="11"/>
      <c r="PF256" s="11"/>
      <c r="PG256" s="11"/>
      <c r="PH256" s="11"/>
      <c r="PI256" s="11"/>
      <c r="PJ256" s="11"/>
      <c r="PK256" s="11"/>
      <c r="PL256" s="11"/>
      <c r="PM256" s="11"/>
      <c r="PN256" s="11"/>
      <c r="PO256" s="11"/>
      <c r="PP256" s="11"/>
      <c r="PQ256" s="11"/>
      <c r="PR256" s="11"/>
      <c r="PS256" s="11"/>
      <c r="PT256" s="11"/>
      <c r="PU256" s="11"/>
      <c r="PV256" s="11"/>
      <c r="PW256" s="11"/>
      <c r="PX256" s="11"/>
      <c r="PY256" s="11"/>
      <c r="PZ256" s="11"/>
      <c r="QA256" s="11"/>
      <c r="QB256" s="11"/>
      <c r="QC256" s="11"/>
      <c r="QD256" s="11"/>
      <c r="QE256" s="11"/>
      <c r="QF256" s="11"/>
      <c r="QG256" s="11"/>
      <c r="QH256" s="11"/>
      <c r="QI256" s="11"/>
      <c r="QJ256" s="11"/>
      <c r="QK256" s="11"/>
      <c r="QL256" s="11"/>
      <c r="QM256" s="11"/>
      <c r="QN256" s="11"/>
      <c r="QO256" s="11"/>
      <c r="QP256" s="11"/>
      <c r="QQ256" s="11"/>
      <c r="QR256" s="11"/>
      <c r="QS256" s="11"/>
      <c r="QT256" s="11"/>
      <c r="QU256" s="11"/>
      <c r="QV256" s="11"/>
      <c r="QW256" s="11"/>
      <c r="QX256" s="11"/>
      <c r="QY256" s="11"/>
      <c r="QZ256" s="11"/>
      <c r="RA256" s="11"/>
      <c r="RB256" s="11"/>
      <c r="RC256" s="11"/>
      <c r="RD256" s="11"/>
      <c r="RE256" s="11"/>
      <c r="RF256" s="11"/>
      <c r="RG256" s="11"/>
      <c r="RH256" s="11"/>
      <c r="RI256" s="11"/>
      <c r="RJ256" s="11"/>
      <c r="RK256" s="11"/>
      <c r="RL256" s="11"/>
      <c r="RM256" s="11"/>
      <c r="RN256" s="11"/>
      <c r="RO256" s="11"/>
      <c r="RP256" s="11"/>
      <c r="RQ256" s="11"/>
      <c r="RR256" s="11"/>
      <c r="RS256" s="11"/>
      <c r="RT256" s="11"/>
      <c r="RU256" s="11"/>
      <c r="RV256" s="11"/>
      <c r="RW256" s="11"/>
      <c r="RX256" s="11"/>
      <c r="RY256" s="11"/>
      <c r="RZ256" s="11"/>
      <c r="SA256" s="11"/>
      <c r="SB256" s="11"/>
      <c r="SC256" s="11"/>
      <c r="SD256" s="11"/>
      <c r="SE256" s="11"/>
      <c r="SF256" s="11"/>
      <c r="SG256" s="11"/>
      <c r="SH256" s="11">
        <v>1</v>
      </c>
    </row>
    <row r="257" spans="1:502" x14ac:dyDescent="0.2">
      <c r="A257" s="10">
        <v>2.7472136089347534E-2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>
        <v>1</v>
      </c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  <c r="OM257" s="11"/>
      <c r="ON257" s="11"/>
      <c r="OO257" s="11"/>
      <c r="OP257" s="11"/>
      <c r="OQ257" s="11"/>
      <c r="OR257" s="11"/>
      <c r="OS257" s="11"/>
      <c r="OT257" s="11"/>
      <c r="OU257" s="11"/>
      <c r="OV257" s="11"/>
      <c r="OW257" s="11"/>
      <c r="OX257" s="11"/>
      <c r="OY257" s="11"/>
      <c r="OZ257" s="11"/>
      <c r="PA257" s="11"/>
      <c r="PB257" s="11"/>
      <c r="PC257" s="11"/>
      <c r="PD257" s="11"/>
      <c r="PE257" s="11"/>
      <c r="PF257" s="11"/>
      <c r="PG257" s="11"/>
      <c r="PH257" s="11"/>
      <c r="PI257" s="11"/>
      <c r="PJ257" s="11"/>
      <c r="PK257" s="11"/>
      <c r="PL257" s="11"/>
      <c r="PM257" s="11"/>
      <c r="PN257" s="11"/>
      <c r="PO257" s="11"/>
      <c r="PP257" s="11"/>
      <c r="PQ257" s="11"/>
      <c r="PR257" s="11"/>
      <c r="PS257" s="11"/>
      <c r="PT257" s="11"/>
      <c r="PU257" s="11"/>
      <c r="PV257" s="11"/>
      <c r="PW257" s="11"/>
      <c r="PX257" s="11"/>
      <c r="PY257" s="11"/>
      <c r="PZ257" s="11"/>
      <c r="QA257" s="11"/>
      <c r="QB257" s="11"/>
      <c r="QC257" s="11"/>
      <c r="QD257" s="11"/>
      <c r="QE257" s="11"/>
      <c r="QF257" s="11"/>
      <c r="QG257" s="11"/>
      <c r="QH257" s="11"/>
      <c r="QI257" s="11"/>
      <c r="QJ257" s="11"/>
      <c r="QK257" s="11"/>
      <c r="QL257" s="11"/>
      <c r="QM257" s="11"/>
      <c r="QN257" s="11"/>
      <c r="QO257" s="11"/>
      <c r="QP257" s="11"/>
      <c r="QQ257" s="11"/>
      <c r="QR257" s="11"/>
      <c r="QS257" s="11"/>
      <c r="QT257" s="11"/>
      <c r="QU257" s="11"/>
      <c r="QV257" s="11"/>
      <c r="QW257" s="11"/>
      <c r="QX257" s="11"/>
      <c r="QY257" s="11"/>
      <c r="QZ257" s="11"/>
      <c r="RA257" s="11"/>
      <c r="RB257" s="11"/>
      <c r="RC257" s="11"/>
      <c r="RD257" s="11"/>
      <c r="RE257" s="11"/>
      <c r="RF257" s="11"/>
      <c r="RG257" s="11"/>
      <c r="RH257" s="11"/>
      <c r="RI257" s="11"/>
      <c r="RJ257" s="11"/>
      <c r="RK257" s="11"/>
      <c r="RL257" s="11"/>
      <c r="RM257" s="11"/>
      <c r="RN257" s="11"/>
      <c r="RO257" s="11"/>
      <c r="RP257" s="11"/>
      <c r="RQ257" s="11"/>
      <c r="RR257" s="11"/>
      <c r="RS257" s="11"/>
      <c r="RT257" s="11"/>
      <c r="RU257" s="11"/>
      <c r="RV257" s="11"/>
      <c r="RW257" s="11"/>
      <c r="RX257" s="11"/>
      <c r="RY257" s="11"/>
      <c r="RZ257" s="11"/>
      <c r="SA257" s="11"/>
      <c r="SB257" s="11"/>
      <c r="SC257" s="11"/>
      <c r="SD257" s="11"/>
      <c r="SE257" s="11"/>
      <c r="SF257" s="11"/>
      <c r="SG257" s="11"/>
      <c r="SH257" s="11">
        <v>1</v>
      </c>
    </row>
    <row r="258" spans="1:502" x14ac:dyDescent="0.2">
      <c r="A258" s="10">
        <v>2.7525110183694072E-2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  <c r="OM258" s="11"/>
      <c r="ON258" s="11"/>
      <c r="OO258" s="11"/>
      <c r="OP258" s="11"/>
      <c r="OQ258" s="11"/>
      <c r="OR258" s="11"/>
      <c r="OS258" s="11"/>
      <c r="OT258" s="11"/>
      <c r="OU258" s="11"/>
      <c r="OV258" s="11"/>
      <c r="OW258" s="11"/>
      <c r="OX258" s="11"/>
      <c r="OY258" s="11"/>
      <c r="OZ258" s="11"/>
      <c r="PA258" s="11"/>
      <c r="PB258" s="11"/>
      <c r="PC258" s="11"/>
      <c r="PD258" s="11"/>
      <c r="PE258" s="11"/>
      <c r="PF258" s="11"/>
      <c r="PG258" s="11"/>
      <c r="PH258" s="11"/>
      <c r="PI258" s="11"/>
      <c r="PJ258" s="11"/>
      <c r="PK258" s="11"/>
      <c r="PL258" s="11"/>
      <c r="PM258" s="11"/>
      <c r="PN258" s="11"/>
      <c r="PO258" s="11"/>
      <c r="PP258" s="11"/>
      <c r="PQ258" s="11"/>
      <c r="PR258" s="11"/>
      <c r="PS258" s="11"/>
      <c r="PT258" s="11"/>
      <c r="PU258" s="11"/>
      <c r="PV258" s="11"/>
      <c r="PW258" s="11"/>
      <c r="PX258" s="11"/>
      <c r="PY258" s="11"/>
      <c r="PZ258" s="11"/>
      <c r="QA258" s="11"/>
      <c r="QB258" s="11"/>
      <c r="QC258" s="11"/>
      <c r="QD258" s="11"/>
      <c r="QE258" s="11"/>
      <c r="QF258" s="11"/>
      <c r="QG258" s="11"/>
      <c r="QH258" s="11"/>
      <c r="QI258" s="11"/>
      <c r="QJ258" s="11"/>
      <c r="QK258" s="11"/>
      <c r="QL258" s="11"/>
      <c r="QM258" s="11"/>
      <c r="QN258" s="11"/>
      <c r="QO258" s="11"/>
      <c r="QP258" s="11"/>
      <c r="QQ258" s="11"/>
      <c r="QR258" s="11"/>
      <c r="QS258" s="11"/>
      <c r="QT258" s="11"/>
      <c r="QU258" s="11"/>
      <c r="QV258" s="11"/>
      <c r="QW258" s="11"/>
      <c r="QX258" s="11"/>
      <c r="QY258" s="11"/>
      <c r="QZ258" s="11"/>
      <c r="RA258" s="11"/>
      <c r="RB258" s="11"/>
      <c r="RC258" s="11"/>
      <c r="RD258" s="11"/>
      <c r="RE258" s="11"/>
      <c r="RF258" s="11"/>
      <c r="RG258" s="11"/>
      <c r="RH258" s="11"/>
      <c r="RI258" s="11"/>
      <c r="RJ258" s="11"/>
      <c r="RK258" s="11"/>
      <c r="RL258" s="11"/>
      <c r="RM258" s="11">
        <v>1</v>
      </c>
      <c r="RN258" s="11"/>
      <c r="RO258" s="11"/>
      <c r="RP258" s="11"/>
      <c r="RQ258" s="11"/>
      <c r="RR258" s="11"/>
      <c r="RS258" s="11"/>
      <c r="RT258" s="11"/>
      <c r="RU258" s="11"/>
      <c r="RV258" s="11"/>
      <c r="RW258" s="11"/>
      <c r="RX258" s="11"/>
      <c r="RY258" s="11"/>
      <c r="RZ258" s="11"/>
      <c r="SA258" s="11"/>
      <c r="SB258" s="11"/>
      <c r="SC258" s="11"/>
      <c r="SD258" s="11"/>
      <c r="SE258" s="11"/>
      <c r="SF258" s="11"/>
      <c r="SG258" s="11"/>
      <c r="SH258" s="11">
        <v>1</v>
      </c>
    </row>
    <row r="259" spans="1:502" x14ac:dyDescent="0.2">
      <c r="A259" s="10">
        <v>2.761237632813927E-2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>
        <v>1</v>
      </c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  <c r="OM259" s="11"/>
      <c r="ON259" s="11"/>
      <c r="OO259" s="11"/>
      <c r="OP259" s="11"/>
      <c r="OQ259" s="11"/>
      <c r="OR259" s="11"/>
      <c r="OS259" s="11"/>
      <c r="OT259" s="11"/>
      <c r="OU259" s="11"/>
      <c r="OV259" s="11"/>
      <c r="OW259" s="11"/>
      <c r="OX259" s="11"/>
      <c r="OY259" s="11"/>
      <c r="OZ259" s="11"/>
      <c r="PA259" s="11"/>
      <c r="PB259" s="11"/>
      <c r="PC259" s="11"/>
      <c r="PD259" s="11"/>
      <c r="PE259" s="11"/>
      <c r="PF259" s="11"/>
      <c r="PG259" s="11"/>
      <c r="PH259" s="11"/>
      <c r="PI259" s="11"/>
      <c r="PJ259" s="11"/>
      <c r="PK259" s="11"/>
      <c r="PL259" s="11"/>
      <c r="PM259" s="11"/>
      <c r="PN259" s="11"/>
      <c r="PO259" s="11"/>
      <c r="PP259" s="11"/>
      <c r="PQ259" s="11"/>
      <c r="PR259" s="11"/>
      <c r="PS259" s="11"/>
      <c r="PT259" s="11"/>
      <c r="PU259" s="11"/>
      <c r="PV259" s="11"/>
      <c r="PW259" s="11"/>
      <c r="PX259" s="11"/>
      <c r="PY259" s="11"/>
      <c r="PZ259" s="11"/>
      <c r="QA259" s="11"/>
      <c r="QB259" s="11"/>
      <c r="QC259" s="11"/>
      <c r="QD259" s="11"/>
      <c r="QE259" s="11"/>
      <c r="QF259" s="11"/>
      <c r="QG259" s="11"/>
      <c r="QH259" s="11"/>
      <c r="QI259" s="11"/>
      <c r="QJ259" s="11"/>
      <c r="QK259" s="11"/>
      <c r="QL259" s="11"/>
      <c r="QM259" s="11"/>
      <c r="QN259" s="11"/>
      <c r="QO259" s="11"/>
      <c r="QP259" s="11"/>
      <c r="QQ259" s="11"/>
      <c r="QR259" s="11"/>
      <c r="QS259" s="11"/>
      <c r="QT259" s="11"/>
      <c r="QU259" s="11"/>
      <c r="QV259" s="11"/>
      <c r="QW259" s="11"/>
      <c r="QX259" s="11"/>
      <c r="QY259" s="11"/>
      <c r="QZ259" s="11"/>
      <c r="RA259" s="11"/>
      <c r="RB259" s="11"/>
      <c r="RC259" s="11"/>
      <c r="RD259" s="11"/>
      <c r="RE259" s="11"/>
      <c r="RF259" s="11"/>
      <c r="RG259" s="11"/>
      <c r="RH259" s="11"/>
      <c r="RI259" s="11"/>
      <c r="RJ259" s="11"/>
      <c r="RK259" s="11"/>
      <c r="RL259" s="11"/>
      <c r="RM259" s="11"/>
      <c r="RN259" s="11"/>
      <c r="RO259" s="11"/>
      <c r="RP259" s="11"/>
      <c r="RQ259" s="11"/>
      <c r="RR259" s="11"/>
      <c r="RS259" s="11"/>
      <c r="RT259" s="11"/>
      <c r="RU259" s="11"/>
      <c r="RV259" s="11"/>
      <c r="RW259" s="11"/>
      <c r="RX259" s="11"/>
      <c r="RY259" s="11"/>
      <c r="RZ259" s="11"/>
      <c r="SA259" s="11"/>
      <c r="SB259" s="11"/>
      <c r="SC259" s="11"/>
      <c r="SD259" s="11"/>
      <c r="SE259" s="11"/>
      <c r="SF259" s="11"/>
      <c r="SG259" s="11"/>
      <c r="SH259" s="11">
        <v>1</v>
      </c>
    </row>
    <row r="260" spans="1:502" x14ac:dyDescent="0.2">
      <c r="A260" s="10">
        <v>2.7759735614997918E-2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>
        <v>1</v>
      </c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  <c r="OM260" s="11"/>
      <c r="ON260" s="11"/>
      <c r="OO260" s="11"/>
      <c r="OP260" s="11"/>
      <c r="OQ260" s="11"/>
      <c r="OR260" s="11"/>
      <c r="OS260" s="11"/>
      <c r="OT260" s="11"/>
      <c r="OU260" s="11"/>
      <c r="OV260" s="11"/>
      <c r="OW260" s="11"/>
      <c r="OX260" s="11"/>
      <c r="OY260" s="11"/>
      <c r="OZ260" s="11"/>
      <c r="PA260" s="11"/>
      <c r="PB260" s="11"/>
      <c r="PC260" s="11"/>
      <c r="PD260" s="11"/>
      <c r="PE260" s="11"/>
      <c r="PF260" s="11"/>
      <c r="PG260" s="11"/>
      <c r="PH260" s="11"/>
      <c r="PI260" s="11"/>
      <c r="PJ260" s="11"/>
      <c r="PK260" s="11"/>
      <c r="PL260" s="11"/>
      <c r="PM260" s="11"/>
      <c r="PN260" s="11"/>
      <c r="PO260" s="11"/>
      <c r="PP260" s="11"/>
      <c r="PQ260" s="11"/>
      <c r="PR260" s="11"/>
      <c r="PS260" s="11"/>
      <c r="PT260" s="11"/>
      <c r="PU260" s="11"/>
      <c r="PV260" s="11"/>
      <c r="PW260" s="11"/>
      <c r="PX260" s="11"/>
      <c r="PY260" s="11"/>
      <c r="PZ260" s="11"/>
      <c r="QA260" s="11"/>
      <c r="QB260" s="11"/>
      <c r="QC260" s="11"/>
      <c r="QD260" s="11"/>
      <c r="QE260" s="11"/>
      <c r="QF260" s="11"/>
      <c r="QG260" s="11"/>
      <c r="QH260" s="11"/>
      <c r="QI260" s="11"/>
      <c r="QJ260" s="11"/>
      <c r="QK260" s="11"/>
      <c r="QL260" s="11"/>
      <c r="QM260" s="11"/>
      <c r="QN260" s="11"/>
      <c r="QO260" s="11"/>
      <c r="QP260" s="11"/>
      <c r="QQ260" s="11"/>
      <c r="QR260" s="11"/>
      <c r="QS260" s="11"/>
      <c r="QT260" s="11"/>
      <c r="QU260" s="11"/>
      <c r="QV260" s="11"/>
      <c r="QW260" s="11"/>
      <c r="QX260" s="11"/>
      <c r="QY260" s="11"/>
      <c r="QZ260" s="11"/>
      <c r="RA260" s="11"/>
      <c r="RB260" s="11"/>
      <c r="RC260" s="11"/>
      <c r="RD260" s="11"/>
      <c r="RE260" s="11"/>
      <c r="RF260" s="11"/>
      <c r="RG260" s="11"/>
      <c r="RH260" s="11"/>
      <c r="RI260" s="11"/>
      <c r="RJ260" s="11"/>
      <c r="RK260" s="11"/>
      <c r="RL260" s="11"/>
      <c r="RM260" s="11"/>
      <c r="RN260" s="11"/>
      <c r="RO260" s="11"/>
      <c r="RP260" s="11"/>
      <c r="RQ260" s="11"/>
      <c r="RR260" s="11"/>
      <c r="RS260" s="11"/>
      <c r="RT260" s="11"/>
      <c r="RU260" s="11"/>
      <c r="RV260" s="11"/>
      <c r="RW260" s="11"/>
      <c r="RX260" s="11"/>
      <c r="RY260" s="11"/>
      <c r="RZ260" s="11"/>
      <c r="SA260" s="11"/>
      <c r="SB260" s="11"/>
      <c r="SC260" s="11"/>
      <c r="SD260" s="11"/>
      <c r="SE260" s="11"/>
      <c r="SF260" s="11"/>
      <c r="SG260" s="11"/>
      <c r="SH260" s="11">
        <v>1</v>
      </c>
    </row>
    <row r="261" spans="1:502" x14ac:dyDescent="0.2">
      <c r="A261" s="10">
        <v>2.7933081580582587E-2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>
        <v>1</v>
      </c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  <c r="OM261" s="11"/>
      <c r="ON261" s="11"/>
      <c r="OO261" s="11"/>
      <c r="OP261" s="11"/>
      <c r="OQ261" s="11"/>
      <c r="OR261" s="11"/>
      <c r="OS261" s="11"/>
      <c r="OT261" s="11"/>
      <c r="OU261" s="11"/>
      <c r="OV261" s="11"/>
      <c r="OW261" s="11"/>
      <c r="OX261" s="11"/>
      <c r="OY261" s="11"/>
      <c r="OZ261" s="11"/>
      <c r="PA261" s="11"/>
      <c r="PB261" s="11"/>
      <c r="PC261" s="11"/>
      <c r="PD261" s="11"/>
      <c r="PE261" s="11"/>
      <c r="PF261" s="11"/>
      <c r="PG261" s="11"/>
      <c r="PH261" s="11"/>
      <c r="PI261" s="11"/>
      <c r="PJ261" s="11"/>
      <c r="PK261" s="11"/>
      <c r="PL261" s="11"/>
      <c r="PM261" s="11"/>
      <c r="PN261" s="11"/>
      <c r="PO261" s="11"/>
      <c r="PP261" s="11"/>
      <c r="PQ261" s="11"/>
      <c r="PR261" s="11"/>
      <c r="PS261" s="11"/>
      <c r="PT261" s="11"/>
      <c r="PU261" s="11"/>
      <c r="PV261" s="11"/>
      <c r="PW261" s="11"/>
      <c r="PX261" s="11"/>
      <c r="PY261" s="11"/>
      <c r="PZ261" s="11"/>
      <c r="QA261" s="11"/>
      <c r="QB261" s="11"/>
      <c r="QC261" s="11"/>
      <c r="QD261" s="11"/>
      <c r="QE261" s="11"/>
      <c r="QF261" s="11"/>
      <c r="QG261" s="11"/>
      <c r="QH261" s="11"/>
      <c r="QI261" s="11"/>
      <c r="QJ261" s="11"/>
      <c r="QK261" s="11"/>
      <c r="QL261" s="11"/>
      <c r="QM261" s="11"/>
      <c r="QN261" s="11"/>
      <c r="QO261" s="11"/>
      <c r="QP261" s="11"/>
      <c r="QQ261" s="11"/>
      <c r="QR261" s="11"/>
      <c r="QS261" s="11"/>
      <c r="QT261" s="11"/>
      <c r="QU261" s="11"/>
      <c r="QV261" s="11"/>
      <c r="QW261" s="11"/>
      <c r="QX261" s="11"/>
      <c r="QY261" s="11"/>
      <c r="QZ261" s="11"/>
      <c r="RA261" s="11"/>
      <c r="RB261" s="11"/>
      <c r="RC261" s="11"/>
      <c r="RD261" s="11"/>
      <c r="RE261" s="11"/>
      <c r="RF261" s="11"/>
      <c r="RG261" s="11"/>
      <c r="RH261" s="11"/>
      <c r="RI261" s="11"/>
      <c r="RJ261" s="11"/>
      <c r="RK261" s="11"/>
      <c r="RL261" s="11"/>
      <c r="RM261" s="11"/>
      <c r="RN261" s="11"/>
      <c r="RO261" s="11"/>
      <c r="RP261" s="11"/>
      <c r="RQ261" s="11"/>
      <c r="RR261" s="11"/>
      <c r="RS261" s="11"/>
      <c r="RT261" s="11"/>
      <c r="RU261" s="11"/>
      <c r="RV261" s="11"/>
      <c r="RW261" s="11"/>
      <c r="RX261" s="11"/>
      <c r="RY261" s="11"/>
      <c r="RZ261" s="11"/>
      <c r="SA261" s="11"/>
      <c r="SB261" s="11"/>
      <c r="SC261" s="11"/>
      <c r="SD261" s="11"/>
      <c r="SE261" s="11"/>
      <c r="SF261" s="11"/>
      <c r="SG261" s="11"/>
      <c r="SH261" s="11">
        <v>1</v>
      </c>
    </row>
    <row r="262" spans="1:502" x14ac:dyDescent="0.2">
      <c r="A262" s="10">
        <v>2.8128213671133863E-2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>
        <v>1</v>
      </c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  <c r="OM262" s="11"/>
      <c r="ON262" s="11"/>
      <c r="OO262" s="11"/>
      <c r="OP262" s="11"/>
      <c r="OQ262" s="11"/>
      <c r="OR262" s="11"/>
      <c r="OS262" s="11"/>
      <c r="OT262" s="11"/>
      <c r="OU262" s="11"/>
      <c r="OV262" s="11"/>
      <c r="OW262" s="11"/>
      <c r="OX262" s="11"/>
      <c r="OY262" s="11"/>
      <c r="OZ262" s="11"/>
      <c r="PA262" s="11"/>
      <c r="PB262" s="11"/>
      <c r="PC262" s="11"/>
      <c r="PD262" s="11"/>
      <c r="PE262" s="11"/>
      <c r="PF262" s="11"/>
      <c r="PG262" s="11"/>
      <c r="PH262" s="11"/>
      <c r="PI262" s="11"/>
      <c r="PJ262" s="11"/>
      <c r="PK262" s="11"/>
      <c r="PL262" s="11"/>
      <c r="PM262" s="11"/>
      <c r="PN262" s="11"/>
      <c r="PO262" s="11"/>
      <c r="PP262" s="11"/>
      <c r="PQ262" s="11"/>
      <c r="PR262" s="11"/>
      <c r="PS262" s="11"/>
      <c r="PT262" s="11"/>
      <c r="PU262" s="11"/>
      <c r="PV262" s="11"/>
      <c r="PW262" s="11"/>
      <c r="PX262" s="11"/>
      <c r="PY262" s="11"/>
      <c r="PZ262" s="11"/>
      <c r="QA262" s="11"/>
      <c r="QB262" s="11"/>
      <c r="QC262" s="11"/>
      <c r="QD262" s="11"/>
      <c r="QE262" s="11"/>
      <c r="QF262" s="11"/>
      <c r="QG262" s="11"/>
      <c r="QH262" s="11"/>
      <c r="QI262" s="11"/>
      <c r="QJ262" s="11"/>
      <c r="QK262" s="11"/>
      <c r="QL262" s="11"/>
      <c r="QM262" s="11"/>
      <c r="QN262" s="11"/>
      <c r="QO262" s="11"/>
      <c r="QP262" s="11"/>
      <c r="QQ262" s="11"/>
      <c r="QR262" s="11"/>
      <c r="QS262" s="11"/>
      <c r="QT262" s="11"/>
      <c r="QU262" s="11"/>
      <c r="QV262" s="11"/>
      <c r="QW262" s="11"/>
      <c r="QX262" s="11"/>
      <c r="QY262" s="11"/>
      <c r="QZ262" s="11"/>
      <c r="RA262" s="11"/>
      <c r="RB262" s="11"/>
      <c r="RC262" s="11"/>
      <c r="RD262" s="11"/>
      <c r="RE262" s="11"/>
      <c r="RF262" s="11"/>
      <c r="RG262" s="11"/>
      <c r="RH262" s="11"/>
      <c r="RI262" s="11"/>
      <c r="RJ262" s="11"/>
      <c r="RK262" s="11"/>
      <c r="RL262" s="11"/>
      <c r="RM262" s="11"/>
      <c r="RN262" s="11"/>
      <c r="RO262" s="11"/>
      <c r="RP262" s="11"/>
      <c r="RQ262" s="11"/>
      <c r="RR262" s="11"/>
      <c r="RS262" s="11"/>
      <c r="RT262" s="11"/>
      <c r="RU262" s="11"/>
      <c r="RV262" s="11"/>
      <c r="RW262" s="11"/>
      <c r="RX262" s="11"/>
      <c r="RY262" s="11"/>
      <c r="RZ262" s="11"/>
      <c r="SA262" s="11"/>
      <c r="SB262" s="11"/>
      <c r="SC262" s="11"/>
      <c r="SD262" s="11"/>
      <c r="SE262" s="11"/>
      <c r="SF262" s="11"/>
      <c r="SG262" s="11"/>
      <c r="SH262" s="11">
        <v>1</v>
      </c>
    </row>
    <row r="263" spans="1:502" x14ac:dyDescent="0.2">
      <c r="A263" s="10">
        <v>2.8223795416682851E-2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>
        <v>1</v>
      </c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  <c r="OM263" s="11"/>
      <c r="ON263" s="11"/>
      <c r="OO263" s="11"/>
      <c r="OP263" s="11"/>
      <c r="OQ263" s="11"/>
      <c r="OR263" s="11"/>
      <c r="OS263" s="11"/>
      <c r="OT263" s="11"/>
      <c r="OU263" s="11"/>
      <c r="OV263" s="11"/>
      <c r="OW263" s="11"/>
      <c r="OX263" s="11"/>
      <c r="OY263" s="11"/>
      <c r="OZ263" s="11"/>
      <c r="PA263" s="11"/>
      <c r="PB263" s="11"/>
      <c r="PC263" s="11"/>
      <c r="PD263" s="11"/>
      <c r="PE263" s="11"/>
      <c r="PF263" s="11"/>
      <c r="PG263" s="11"/>
      <c r="PH263" s="11"/>
      <c r="PI263" s="11"/>
      <c r="PJ263" s="11"/>
      <c r="PK263" s="11"/>
      <c r="PL263" s="11"/>
      <c r="PM263" s="11"/>
      <c r="PN263" s="11"/>
      <c r="PO263" s="11"/>
      <c r="PP263" s="11"/>
      <c r="PQ263" s="11"/>
      <c r="PR263" s="11"/>
      <c r="PS263" s="11"/>
      <c r="PT263" s="11"/>
      <c r="PU263" s="11"/>
      <c r="PV263" s="11"/>
      <c r="PW263" s="11"/>
      <c r="PX263" s="11"/>
      <c r="PY263" s="11"/>
      <c r="PZ263" s="11"/>
      <c r="QA263" s="11"/>
      <c r="QB263" s="11"/>
      <c r="QC263" s="11"/>
      <c r="QD263" s="11"/>
      <c r="QE263" s="11"/>
      <c r="QF263" s="11"/>
      <c r="QG263" s="11"/>
      <c r="QH263" s="11"/>
      <c r="QI263" s="11"/>
      <c r="QJ263" s="11"/>
      <c r="QK263" s="11"/>
      <c r="QL263" s="11"/>
      <c r="QM263" s="11"/>
      <c r="QN263" s="11"/>
      <c r="QO263" s="11"/>
      <c r="QP263" s="11"/>
      <c r="QQ263" s="11"/>
      <c r="QR263" s="11"/>
      <c r="QS263" s="11"/>
      <c r="QT263" s="11"/>
      <c r="QU263" s="11"/>
      <c r="QV263" s="11"/>
      <c r="QW263" s="11"/>
      <c r="QX263" s="11"/>
      <c r="QY263" s="11"/>
      <c r="QZ263" s="11"/>
      <c r="RA263" s="11"/>
      <c r="RB263" s="11"/>
      <c r="RC263" s="11"/>
      <c r="RD263" s="11"/>
      <c r="RE263" s="11"/>
      <c r="RF263" s="11"/>
      <c r="RG263" s="11"/>
      <c r="RH263" s="11"/>
      <c r="RI263" s="11"/>
      <c r="RJ263" s="11"/>
      <c r="RK263" s="11"/>
      <c r="RL263" s="11"/>
      <c r="RM263" s="11"/>
      <c r="RN263" s="11"/>
      <c r="RO263" s="11"/>
      <c r="RP263" s="11"/>
      <c r="RQ263" s="11"/>
      <c r="RR263" s="11"/>
      <c r="RS263" s="11"/>
      <c r="RT263" s="11"/>
      <c r="RU263" s="11"/>
      <c r="RV263" s="11"/>
      <c r="RW263" s="11"/>
      <c r="RX263" s="11"/>
      <c r="RY263" s="11"/>
      <c r="RZ263" s="11"/>
      <c r="SA263" s="11"/>
      <c r="SB263" s="11"/>
      <c r="SC263" s="11"/>
      <c r="SD263" s="11"/>
      <c r="SE263" s="11"/>
      <c r="SF263" s="11"/>
      <c r="SG263" s="11"/>
      <c r="SH263" s="11">
        <v>1</v>
      </c>
    </row>
    <row r="264" spans="1:502" x14ac:dyDescent="0.2">
      <c r="A264" s="10">
        <v>2.838486847221712E-2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  <c r="OM264" s="11"/>
      <c r="ON264" s="11"/>
      <c r="OO264" s="11"/>
      <c r="OP264" s="11"/>
      <c r="OQ264" s="11"/>
      <c r="OR264" s="11"/>
      <c r="OS264" s="11"/>
      <c r="OT264" s="11"/>
      <c r="OU264" s="11"/>
      <c r="OV264" s="11"/>
      <c r="OW264" s="11"/>
      <c r="OX264" s="11"/>
      <c r="OY264" s="11"/>
      <c r="OZ264" s="11"/>
      <c r="PA264" s="11"/>
      <c r="PB264" s="11"/>
      <c r="PC264" s="11"/>
      <c r="PD264" s="11"/>
      <c r="PE264" s="11"/>
      <c r="PF264" s="11"/>
      <c r="PG264" s="11"/>
      <c r="PH264" s="11"/>
      <c r="PI264" s="11"/>
      <c r="PJ264" s="11"/>
      <c r="PK264" s="11"/>
      <c r="PL264" s="11"/>
      <c r="PM264" s="11"/>
      <c r="PN264" s="11"/>
      <c r="PO264" s="11"/>
      <c r="PP264" s="11"/>
      <c r="PQ264" s="11"/>
      <c r="PR264" s="11"/>
      <c r="PS264" s="11"/>
      <c r="PT264" s="11"/>
      <c r="PU264" s="11"/>
      <c r="PV264" s="11"/>
      <c r="PW264" s="11"/>
      <c r="PX264" s="11"/>
      <c r="PY264" s="11"/>
      <c r="PZ264" s="11">
        <v>1</v>
      </c>
      <c r="QA264" s="11"/>
      <c r="QB264" s="11"/>
      <c r="QC264" s="11"/>
      <c r="QD264" s="11"/>
      <c r="QE264" s="11"/>
      <c r="QF264" s="11"/>
      <c r="QG264" s="11"/>
      <c r="QH264" s="11"/>
      <c r="QI264" s="11"/>
      <c r="QJ264" s="11"/>
      <c r="QK264" s="11"/>
      <c r="QL264" s="11"/>
      <c r="QM264" s="11"/>
      <c r="QN264" s="11"/>
      <c r="QO264" s="11"/>
      <c r="QP264" s="11"/>
      <c r="QQ264" s="11"/>
      <c r="QR264" s="11"/>
      <c r="QS264" s="11"/>
      <c r="QT264" s="11"/>
      <c r="QU264" s="11"/>
      <c r="QV264" s="11"/>
      <c r="QW264" s="11"/>
      <c r="QX264" s="11"/>
      <c r="QY264" s="11"/>
      <c r="QZ264" s="11"/>
      <c r="RA264" s="11"/>
      <c r="RB264" s="11"/>
      <c r="RC264" s="11"/>
      <c r="RD264" s="11"/>
      <c r="RE264" s="11"/>
      <c r="RF264" s="11"/>
      <c r="RG264" s="11"/>
      <c r="RH264" s="11"/>
      <c r="RI264" s="11"/>
      <c r="RJ264" s="11"/>
      <c r="RK264" s="11"/>
      <c r="RL264" s="11"/>
      <c r="RM264" s="11"/>
      <c r="RN264" s="11"/>
      <c r="RO264" s="11"/>
      <c r="RP264" s="11"/>
      <c r="RQ264" s="11"/>
      <c r="RR264" s="11"/>
      <c r="RS264" s="11"/>
      <c r="RT264" s="11"/>
      <c r="RU264" s="11"/>
      <c r="RV264" s="11"/>
      <c r="RW264" s="11"/>
      <c r="RX264" s="11"/>
      <c r="RY264" s="11"/>
      <c r="RZ264" s="11"/>
      <c r="SA264" s="11"/>
      <c r="SB264" s="11"/>
      <c r="SC264" s="11"/>
      <c r="SD264" s="11"/>
      <c r="SE264" s="11"/>
      <c r="SF264" s="11"/>
      <c r="SG264" s="11"/>
      <c r="SH264" s="11">
        <v>1</v>
      </c>
    </row>
    <row r="265" spans="1:502" x14ac:dyDescent="0.2">
      <c r="A265" s="10">
        <v>2.8417196032942151E-2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>
        <v>1</v>
      </c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  <c r="OM265" s="11"/>
      <c r="ON265" s="11"/>
      <c r="OO265" s="11"/>
      <c r="OP265" s="11"/>
      <c r="OQ265" s="11"/>
      <c r="OR265" s="11"/>
      <c r="OS265" s="11"/>
      <c r="OT265" s="11"/>
      <c r="OU265" s="11"/>
      <c r="OV265" s="11"/>
      <c r="OW265" s="11"/>
      <c r="OX265" s="11"/>
      <c r="OY265" s="11"/>
      <c r="OZ265" s="11"/>
      <c r="PA265" s="11"/>
      <c r="PB265" s="11"/>
      <c r="PC265" s="11"/>
      <c r="PD265" s="11"/>
      <c r="PE265" s="11"/>
      <c r="PF265" s="11"/>
      <c r="PG265" s="11"/>
      <c r="PH265" s="11"/>
      <c r="PI265" s="11"/>
      <c r="PJ265" s="11"/>
      <c r="PK265" s="11"/>
      <c r="PL265" s="11"/>
      <c r="PM265" s="11"/>
      <c r="PN265" s="11"/>
      <c r="PO265" s="11"/>
      <c r="PP265" s="11"/>
      <c r="PQ265" s="11"/>
      <c r="PR265" s="11"/>
      <c r="PS265" s="11"/>
      <c r="PT265" s="11"/>
      <c r="PU265" s="11"/>
      <c r="PV265" s="11"/>
      <c r="PW265" s="11"/>
      <c r="PX265" s="11"/>
      <c r="PY265" s="11"/>
      <c r="PZ265" s="11"/>
      <c r="QA265" s="11"/>
      <c r="QB265" s="11"/>
      <c r="QC265" s="11"/>
      <c r="QD265" s="11"/>
      <c r="QE265" s="11"/>
      <c r="QF265" s="11"/>
      <c r="QG265" s="11"/>
      <c r="QH265" s="11"/>
      <c r="QI265" s="11"/>
      <c r="QJ265" s="11"/>
      <c r="QK265" s="11"/>
      <c r="QL265" s="11"/>
      <c r="QM265" s="11"/>
      <c r="QN265" s="11"/>
      <c r="QO265" s="11"/>
      <c r="QP265" s="11"/>
      <c r="QQ265" s="11"/>
      <c r="QR265" s="11"/>
      <c r="QS265" s="11"/>
      <c r="QT265" s="11"/>
      <c r="QU265" s="11"/>
      <c r="QV265" s="11"/>
      <c r="QW265" s="11"/>
      <c r="QX265" s="11"/>
      <c r="QY265" s="11"/>
      <c r="QZ265" s="11"/>
      <c r="RA265" s="11"/>
      <c r="RB265" s="11"/>
      <c r="RC265" s="11"/>
      <c r="RD265" s="11"/>
      <c r="RE265" s="11"/>
      <c r="RF265" s="11"/>
      <c r="RG265" s="11"/>
      <c r="RH265" s="11"/>
      <c r="RI265" s="11"/>
      <c r="RJ265" s="11"/>
      <c r="RK265" s="11"/>
      <c r="RL265" s="11"/>
      <c r="RM265" s="11"/>
      <c r="RN265" s="11"/>
      <c r="RO265" s="11"/>
      <c r="RP265" s="11"/>
      <c r="RQ265" s="11"/>
      <c r="RR265" s="11"/>
      <c r="RS265" s="11"/>
      <c r="RT265" s="11"/>
      <c r="RU265" s="11"/>
      <c r="RV265" s="11"/>
      <c r="RW265" s="11"/>
      <c r="RX265" s="11"/>
      <c r="RY265" s="11"/>
      <c r="RZ265" s="11"/>
      <c r="SA265" s="11"/>
      <c r="SB265" s="11"/>
      <c r="SC265" s="11"/>
      <c r="SD265" s="11"/>
      <c r="SE265" s="11"/>
      <c r="SF265" s="11"/>
      <c r="SG265" s="11"/>
      <c r="SH265" s="11">
        <v>1</v>
      </c>
    </row>
    <row r="266" spans="1:502" x14ac:dyDescent="0.2">
      <c r="A266" s="10">
        <v>2.8482171863720502E-2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>
        <v>1</v>
      </c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  <c r="OM266" s="11"/>
      <c r="ON266" s="11"/>
      <c r="OO266" s="11"/>
      <c r="OP266" s="11"/>
      <c r="OQ266" s="11"/>
      <c r="OR266" s="11"/>
      <c r="OS266" s="11"/>
      <c r="OT266" s="11"/>
      <c r="OU266" s="11"/>
      <c r="OV266" s="11"/>
      <c r="OW266" s="11"/>
      <c r="OX266" s="11"/>
      <c r="OY266" s="11"/>
      <c r="OZ266" s="11"/>
      <c r="PA266" s="11"/>
      <c r="PB266" s="11"/>
      <c r="PC266" s="11"/>
      <c r="PD266" s="11"/>
      <c r="PE266" s="11"/>
      <c r="PF266" s="11"/>
      <c r="PG266" s="11"/>
      <c r="PH266" s="11"/>
      <c r="PI266" s="11"/>
      <c r="PJ266" s="11"/>
      <c r="PK266" s="11"/>
      <c r="PL266" s="11"/>
      <c r="PM266" s="11"/>
      <c r="PN266" s="11"/>
      <c r="PO266" s="11"/>
      <c r="PP266" s="11"/>
      <c r="PQ266" s="11"/>
      <c r="PR266" s="11"/>
      <c r="PS266" s="11"/>
      <c r="PT266" s="11"/>
      <c r="PU266" s="11"/>
      <c r="PV266" s="11"/>
      <c r="PW266" s="11"/>
      <c r="PX266" s="11"/>
      <c r="PY266" s="11"/>
      <c r="PZ266" s="11"/>
      <c r="QA266" s="11"/>
      <c r="QB266" s="11"/>
      <c r="QC266" s="11"/>
      <c r="QD266" s="11"/>
      <c r="QE266" s="11"/>
      <c r="QF266" s="11"/>
      <c r="QG266" s="11"/>
      <c r="QH266" s="11"/>
      <c r="QI266" s="11"/>
      <c r="QJ266" s="11"/>
      <c r="QK266" s="11"/>
      <c r="QL266" s="11"/>
      <c r="QM266" s="11"/>
      <c r="QN266" s="11"/>
      <c r="QO266" s="11"/>
      <c r="QP266" s="11"/>
      <c r="QQ266" s="11"/>
      <c r="QR266" s="11"/>
      <c r="QS266" s="11"/>
      <c r="QT266" s="11"/>
      <c r="QU266" s="11"/>
      <c r="QV266" s="11"/>
      <c r="QW266" s="11"/>
      <c r="QX266" s="11"/>
      <c r="QY266" s="11"/>
      <c r="QZ266" s="11"/>
      <c r="RA266" s="11"/>
      <c r="RB266" s="11"/>
      <c r="RC266" s="11"/>
      <c r="RD266" s="11"/>
      <c r="RE266" s="11"/>
      <c r="RF266" s="11"/>
      <c r="RG266" s="11"/>
      <c r="RH266" s="11"/>
      <c r="RI266" s="11"/>
      <c r="RJ266" s="11"/>
      <c r="RK266" s="11"/>
      <c r="RL266" s="11"/>
      <c r="RM266" s="11"/>
      <c r="RN266" s="11"/>
      <c r="RO266" s="11"/>
      <c r="RP266" s="11"/>
      <c r="RQ266" s="11"/>
      <c r="RR266" s="11"/>
      <c r="RS266" s="11"/>
      <c r="RT266" s="11"/>
      <c r="RU266" s="11"/>
      <c r="RV266" s="11"/>
      <c r="RW266" s="11"/>
      <c r="RX266" s="11"/>
      <c r="RY266" s="11"/>
      <c r="RZ266" s="11"/>
      <c r="SA266" s="11"/>
      <c r="SB266" s="11"/>
      <c r="SC266" s="11"/>
      <c r="SD266" s="11"/>
      <c r="SE266" s="11"/>
      <c r="SF266" s="11"/>
      <c r="SG266" s="11"/>
      <c r="SH266" s="11">
        <v>1</v>
      </c>
    </row>
    <row r="267" spans="1:502" x14ac:dyDescent="0.2">
      <c r="A267" s="10">
        <v>2.8580026024894255E-2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>
        <v>1</v>
      </c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  <c r="OM267" s="11"/>
      <c r="ON267" s="11"/>
      <c r="OO267" s="11"/>
      <c r="OP267" s="11"/>
      <c r="OQ267" s="11"/>
      <c r="OR267" s="11"/>
      <c r="OS267" s="11"/>
      <c r="OT267" s="11"/>
      <c r="OU267" s="11"/>
      <c r="OV267" s="11"/>
      <c r="OW267" s="11"/>
      <c r="OX267" s="11"/>
      <c r="OY267" s="11"/>
      <c r="OZ267" s="11"/>
      <c r="PA267" s="11"/>
      <c r="PB267" s="11"/>
      <c r="PC267" s="11"/>
      <c r="PD267" s="11"/>
      <c r="PE267" s="11"/>
      <c r="PF267" s="11"/>
      <c r="PG267" s="11"/>
      <c r="PH267" s="11"/>
      <c r="PI267" s="11"/>
      <c r="PJ267" s="11"/>
      <c r="PK267" s="11"/>
      <c r="PL267" s="11"/>
      <c r="PM267" s="11"/>
      <c r="PN267" s="11"/>
      <c r="PO267" s="11"/>
      <c r="PP267" s="11"/>
      <c r="PQ267" s="11"/>
      <c r="PR267" s="11"/>
      <c r="PS267" s="11"/>
      <c r="PT267" s="11"/>
      <c r="PU267" s="11"/>
      <c r="PV267" s="11"/>
      <c r="PW267" s="11"/>
      <c r="PX267" s="11"/>
      <c r="PY267" s="11"/>
      <c r="PZ267" s="11"/>
      <c r="QA267" s="11"/>
      <c r="QB267" s="11"/>
      <c r="QC267" s="11"/>
      <c r="QD267" s="11"/>
      <c r="QE267" s="11"/>
      <c r="QF267" s="11"/>
      <c r="QG267" s="11"/>
      <c r="QH267" s="11"/>
      <c r="QI267" s="11"/>
      <c r="QJ267" s="11"/>
      <c r="QK267" s="11"/>
      <c r="QL267" s="11"/>
      <c r="QM267" s="11"/>
      <c r="QN267" s="11"/>
      <c r="QO267" s="11"/>
      <c r="QP267" s="11"/>
      <c r="QQ267" s="11"/>
      <c r="QR267" s="11"/>
      <c r="QS267" s="11"/>
      <c r="QT267" s="11"/>
      <c r="QU267" s="11"/>
      <c r="QV267" s="11"/>
      <c r="QW267" s="11"/>
      <c r="QX267" s="11"/>
      <c r="QY267" s="11"/>
      <c r="QZ267" s="11"/>
      <c r="RA267" s="11"/>
      <c r="RB267" s="11"/>
      <c r="RC267" s="11"/>
      <c r="RD267" s="11"/>
      <c r="RE267" s="11"/>
      <c r="RF267" s="11"/>
      <c r="RG267" s="11"/>
      <c r="RH267" s="11"/>
      <c r="RI267" s="11"/>
      <c r="RJ267" s="11"/>
      <c r="RK267" s="11"/>
      <c r="RL267" s="11"/>
      <c r="RM267" s="11"/>
      <c r="RN267" s="11"/>
      <c r="RO267" s="11"/>
      <c r="RP267" s="11"/>
      <c r="RQ267" s="11"/>
      <c r="RR267" s="11"/>
      <c r="RS267" s="11"/>
      <c r="RT267" s="11"/>
      <c r="RU267" s="11"/>
      <c r="RV267" s="11"/>
      <c r="RW267" s="11"/>
      <c r="RX267" s="11"/>
      <c r="RY267" s="11"/>
      <c r="RZ267" s="11"/>
      <c r="SA267" s="11"/>
      <c r="SB267" s="11"/>
      <c r="SC267" s="11"/>
      <c r="SD267" s="11"/>
      <c r="SE267" s="11"/>
      <c r="SF267" s="11"/>
      <c r="SG267" s="11"/>
      <c r="SH267" s="11">
        <v>1</v>
      </c>
    </row>
    <row r="268" spans="1:502" x14ac:dyDescent="0.2">
      <c r="A268" s="10">
        <v>2.8644196899640696E-2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>
        <v>1</v>
      </c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  <c r="OM268" s="11"/>
      <c r="ON268" s="11"/>
      <c r="OO268" s="11"/>
      <c r="OP268" s="11"/>
      <c r="OQ268" s="11"/>
      <c r="OR268" s="11"/>
      <c r="OS268" s="11"/>
      <c r="OT268" s="11"/>
      <c r="OU268" s="11"/>
      <c r="OV268" s="11"/>
      <c r="OW268" s="11"/>
      <c r="OX268" s="11"/>
      <c r="OY268" s="11"/>
      <c r="OZ268" s="11"/>
      <c r="PA268" s="11"/>
      <c r="PB268" s="11"/>
      <c r="PC268" s="11"/>
      <c r="PD268" s="11"/>
      <c r="PE268" s="11"/>
      <c r="PF268" s="11"/>
      <c r="PG268" s="11"/>
      <c r="PH268" s="11"/>
      <c r="PI268" s="11"/>
      <c r="PJ268" s="11"/>
      <c r="PK268" s="11"/>
      <c r="PL268" s="11"/>
      <c r="PM268" s="11"/>
      <c r="PN268" s="11"/>
      <c r="PO268" s="11"/>
      <c r="PP268" s="11"/>
      <c r="PQ268" s="11"/>
      <c r="PR268" s="11"/>
      <c r="PS268" s="11"/>
      <c r="PT268" s="11"/>
      <c r="PU268" s="11"/>
      <c r="PV268" s="11"/>
      <c r="PW268" s="11"/>
      <c r="PX268" s="11"/>
      <c r="PY268" s="11"/>
      <c r="PZ268" s="11"/>
      <c r="QA268" s="11"/>
      <c r="QB268" s="11"/>
      <c r="QC268" s="11"/>
      <c r="QD268" s="11"/>
      <c r="QE268" s="11"/>
      <c r="QF268" s="11"/>
      <c r="QG268" s="11"/>
      <c r="QH268" s="11"/>
      <c r="QI268" s="11"/>
      <c r="QJ268" s="11"/>
      <c r="QK268" s="11"/>
      <c r="QL268" s="11"/>
      <c r="QM268" s="11"/>
      <c r="QN268" s="11"/>
      <c r="QO268" s="11"/>
      <c r="QP268" s="11"/>
      <c r="QQ268" s="11"/>
      <c r="QR268" s="11"/>
      <c r="QS268" s="11"/>
      <c r="QT268" s="11"/>
      <c r="QU268" s="11"/>
      <c r="QV268" s="11"/>
      <c r="QW268" s="11"/>
      <c r="QX268" s="11"/>
      <c r="QY268" s="11"/>
      <c r="QZ268" s="11"/>
      <c r="RA268" s="11"/>
      <c r="RB268" s="11"/>
      <c r="RC268" s="11"/>
      <c r="RD268" s="11"/>
      <c r="RE268" s="11"/>
      <c r="RF268" s="11"/>
      <c r="RG268" s="11"/>
      <c r="RH268" s="11"/>
      <c r="RI268" s="11"/>
      <c r="RJ268" s="11"/>
      <c r="RK268" s="11"/>
      <c r="RL268" s="11"/>
      <c r="RM268" s="11"/>
      <c r="RN268" s="11"/>
      <c r="RO268" s="11"/>
      <c r="RP268" s="11"/>
      <c r="RQ268" s="11"/>
      <c r="RR268" s="11"/>
      <c r="RS268" s="11"/>
      <c r="RT268" s="11"/>
      <c r="RU268" s="11"/>
      <c r="RV268" s="11"/>
      <c r="RW268" s="11"/>
      <c r="RX268" s="11"/>
      <c r="RY268" s="11"/>
      <c r="RZ268" s="11"/>
      <c r="SA268" s="11"/>
      <c r="SB268" s="11"/>
      <c r="SC268" s="11"/>
      <c r="SD268" s="11"/>
      <c r="SE268" s="11"/>
      <c r="SF268" s="11"/>
      <c r="SG268" s="11"/>
      <c r="SH268" s="11">
        <v>1</v>
      </c>
    </row>
    <row r="269" spans="1:502" x14ac:dyDescent="0.2">
      <c r="A269" s="10">
        <v>2.8697991868886268E-2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>
        <v>1</v>
      </c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  <c r="OM269" s="11"/>
      <c r="ON269" s="11"/>
      <c r="OO269" s="11"/>
      <c r="OP269" s="11"/>
      <c r="OQ269" s="11"/>
      <c r="OR269" s="11"/>
      <c r="OS269" s="11"/>
      <c r="OT269" s="11"/>
      <c r="OU269" s="11"/>
      <c r="OV269" s="11"/>
      <c r="OW269" s="11"/>
      <c r="OX269" s="11"/>
      <c r="OY269" s="11"/>
      <c r="OZ269" s="11"/>
      <c r="PA269" s="11"/>
      <c r="PB269" s="11"/>
      <c r="PC269" s="11"/>
      <c r="PD269" s="11"/>
      <c r="PE269" s="11"/>
      <c r="PF269" s="11"/>
      <c r="PG269" s="11"/>
      <c r="PH269" s="11"/>
      <c r="PI269" s="11"/>
      <c r="PJ269" s="11"/>
      <c r="PK269" s="11"/>
      <c r="PL269" s="11"/>
      <c r="PM269" s="11"/>
      <c r="PN269" s="11"/>
      <c r="PO269" s="11"/>
      <c r="PP269" s="11"/>
      <c r="PQ269" s="11"/>
      <c r="PR269" s="11"/>
      <c r="PS269" s="11"/>
      <c r="PT269" s="11"/>
      <c r="PU269" s="11"/>
      <c r="PV269" s="11"/>
      <c r="PW269" s="11"/>
      <c r="PX269" s="11"/>
      <c r="PY269" s="11"/>
      <c r="PZ269" s="11"/>
      <c r="QA269" s="11"/>
      <c r="QB269" s="11"/>
      <c r="QC269" s="11"/>
      <c r="QD269" s="11"/>
      <c r="QE269" s="11"/>
      <c r="QF269" s="11"/>
      <c r="QG269" s="11"/>
      <c r="QH269" s="11"/>
      <c r="QI269" s="11"/>
      <c r="QJ269" s="11"/>
      <c r="QK269" s="11"/>
      <c r="QL269" s="11"/>
      <c r="QM269" s="11"/>
      <c r="QN269" s="11"/>
      <c r="QO269" s="11"/>
      <c r="QP269" s="11"/>
      <c r="QQ269" s="11"/>
      <c r="QR269" s="11"/>
      <c r="QS269" s="11"/>
      <c r="QT269" s="11"/>
      <c r="QU269" s="11"/>
      <c r="QV269" s="11"/>
      <c r="QW269" s="11"/>
      <c r="QX269" s="11"/>
      <c r="QY269" s="11"/>
      <c r="QZ269" s="11"/>
      <c r="RA269" s="11"/>
      <c r="RB269" s="11"/>
      <c r="RC269" s="11"/>
      <c r="RD269" s="11"/>
      <c r="RE269" s="11"/>
      <c r="RF269" s="11"/>
      <c r="RG269" s="11"/>
      <c r="RH269" s="11"/>
      <c r="RI269" s="11"/>
      <c r="RJ269" s="11"/>
      <c r="RK269" s="11"/>
      <c r="RL269" s="11"/>
      <c r="RM269" s="11"/>
      <c r="RN269" s="11"/>
      <c r="RO269" s="11"/>
      <c r="RP269" s="11"/>
      <c r="RQ269" s="11"/>
      <c r="RR269" s="11"/>
      <c r="RS269" s="11"/>
      <c r="RT269" s="11"/>
      <c r="RU269" s="11"/>
      <c r="RV269" s="11"/>
      <c r="RW269" s="11"/>
      <c r="RX269" s="11"/>
      <c r="RY269" s="11"/>
      <c r="RZ269" s="11"/>
      <c r="SA269" s="11"/>
      <c r="SB269" s="11"/>
      <c r="SC269" s="11"/>
      <c r="SD269" s="11"/>
      <c r="SE269" s="11"/>
      <c r="SF269" s="11"/>
      <c r="SG269" s="11"/>
      <c r="SH269" s="11">
        <v>1</v>
      </c>
    </row>
    <row r="270" spans="1:502" x14ac:dyDescent="0.2">
      <c r="A270" s="10">
        <v>2.8698399517285283E-2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  <c r="OM270" s="11"/>
      <c r="ON270" s="11"/>
      <c r="OO270" s="11"/>
      <c r="OP270" s="11"/>
      <c r="OQ270" s="11"/>
      <c r="OR270" s="11"/>
      <c r="OS270" s="11"/>
      <c r="OT270" s="11"/>
      <c r="OU270" s="11"/>
      <c r="OV270" s="11"/>
      <c r="OW270" s="11"/>
      <c r="OX270" s="11"/>
      <c r="OY270" s="11"/>
      <c r="OZ270" s="11"/>
      <c r="PA270" s="11"/>
      <c r="PB270" s="11"/>
      <c r="PC270" s="11"/>
      <c r="PD270" s="11">
        <v>1</v>
      </c>
      <c r="PE270" s="11"/>
      <c r="PF270" s="11"/>
      <c r="PG270" s="11"/>
      <c r="PH270" s="11"/>
      <c r="PI270" s="11"/>
      <c r="PJ270" s="11"/>
      <c r="PK270" s="11"/>
      <c r="PL270" s="11"/>
      <c r="PM270" s="11"/>
      <c r="PN270" s="11"/>
      <c r="PO270" s="11"/>
      <c r="PP270" s="11"/>
      <c r="PQ270" s="11"/>
      <c r="PR270" s="11"/>
      <c r="PS270" s="11"/>
      <c r="PT270" s="11"/>
      <c r="PU270" s="11"/>
      <c r="PV270" s="11"/>
      <c r="PW270" s="11"/>
      <c r="PX270" s="11"/>
      <c r="PY270" s="11"/>
      <c r="PZ270" s="11"/>
      <c r="QA270" s="11"/>
      <c r="QB270" s="11"/>
      <c r="QC270" s="11"/>
      <c r="QD270" s="11"/>
      <c r="QE270" s="11"/>
      <c r="QF270" s="11"/>
      <c r="QG270" s="11"/>
      <c r="QH270" s="11"/>
      <c r="QI270" s="11"/>
      <c r="QJ270" s="11"/>
      <c r="QK270" s="11"/>
      <c r="QL270" s="11"/>
      <c r="QM270" s="11"/>
      <c r="QN270" s="11"/>
      <c r="QO270" s="11"/>
      <c r="QP270" s="11"/>
      <c r="QQ270" s="11"/>
      <c r="QR270" s="11"/>
      <c r="QS270" s="11"/>
      <c r="QT270" s="11"/>
      <c r="QU270" s="11"/>
      <c r="QV270" s="11"/>
      <c r="QW270" s="11"/>
      <c r="QX270" s="11"/>
      <c r="QY270" s="11"/>
      <c r="QZ270" s="11"/>
      <c r="RA270" s="11"/>
      <c r="RB270" s="11"/>
      <c r="RC270" s="11"/>
      <c r="RD270" s="11"/>
      <c r="RE270" s="11"/>
      <c r="RF270" s="11"/>
      <c r="RG270" s="11"/>
      <c r="RH270" s="11"/>
      <c r="RI270" s="11"/>
      <c r="RJ270" s="11"/>
      <c r="RK270" s="11"/>
      <c r="RL270" s="11"/>
      <c r="RM270" s="11"/>
      <c r="RN270" s="11"/>
      <c r="RO270" s="11"/>
      <c r="RP270" s="11"/>
      <c r="RQ270" s="11"/>
      <c r="RR270" s="11"/>
      <c r="RS270" s="11"/>
      <c r="RT270" s="11"/>
      <c r="RU270" s="11"/>
      <c r="RV270" s="11"/>
      <c r="RW270" s="11"/>
      <c r="RX270" s="11"/>
      <c r="RY270" s="11"/>
      <c r="RZ270" s="11"/>
      <c r="SA270" s="11"/>
      <c r="SB270" s="11"/>
      <c r="SC270" s="11"/>
      <c r="SD270" s="11"/>
      <c r="SE270" s="11"/>
      <c r="SF270" s="11"/>
      <c r="SG270" s="11"/>
      <c r="SH270" s="11">
        <v>1</v>
      </c>
    </row>
    <row r="271" spans="1:502" x14ac:dyDescent="0.2">
      <c r="A271" s="10">
        <v>2.876384684301261E-2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>
        <v>1</v>
      </c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  <c r="OM271" s="11"/>
      <c r="ON271" s="11"/>
      <c r="OO271" s="11"/>
      <c r="OP271" s="11"/>
      <c r="OQ271" s="11"/>
      <c r="OR271" s="11"/>
      <c r="OS271" s="11"/>
      <c r="OT271" s="11"/>
      <c r="OU271" s="11"/>
      <c r="OV271" s="11"/>
      <c r="OW271" s="11"/>
      <c r="OX271" s="11"/>
      <c r="OY271" s="11"/>
      <c r="OZ271" s="11"/>
      <c r="PA271" s="11"/>
      <c r="PB271" s="11"/>
      <c r="PC271" s="11"/>
      <c r="PD271" s="11"/>
      <c r="PE271" s="11"/>
      <c r="PF271" s="11"/>
      <c r="PG271" s="11"/>
      <c r="PH271" s="11"/>
      <c r="PI271" s="11"/>
      <c r="PJ271" s="11"/>
      <c r="PK271" s="11"/>
      <c r="PL271" s="11"/>
      <c r="PM271" s="11"/>
      <c r="PN271" s="11"/>
      <c r="PO271" s="11"/>
      <c r="PP271" s="11"/>
      <c r="PQ271" s="11"/>
      <c r="PR271" s="11"/>
      <c r="PS271" s="11"/>
      <c r="PT271" s="11"/>
      <c r="PU271" s="11"/>
      <c r="PV271" s="11"/>
      <c r="PW271" s="11"/>
      <c r="PX271" s="11"/>
      <c r="PY271" s="11"/>
      <c r="PZ271" s="11"/>
      <c r="QA271" s="11"/>
      <c r="QB271" s="11"/>
      <c r="QC271" s="11"/>
      <c r="QD271" s="11"/>
      <c r="QE271" s="11"/>
      <c r="QF271" s="11"/>
      <c r="QG271" s="11"/>
      <c r="QH271" s="11"/>
      <c r="QI271" s="11"/>
      <c r="QJ271" s="11"/>
      <c r="QK271" s="11"/>
      <c r="QL271" s="11"/>
      <c r="QM271" s="11"/>
      <c r="QN271" s="11"/>
      <c r="QO271" s="11"/>
      <c r="QP271" s="11"/>
      <c r="QQ271" s="11"/>
      <c r="QR271" s="11"/>
      <c r="QS271" s="11"/>
      <c r="QT271" s="11"/>
      <c r="QU271" s="11"/>
      <c r="QV271" s="11"/>
      <c r="QW271" s="11"/>
      <c r="QX271" s="11"/>
      <c r="QY271" s="11"/>
      <c r="QZ271" s="11"/>
      <c r="RA271" s="11"/>
      <c r="RB271" s="11"/>
      <c r="RC271" s="11"/>
      <c r="RD271" s="11"/>
      <c r="RE271" s="11"/>
      <c r="RF271" s="11"/>
      <c r="RG271" s="11"/>
      <c r="RH271" s="11"/>
      <c r="RI271" s="11"/>
      <c r="RJ271" s="11"/>
      <c r="RK271" s="11"/>
      <c r="RL271" s="11"/>
      <c r="RM271" s="11"/>
      <c r="RN271" s="11"/>
      <c r="RO271" s="11"/>
      <c r="RP271" s="11"/>
      <c r="RQ271" s="11"/>
      <c r="RR271" s="11"/>
      <c r="RS271" s="11"/>
      <c r="RT271" s="11"/>
      <c r="RU271" s="11"/>
      <c r="RV271" s="11"/>
      <c r="RW271" s="11"/>
      <c r="RX271" s="11"/>
      <c r="RY271" s="11"/>
      <c r="RZ271" s="11"/>
      <c r="SA271" s="11"/>
      <c r="SB271" s="11"/>
      <c r="SC271" s="11"/>
      <c r="SD271" s="11"/>
      <c r="SE271" s="11"/>
      <c r="SF271" s="11"/>
      <c r="SG271" s="11"/>
      <c r="SH271" s="11">
        <v>1</v>
      </c>
    </row>
    <row r="272" spans="1:502" x14ac:dyDescent="0.2">
      <c r="A272" s="10">
        <v>2.8880516149761167E-2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>
        <v>1</v>
      </c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  <c r="OM272" s="11"/>
      <c r="ON272" s="11"/>
      <c r="OO272" s="11"/>
      <c r="OP272" s="11"/>
      <c r="OQ272" s="11"/>
      <c r="OR272" s="11"/>
      <c r="OS272" s="11"/>
      <c r="OT272" s="11"/>
      <c r="OU272" s="11"/>
      <c r="OV272" s="11"/>
      <c r="OW272" s="11"/>
      <c r="OX272" s="11"/>
      <c r="OY272" s="11"/>
      <c r="OZ272" s="11"/>
      <c r="PA272" s="11"/>
      <c r="PB272" s="11"/>
      <c r="PC272" s="11"/>
      <c r="PD272" s="11"/>
      <c r="PE272" s="11"/>
      <c r="PF272" s="11"/>
      <c r="PG272" s="11"/>
      <c r="PH272" s="11"/>
      <c r="PI272" s="11"/>
      <c r="PJ272" s="11"/>
      <c r="PK272" s="11"/>
      <c r="PL272" s="11"/>
      <c r="PM272" s="11"/>
      <c r="PN272" s="11"/>
      <c r="PO272" s="11"/>
      <c r="PP272" s="11"/>
      <c r="PQ272" s="11"/>
      <c r="PR272" s="11"/>
      <c r="PS272" s="11"/>
      <c r="PT272" s="11"/>
      <c r="PU272" s="11"/>
      <c r="PV272" s="11"/>
      <c r="PW272" s="11"/>
      <c r="PX272" s="11"/>
      <c r="PY272" s="11"/>
      <c r="PZ272" s="11"/>
      <c r="QA272" s="11"/>
      <c r="QB272" s="11"/>
      <c r="QC272" s="11"/>
      <c r="QD272" s="11"/>
      <c r="QE272" s="11"/>
      <c r="QF272" s="11"/>
      <c r="QG272" s="11"/>
      <c r="QH272" s="11"/>
      <c r="QI272" s="11"/>
      <c r="QJ272" s="11"/>
      <c r="QK272" s="11"/>
      <c r="QL272" s="11"/>
      <c r="QM272" s="11"/>
      <c r="QN272" s="11"/>
      <c r="QO272" s="11"/>
      <c r="QP272" s="11"/>
      <c r="QQ272" s="11"/>
      <c r="QR272" s="11"/>
      <c r="QS272" s="11"/>
      <c r="QT272" s="11"/>
      <c r="QU272" s="11"/>
      <c r="QV272" s="11"/>
      <c r="QW272" s="11"/>
      <c r="QX272" s="11"/>
      <c r="QY272" s="11"/>
      <c r="QZ272" s="11"/>
      <c r="RA272" s="11"/>
      <c r="RB272" s="11"/>
      <c r="RC272" s="11"/>
      <c r="RD272" s="11"/>
      <c r="RE272" s="11"/>
      <c r="RF272" s="11"/>
      <c r="RG272" s="11"/>
      <c r="RH272" s="11"/>
      <c r="RI272" s="11"/>
      <c r="RJ272" s="11"/>
      <c r="RK272" s="11"/>
      <c r="RL272" s="11"/>
      <c r="RM272" s="11"/>
      <c r="RN272" s="11"/>
      <c r="RO272" s="11"/>
      <c r="RP272" s="11"/>
      <c r="RQ272" s="11"/>
      <c r="RR272" s="11"/>
      <c r="RS272" s="11"/>
      <c r="RT272" s="11"/>
      <c r="RU272" s="11"/>
      <c r="RV272" s="11"/>
      <c r="RW272" s="11"/>
      <c r="RX272" s="11"/>
      <c r="RY272" s="11"/>
      <c r="RZ272" s="11"/>
      <c r="SA272" s="11"/>
      <c r="SB272" s="11"/>
      <c r="SC272" s="11"/>
      <c r="SD272" s="11"/>
      <c r="SE272" s="11"/>
      <c r="SF272" s="11"/>
      <c r="SG272" s="11"/>
      <c r="SH272" s="11">
        <v>1</v>
      </c>
    </row>
    <row r="273" spans="1:502" x14ac:dyDescent="0.2">
      <c r="A273" s="10">
        <v>2.8901260585913777E-2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>
        <v>1</v>
      </c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  <c r="OM273" s="11"/>
      <c r="ON273" s="11"/>
      <c r="OO273" s="11"/>
      <c r="OP273" s="11"/>
      <c r="OQ273" s="11"/>
      <c r="OR273" s="11"/>
      <c r="OS273" s="11"/>
      <c r="OT273" s="11"/>
      <c r="OU273" s="11"/>
      <c r="OV273" s="11"/>
      <c r="OW273" s="11"/>
      <c r="OX273" s="11"/>
      <c r="OY273" s="11"/>
      <c r="OZ273" s="11"/>
      <c r="PA273" s="11"/>
      <c r="PB273" s="11"/>
      <c r="PC273" s="11"/>
      <c r="PD273" s="11"/>
      <c r="PE273" s="11"/>
      <c r="PF273" s="11"/>
      <c r="PG273" s="11"/>
      <c r="PH273" s="11"/>
      <c r="PI273" s="11"/>
      <c r="PJ273" s="11"/>
      <c r="PK273" s="11"/>
      <c r="PL273" s="11"/>
      <c r="PM273" s="11"/>
      <c r="PN273" s="11"/>
      <c r="PO273" s="11"/>
      <c r="PP273" s="11"/>
      <c r="PQ273" s="11"/>
      <c r="PR273" s="11"/>
      <c r="PS273" s="11"/>
      <c r="PT273" s="11"/>
      <c r="PU273" s="11"/>
      <c r="PV273" s="11"/>
      <c r="PW273" s="11"/>
      <c r="PX273" s="11"/>
      <c r="PY273" s="11"/>
      <c r="PZ273" s="11"/>
      <c r="QA273" s="11"/>
      <c r="QB273" s="11"/>
      <c r="QC273" s="11"/>
      <c r="QD273" s="11"/>
      <c r="QE273" s="11"/>
      <c r="QF273" s="11"/>
      <c r="QG273" s="11"/>
      <c r="QH273" s="11"/>
      <c r="QI273" s="11"/>
      <c r="QJ273" s="11"/>
      <c r="QK273" s="11"/>
      <c r="QL273" s="11"/>
      <c r="QM273" s="11"/>
      <c r="QN273" s="11"/>
      <c r="QO273" s="11"/>
      <c r="QP273" s="11"/>
      <c r="QQ273" s="11"/>
      <c r="QR273" s="11"/>
      <c r="QS273" s="11"/>
      <c r="QT273" s="11"/>
      <c r="QU273" s="11"/>
      <c r="QV273" s="11"/>
      <c r="QW273" s="11"/>
      <c r="QX273" s="11"/>
      <c r="QY273" s="11"/>
      <c r="QZ273" s="11"/>
      <c r="RA273" s="11"/>
      <c r="RB273" s="11"/>
      <c r="RC273" s="11"/>
      <c r="RD273" s="11"/>
      <c r="RE273" s="11"/>
      <c r="RF273" s="11"/>
      <c r="RG273" s="11"/>
      <c r="RH273" s="11"/>
      <c r="RI273" s="11"/>
      <c r="RJ273" s="11"/>
      <c r="RK273" s="11"/>
      <c r="RL273" s="11"/>
      <c r="RM273" s="11"/>
      <c r="RN273" s="11"/>
      <c r="RO273" s="11"/>
      <c r="RP273" s="11"/>
      <c r="RQ273" s="11"/>
      <c r="RR273" s="11"/>
      <c r="RS273" s="11"/>
      <c r="RT273" s="11"/>
      <c r="RU273" s="11"/>
      <c r="RV273" s="11"/>
      <c r="RW273" s="11"/>
      <c r="RX273" s="11"/>
      <c r="RY273" s="11"/>
      <c r="RZ273" s="11"/>
      <c r="SA273" s="11"/>
      <c r="SB273" s="11"/>
      <c r="SC273" s="11"/>
      <c r="SD273" s="11"/>
      <c r="SE273" s="11"/>
      <c r="SF273" s="11"/>
      <c r="SG273" s="11"/>
      <c r="SH273" s="11">
        <v>1</v>
      </c>
    </row>
    <row r="274" spans="1:502" x14ac:dyDescent="0.2">
      <c r="A274" s="10">
        <v>2.8901486019656815E-2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>
        <v>1</v>
      </c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  <c r="OM274" s="11"/>
      <c r="ON274" s="11"/>
      <c r="OO274" s="11"/>
      <c r="OP274" s="11"/>
      <c r="OQ274" s="11"/>
      <c r="OR274" s="11"/>
      <c r="OS274" s="11"/>
      <c r="OT274" s="11"/>
      <c r="OU274" s="11"/>
      <c r="OV274" s="11"/>
      <c r="OW274" s="11"/>
      <c r="OX274" s="11"/>
      <c r="OY274" s="11"/>
      <c r="OZ274" s="11"/>
      <c r="PA274" s="11"/>
      <c r="PB274" s="11"/>
      <c r="PC274" s="11"/>
      <c r="PD274" s="11"/>
      <c r="PE274" s="11"/>
      <c r="PF274" s="11"/>
      <c r="PG274" s="11"/>
      <c r="PH274" s="11"/>
      <c r="PI274" s="11"/>
      <c r="PJ274" s="11"/>
      <c r="PK274" s="11"/>
      <c r="PL274" s="11"/>
      <c r="PM274" s="11"/>
      <c r="PN274" s="11"/>
      <c r="PO274" s="11"/>
      <c r="PP274" s="11"/>
      <c r="PQ274" s="11"/>
      <c r="PR274" s="11"/>
      <c r="PS274" s="11"/>
      <c r="PT274" s="11"/>
      <c r="PU274" s="11"/>
      <c r="PV274" s="11"/>
      <c r="PW274" s="11"/>
      <c r="PX274" s="11"/>
      <c r="PY274" s="11"/>
      <c r="PZ274" s="11"/>
      <c r="QA274" s="11"/>
      <c r="QB274" s="11"/>
      <c r="QC274" s="11"/>
      <c r="QD274" s="11"/>
      <c r="QE274" s="11"/>
      <c r="QF274" s="11"/>
      <c r="QG274" s="11"/>
      <c r="QH274" s="11"/>
      <c r="QI274" s="11"/>
      <c r="QJ274" s="11"/>
      <c r="QK274" s="11"/>
      <c r="QL274" s="11"/>
      <c r="QM274" s="11"/>
      <c r="QN274" s="11"/>
      <c r="QO274" s="11"/>
      <c r="QP274" s="11"/>
      <c r="QQ274" s="11"/>
      <c r="QR274" s="11"/>
      <c r="QS274" s="11"/>
      <c r="QT274" s="11"/>
      <c r="QU274" s="11"/>
      <c r="QV274" s="11"/>
      <c r="QW274" s="11"/>
      <c r="QX274" s="11"/>
      <c r="QY274" s="11"/>
      <c r="QZ274" s="11"/>
      <c r="RA274" s="11"/>
      <c r="RB274" s="11"/>
      <c r="RC274" s="11"/>
      <c r="RD274" s="11"/>
      <c r="RE274" s="11"/>
      <c r="RF274" s="11"/>
      <c r="RG274" s="11"/>
      <c r="RH274" s="11"/>
      <c r="RI274" s="11"/>
      <c r="RJ274" s="11"/>
      <c r="RK274" s="11"/>
      <c r="RL274" s="11"/>
      <c r="RM274" s="11"/>
      <c r="RN274" s="11"/>
      <c r="RO274" s="11"/>
      <c r="RP274" s="11"/>
      <c r="RQ274" s="11"/>
      <c r="RR274" s="11"/>
      <c r="RS274" s="11"/>
      <c r="RT274" s="11"/>
      <c r="RU274" s="11"/>
      <c r="RV274" s="11"/>
      <c r="RW274" s="11"/>
      <c r="RX274" s="11"/>
      <c r="RY274" s="11"/>
      <c r="RZ274" s="11"/>
      <c r="SA274" s="11"/>
      <c r="SB274" s="11"/>
      <c r="SC274" s="11"/>
      <c r="SD274" s="11"/>
      <c r="SE274" s="11"/>
      <c r="SF274" s="11"/>
      <c r="SG274" s="11"/>
      <c r="SH274" s="11">
        <v>1</v>
      </c>
    </row>
    <row r="275" spans="1:502" x14ac:dyDescent="0.2">
      <c r="A275" s="10">
        <v>2.8990598875537763E-2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>
        <v>1</v>
      </c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  <c r="OM275" s="11"/>
      <c r="ON275" s="11"/>
      <c r="OO275" s="11"/>
      <c r="OP275" s="11"/>
      <c r="OQ275" s="11"/>
      <c r="OR275" s="11"/>
      <c r="OS275" s="11"/>
      <c r="OT275" s="11"/>
      <c r="OU275" s="11"/>
      <c r="OV275" s="11"/>
      <c r="OW275" s="11"/>
      <c r="OX275" s="11"/>
      <c r="OY275" s="11"/>
      <c r="OZ275" s="11"/>
      <c r="PA275" s="11"/>
      <c r="PB275" s="11"/>
      <c r="PC275" s="11"/>
      <c r="PD275" s="11"/>
      <c r="PE275" s="11"/>
      <c r="PF275" s="11"/>
      <c r="PG275" s="11"/>
      <c r="PH275" s="11"/>
      <c r="PI275" s="11"/>
      <c r="PJ275" s="11"/>
      <c r="PK275" s="11"/>
      <c r="PL275" s="11"/>
      <c r="PM275" s="11"/>
      <c r="PN275" s="11"/>
      <c r="PO275" s="11"/>
      <c r="PP275" s="11"/>
      <c r="PQ275" s="11"/>
      <c r="PR275" s="11"/>
      <c r="PS275" s="11"/>
      <c r="PT275" s="11"/>
      <c r="PU275" s="11"/>
      <c r="PV275" s="11"/>
      <c r="PW275" s="11"/>
      <c r="PX275" s="11"/>
      <c r="PY275" s="11"/>
      <c r="PZ275" s="11"/>
      <c r="QA275" s="11"/>
      <c r="QB275" s="11"/>
      <c r="QC275" s="11"/>
      <c r="QD275" s="11"/>
      <c r="QE275" s="11"/>
      <c r="QF275" s="11"/>
      <c r="QG275" s="11"/>
      <c r="QH275" s="11"/>
      <c r="QI275" s="11"/>
      <c r="QJ275" s="11"/>
      <c r="QK275" s="11"/>
      <c r="QL275" s="11"/>
      <c r="QM275" s="11"/>
      <c r="QN275" s="11"/>
      <c r="QO275" s="11"/>
      <c r="QP275" s="11"/>
      <c r="QQ275" s="11"/>
      <c r="QR275" s="11"/>
      <c r="QS275" s="11"/>
      <c r="QT275" s="11"/>
      <c r="QU275" s="11"/>
      <c r="QV275" s="11"/>
      <c r="QW275" s="11"/>
      <c r="QX275" s="11"/>
      <c r="QY275" s="11"/>
      <c r="QZ275" s="11"/>
      <c r="RA275" s="11"/>
      <c r="RB275" s="11"/>
      <c r="RC275" s="11"/>
      <c r="RD275" s="11"/>
      <c r="RE275" s="11"/>
      <c r="RF275" s="11"/>
      <c r="RG275" s="11"/>
      <c r="RH275" s="11"/>
      <c r="RI275" s="11"/>
      <c r="RJ275" s="11"/>
      <c r="RK275" s="11"/>
      <c r="RL275" s="11"/>
      <c r="RM275" s="11"/>
      <c r="RN275" s="11"/>
      <c r="RO275" s="11"/>
      <c r="RP275" s="11"/>
      <c r="RQ275" s="11"/>
      <c r="RR275" s="11"/>
      <c r="RS275" s="11"/>
      <c r="RT275" s="11"/>
      <c r="RU275" s="11"/>
      <c r="RV275" s="11"/>
      <c r="RW275" s="11"/>
      <c r="RX275" s="11"/>
      <c r="RY275" s="11"/>
      <c r="RZ275" s="11"/>
      <c r="SA275" s="11"/>
      <c r="SB275" s="11"/>
      <c r="SC275" s="11"/>
      <c r="SD275" s="11"/>
      <c r="SE275" s="11"/>
      <c r="SF275" s="11"/>
      <c r="SG275" s="11"/>
      <c r="SH275" s="11">
        <v>1</v>
      </c>
    </row>
    <row r="276" spans="1:502" x14ac:dyDescent="0.2">
      <c r="A276" s="10">
        <v>2.9041337863471049E-2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>
        <v>1</v>
      </c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  <c r="OM276" s="11"/>
      <c r="ON276" s="11"/>
      <c r="OO276" s="11"/>
      <c r="OP276" s="11"/>
      <c r="OQ276" s="11"/>
      <c r="OR276" s="11"/>
      <c r="OS276" s="11"/>
      <c r="OT276" s="11"/>
      <c r="OU276" s="11"/>
      <c r="OV276" s="11"/>
      <c r="OW276" s="11"/>
      <c r="OX276" s="11"/>
      <c r="OY276" s="11"/>
      <c r="OZ276" s="11"/>
      <c r="PA276" s="11"/>
      <c r="PB276" s="11"/>
      <c r="PC276" s="11"/>
      <c r="PD276" s="11"/>
      <c r="PE276" s="11"/>
      <c r="PF276" s="11"/>
      <c r="PG276" s="11"/>
      <c r="PH276" s="11"/>
      <c r="PI276" s="11"/>
      <c r="PJ276" s="11"/>
      <c r="PK276" s="11"/>
      <c r="PL276" s="11"/>
      <c r="PM276" s="11"/>
      <c r="PN276" s="11"/>
      <c r="PO276" s="11"/>
      <c r="PP276" s="11"/>
      <c r="PQ276" s="11"/>
      <c r="PR276" s="11"/>
      <c r="PS276" s="11"/>
      <c r="PT276" s="11"/>
      <c r="PU276" s="11"/>
      <c r="PV276" s="11"/>
      <c r="PW276" s="11"/>
      <c r="PX276" s="11"/>
      <c r="PY276" s="11"/>
      <c r="PZ276" s="11"/>
      <c r="QA276" s="11"/>
      <c r="QB276" s="11"/>
      <c r="QC276" s="11"/>
      <c r="QD276" s="11"/>
      <c r="QE276" s="11"/>
      <c r="QF276" s="11"/>
      <c r="QG276" s="11"/>
      <c r="QH276" s="11"/>
      <c r="QI276" s="11"/>
      <c r="QJ276" s="11"/>
      <c r="QK276" s="11"/>
      <c r="QL276" s="11"/>
      <c r="QM276" s="11"/>
      <c r="QN276" s="11"/>
      <c r="QO276" s="11"/>
      <c r="QP276" s="11"/>
      <c r="QQ276" s="11"/>
      <c r="QR276" s="11"/>
      <c r="QS276" s="11"/>
      <c r="QT276" s="11"/>
      <c r="QU276" s="11"/>
      <c r="QV276" s="11"/>
      <c r="QW276" s="11"/>
      <c r="QX276" s="11"/>
      <c r="QY276" s="11"/>
      <c r="QZ276" s="11"/>
      <c r="RA276" s="11"/>
      <c r="RB276" s="11"/>
      <c r="RC276" s="11"/>
      <c r="RD276" s="11"/>
      <c r="RE276" s="11"/>
      <c r="RF276" s="11"/>
      <c r="RG276" s="11"/>
      <c r="RH276" s="11"/>
      <c r="RI276" s="11"/>
      <c r="RJ276" s="11"/>
      <c r="RK276" s="11"/>
      <c r="RL276" s="11"/>
      <c r="RM276" s="11"/>
      <c r="RN276" s="11"/>
      <c r="RO276" s="11"/>
      <c r="RP276" s="11"/>
      <c r="RQ276" s="11"/>
      <c r="RR276" s="11"/>
      <c r="RS276" s="11"/>
      <c r="RT276" s="11"/>
      <c r="RU276" s="11"/>
      <c r="RV276" s="11"/>
      <c r="RW276" s="11"/>
      <c r="RX276" s="11"/>
      <c r="RY276" s="11"/>
      <c r="RZ276" s="11"/>
      <c r="SA276" s="11"/>
      <c r="SB276" s="11"/>
      <c r="SC276" s="11"/>
      <c r="SD276" s="11"/>
      <c r="SE276" s="11"/>
      <c r="SF276" s="11"/>
      <c r="SG276" s="11"/>
      <c r="SH276" s="11">
        <v>1</v>
      </c>
    </row>
    <row r="277" spans="1:502" x14ac:dyDescent="0.2">
      <c r="A277" s="10">
        <v>2.9115719039556821E-2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  <c r="OM277" s="11"/>
      <c r="ON277" s="11"/>
      <c r="OO277" s="11"/>
      <c r="OP277" s="11"/>
      <c r="OQ277" s="11"/>
      <c r="OR277" s="11"/>
      <c r="OS277" s="11"/>
      <c r="OT277" s="11"/>
      <c r="OU277" s="11"/>
      <c r="OV277" s="11"/>
      <c r="OW277" s="11"/>
      <c r="OX277" s="11"/>
      <c r="OY277" s="11"/>
      <c r="OZ277" s="11"/>
      <c r="PA277" s="11"/>
      <c r="PB277" s="11"/>
      <c r="PC277" s="11"/>
      <c r="PD277" s="11"/>
      <c r="PE277" s="11"/>
      <c r="PF277" s="11"/>
      <c r="PG277" s="11"/>
      <c r="PH277" s="11"/>
      <c r="PI277" s="11"/>
      <c r="PJ277" s="11"/>
      <c r="PK277" s="11"/>
      <c r="PL277" s="11"/>
      <c r="PM277" s="11"/>
      <c r="PN277" s="11"/>
      <c r="PO277" s="11"/>
      <c r="PP277" s="11"/>
      <c r="PQ277" s="11"/>
      <c r="PR277" s="11"/>
      <c r="PS277" s="11"/>
      <c r="PT277" s="11"/>
      <c r="PU277" s="11">
        <v>1</v>
      </c>
      <c r="PV277" s="11"/>
      <c r="PW277" s="11"/>
      <c r="PX277" s="11"/>
      <c r="PY277" s="11"/>
      <c r="PZ277" s="11"/>
      <c r="QA277" s="11"/>
      <c r="QB277" s="11"/>
      <c r="QC277" s="11"/>
      <c r="QD277" s="11"/>
      <c r="QE277" s="11"/>
      <c r="QF277" s="11"/>
      <c r="QG277" s="11"/>
      <c r="QH277" s="11"/>
      <c r="QI277" s="11"/>
      <c r="QJ277" s="11"/>
      <c r="QK277" s="11"/>
      <c r="QL277" s="11"/>
      <c r="QM277" s="11"/>
      <c r="QN277" s="11"/>
      <c r="QO277" s="11"/>
      <c r="QP277" s="11"/>
      <c r="QQ277" s="11"/>
      <c r="QR277" s="11"/>
      <c r="QS277" s="11"/>
      <c r="QT277" s="11"/>
      <c r="QU277" s="11"/>
      <c r="QV277" s="11"/>
      <c r="QW277" s="11"/>
      <c r="QX277" s="11"/>
      <c r="QY277" s="11"/>
      <c r="QZ277" s="11"/>
      <c r="RA277" s="11"/>
      <c r="RB277" s="11"/>
      <c r="RC277" s="11"/>
      <c r="RD277" s="11"/>
      <c r="RE277" s="11"/>
      <c r="RF277" s="11"/>
      <c r="RG277" s="11"/>
      <c r="RH277" s="11"/>
      <c r="RI277" s="11"/>
      <c r="RJ277" s="11"/>
      <c r="RK277" s="11"/>
      <c r="RL277" s="11"/>
      <c r="RM277" s="11"/>
      <c r="RN277" s="11"/>
      <c r="RO277" s="11"/>
      <c r="RP277" s="11"/>
      <c r="RQ277" s="11"/>
      <c r="RR277" s="11"/>
      <c r="RS277" s="11"/>
      <c r="RT277" s="11"/>
      <c r="RU277" s="11"/>
      <c r="RV277" s="11"/>
      <c r="RW277" s="11"/>
      <c r="RX277" s="11"/>
      <c r="RY277" s="11"/>
      <c r="RZ277" s="11"/>
      <c r="SA277" s="11"/>
      <c r="SB277" s="11"/>
      <c r="SC277" s="11"/>
      <c r="SD277" s="11"/>
      <c r="SE277" s="11"/>
      <c r="SF277" s="11"/>
      <c r="SG277" s="11"/>
      <c r="SH277" s="11">
        <v>1</v>
      </c>
    </row>
    <row r="278" spans="1:502" x14ac:dyDescent="0.2">
      <c r="A278" s="10">
        <v>2.9187220714218847E-2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>
        <v>1</v>
      </c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  <c r="OM278" s="11"/>
      <c r="ON278" s="11"/>
      <c r="OO278" s="11"/>
      <c r="OP278" s="11"/>
      <c r="OQ278" s="11"/>
      <c r="OR278" s="11"/>
      <c r="OS278" s="11"/>
      <c r="OT278" s="11"/>
      <c r="OU278" s="11"/>
      <c r="OV278" s="11"/>
      <c r="OW278" s="11"/>
      <c r="OX278" s="11"/>
      <c r="OY278" s="11"/>
      <c r="OZ278" s="11"/>
      <c r="PA278" s="11"/>
      <c r="PB278" s="11"/>
      <c r="PC278" s="11"/>
      <c r="PD278" s="11"/>
      <c r="PE278" s="11"/>
      <c r="PF278" s="11"/>
      <c r="PG278" s="11"/>
      <c r="PH278" s="11"/>
      <c r="PI278" s="11"/>
      <c r="PJ278" s="11"/>
      <c r="PK278" s="11"/>
      <c r="PL278" s="11"/>
      <c r="PM278" s="11"/>
      <c r="PN278" s="11"/>
      <c r="PO278" s="11"/>
      <c r="PP278" s="11"/>
      <c r="PQ278" s="11"/>
      <c r="PR278" s="11"/>
      <c r="PS278" s="11"/>
      <c r="PT278" s="11"/>
      <c r="PU278" s="11"/>
      <c r="PV278" s="11"/>
      <c r="PW278" s="11"/>
      <c r="PX278" s="11"/>
      <c r="PY278" s="11"/>
      <c r="PZ278" s="11"/>
      <c r="QA278" s="11"/>
      <c r="QB278" s="11"/>
      <c r="QC278" s="11"/>
      <c r="QD278" s="11"/>
      <c r="QE278" s="11"/>
      <c r="QF278" s="11"/>
      <c r="QG278" s="11"/>
      <c r="QH278" s="11"/>
      <c r="QI278" s="11"/>
      <c r="QJ278" s="11"/>
      <c r="QK278" s="11"/>
      <c r="QL278" s="11"/>
      <c r="QM278" s="11"/>
      <c r="QN278" s="11"/>
      <c r="QO278" s="11"/>
      <c r="QP278" s="11"/>
      <c r="QQ278" s="11"/>
      <c r="QR278" s="11"/>
      <c r="QS278" s="11"/>
      <c r="QT278" s="11"/>
      <c r="QU278" s="11"/>
      <c r="QV278" s="11"/>
      <c r="QW278" s="11"/>
      <c r="QX278" s="11"/>
      <c r="QY278" s="11"/>
      <c r="QZ278" s="11"/>
      <c r="RA278" s="11"/>
      <c r="RB278" s="11"/>
      <c r="RC278" s="11"/>
      <c r="RD278" s="11"/>
      <c r="RE278" s="11"/>
      <c r="RF278" s="11"/>
      <c r="RG278" s="11"/>
      <c r="RH278" s="11"/>
      <c r="RI278" s="11"/>
      <c r="RJ278" s="11"/>
      <c r="RK278" s="11"/>
      <c r="RL278" s="11"/>
      <c r="RM278" s="11"/>
      <c r="RN278" s="11"/>
      <c r="RO278" s="11"/>
      <c r="RP278" s="11"/>
      <c r="RQ278" s="11"/>
      <c r="RR278" s="11"/>
      <c r="RS278" s="11"/>
      <c r="RT278" s="11"/>
      <c r="RU278" s="11"/>
      <c r="RV278" s="11"/>
      <c r="RW278" s="11"/>
      <c r="RX278" s="11"/>
      <c r="RY278" s="11"/>
      <c r="RZ278" s="11"/>
      <c r="SA278" s="11"/>
      <c r="SB278" s="11"/>
      <c r="SC278" s="11"/>
      <c r="SD278" s="11"/>
      <c r="SE278" s="11"/>
      <c r="SF278" s="11"/>
      <c r="SG278" s="11"/>
      <c r="SH278" s="11">
        <v>1</v>
      </c>
    </row>
    <row r="279" spans="1:502" x14ac:dyDescent="0.2">
      <c r="A279" s="10">
        <v>2.9194076231152812E-2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>
        <v>1</v>
      </c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  <c r="OM279" s="11"/>
      <c r="ON279" s="11"/>
      <c r="OO279" s="11"/>
      <c r="OP279" s="11"/>
      <c r="OQ279" s="11"/>
      <c r="OR279" s="11"/>
      <c r="OS279" s="11"/>
      <c r="OT279" s="11"/>
      <c r="OU279" s="11"/>
      <c r="OV279" s="11"/>
      <c r="OW279" s="11"/>
      <c r="OX279" s="11"/>
      <c r="OY279" s="11"/>
      <c r="OZ279" s="11"/>
      <c r="PA279" s="11"/>
      <c r="PB279" s="11"/>
      <c r="PC279" s="11"/>
      <c r="PD279" s="11"/>
      <c r="PE279" s="11"/>
      <c r="PF279" s="11"/>
      <c r="PG279" s="11"/>
      <c r="PH279" s="11"/>
      <c r="PI279" s="11"/>
      <c r="PJ279" s="11"/>
      <c r="PK279" s="11"/>
      <c r="PL279" s="11"/>
      <c r="PM279" s="11"/>
      <c r="PN279" s="11"/>
      <c r="PO279" s="11"/>
      <c r="PP279" s="11"/>
      <c r="PQ279" s="11"/>
      <c r="PR279" s="11"/>
      <c r="PS279" s="11"/>
      <c r="PT279" s="11"/>
      <c r="PU279" s="11"/>
      <c r="PV279" s="11"/>
      <c r="PW279" s="11"/>
      <c r="PX279" s="11"/>
      <c r="PY279" s="11"/>
      <c r="PZ279" s="11"/>
      <c r="QA279" s="11"/>
      <c r="QB279" s="11"/>
      <c r="QC279" s="11"/>
      <c r="QD279" s="11"/>
      <c r="QE279" s="11"/>
      <c r="QF279" s="11"/>
      <c r="QG279" s="11"/>
      <c r="QH279" s="11"/>
      <c r="QI279" s="11"/>
      <c r="QJ279" s="11"/>
      <c r="QK279" s="11"/>
      <c r="QL279" s="11"/>
      <c r="QM279" s="11"/>
      <c r="QN279" s="11"/>
      <c r="QO279" s="11"/>
      <c r="QP279" s="11"/>
      <c r="QQ279" s="11"/>
      <c r="QR279" s="11"/>
      <c r="QS279" s="11"/>
      <c r="QT279" s="11"/>
      <c r="QU279" s="11"/>
      <c r="QV279" s="11"/>
      <c r="QW279" s="11"/>
      <c r="QX279" s="11"/>
      <c r="QY279" s="11"/>
      <c r="QZ279" s="11"/>
      <c r="RA279" s="11"/>
      <c r="RB279" s="11"/>
      <c r="RC279" s="11"/>
      <c r="RD279" s="11"/>
      <c r="RE279" s="11"/>
      <c r="RF279" s="11"/>
      <c r="RG279" s="11"/>
      <c r="RH279" s="11"/>
      <c r="RI279" s="11"/>
      <c r="RJ279" s="11"/>
      <c r="RK279" s="11"/>
      <c r="RL279" s="11"/>
      <c r="RM279" s="11"/>
      <c r="RN279" s="11"/>
      <c r="RO279" s="11"/>
      <c r="RP279" s="11"/>
      <c r="RQ279" s="11"/>
      <c r="RR279" s="11"/>
      <c r="RS279" s="11"/>
      <c r="RT279" s="11"/>
      <c r="RU279" s="11"/>
      <c r="RV279" s="11"/>
      <c r="RW279" s="11"/>
      <c r="RX279" s="11"/>
      <c r="RY279" s="11"/>
      <c r="RZ279" s="11"/>
      <c r="SA279" s="11"/>
      <c r="SB279" s="11"/>
      <c r="SC279" s="11"/>
      <c r="SD279" s="11"/>
      <c r="SE279" s="11"/>
      <c r="SF279" s="11"/>
      <c r="SG279" s="11"/>
      <c r="SH279" s="11">
        <v>1</v>
      </c>
    </row>
    <row r="280" spans="1:502" x14ac:dyDescent="0.2">
      <c r="A280" s="10">
        <v>2.9250653501490979E-2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>
        <v>1</v>
      </c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  <c r="OM280" s="11"/>
      <c r="ON280" s="11"/>
      <c r="OO280" s="11"/>
      <c r="OP280" s="11"/>
      <c r="OQ280" s="11"/>
      <c r="OR280" s="11"/>
      <c r="OS280" s="11"/>
      <c r="OT280" s="11"/>
      <c r="OU280" s="11"/>
      <c r="OV280" s="11"/>
      <c r="OW280" s="11"/>
      <c r="OX280" s="11"/>
      <c r="OY280" s="11"/>
      <c r="OZ280" s="11"/>
      <c r="PA280" s="11"/>
      <c r="PB280" s="11"/>
      <c r="PC280" s="11"/>
      <c r="PD280" s="11"/>
      <c r="PE280" s="11"/>
      <c r="PF280" s="11"/>
      <c r="PG280" s="11"/>
      <c r="PH280" s="11"/>
      <c r="PI280" s="11"/>
      <c r="PJ280" s="11"/>
      <c r="PK280" s="11"/>
      <c r="PL280" s="11"/>
      <c r="PM280" s="11"/>
      <c r="PN280" s="11"/>
      <c r="PO280" s="11"/>
      <c r="PP280" s="11"/>
      <c r="PQ280" s="11"/>
      <c r="PR280" s="11"/>
      <c r="PS280" s="11"/>
      <c r="PT280" s="11"/>
      <c r="PU280" s="11"/>
      <c r="PV280" s="11"/>
      <c r="PW280" s="11"/>
      <c r="PX280" s="11"/>
      <c r="PY280" s="11"/>
      <c r="PZ280" s="11"/>
      <c r="QA280" s="11"/>
      <c r="QB280" s="11"/>
      <c r="QC280" s="11"/>
      <c r="QD280" s="11"/>
      <c r="QE280" s="11"/>
      <c r="QF280" s="11"/>
      <c r="QG280" s="11"/>
      <c r="QH280" s="11"/>
      <c r="QI280" s="11"/>
      <c r="QJ280" s="11"/>
      <c r="QK280" s="11"/>
      <c r="QL280" s="11"/>
      <c r="QM280" s="11"/>
      <c r="QN280" s="11"/>
      <c r="QO280" s="11"/>
      <c r="QP280" s="11"/>
      <c r="QQ280" s="11"/>
      <c r="QR280" s="11"/>
      <c r="QS280" s="11"/>
      <c r="QT280" s="11"/>
      <c r="QU280" s="11"/>
      <c r="QV280" s="11"/>
      <c r="QW280" s="11"/>
      <c r="QX280" s="11"/>
      <c r="QY280" s="11"/>
      <c r="QZ280" s="11"/>
      <c r="RA280" s="11"/>
      <c r="RB280" s="11"/>
      <c r="RC280" s="11"/>
      <c r="RD280" s="11"/>
      <c r="RE280" s="11"/>
      <c r="RF280" s="11"/>
      <c r="RG280" s="11"/>
      <c r="RH280" s="11"/>
      <c r="RI280" s="11"/>
      <c r="RJ280" s="11"/>
      <c r="RK280" s="11"/>
      <c r="RL280" s="11"/>
      <c r="RM280" s="11"/>
      <c r="RN280" s="11"/>
      <c r="RO280" s="11"/>
      <c r="RP280" s="11"/>
      <c r="RQ280" s="11"/>
      <c r="RR280" s="11"/>
      <c r="RS280" s="11"/>
      <c r="RT280" s="11"/>
      <c r="RU280" s="11"/>
      <c r="RV280" s="11"/>
      <c r="RW280" s="11"/>
      <c r="RX280" s="11"/>
      <c r="RY280" s="11"/>
      <c r="RZ280" s="11"/>
      <c r="SA280" s="11"/>
      <c r="SB280" s="11"/>
      <c r="SC280" s="11"/>
      <c r="SD280" s="11"/>
      <c r="SE280" s="11"/>
      <c r="SF280" s="11"/>
      <c r="SG280" s="11"/>
      <c r="SH280" s="11">
        <v>1</v>
      </c>
    </row>
    <row r="281" spans="1:502" x14ac:dyDescent="0.2">
      <c r="A281" s="10">
        <v>2.9257920291109914E-2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>
        <v>1</v>
      </c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  <c r="OM281" s="11"/>
      <c r="ON281" s="11"/>
      <c r="OO281" s="11"/>
      <c r="OP281" s="11"/>
      <c r="OQ281" s="11"/>
      <c r="OR281" s="11"/>
      <c r="OS281" s="11"/>
      <c r="OT281" s="11"/>
      <c r="OU281" s="11"/>
      <c r="OV281" s="11"/>
      <c r="OW281" s="11"/>
      <c r="OX281" s="11"/>
      <c r="OY281" s="11"/>
      <c r="OZ281" s="11"/>
      <c r="PA281" s="11"/>
      <c r="PB281" s="11"/>
      <c r="PC281" s="11"/>
      <c r="PD281" s="11"/>
      <c r="PE281" s="11"/>
      <c r="PF281" s="11"/>
      <c r="PG281" s="11"/>
      <c r="PH281" s="11"/>
      <c r="PI281" s="11"/>
      <c r="PJ281" s="11"/>
      <c r="PK281" s="11"/>
      <c r="PL281" s="11"/>
      <c r="PM281" s="11"/>
      <c r="PN281" s="11"/>
      <c r="PO281" s="11"/>
      <c r="PP281" s="11"/>
      <c r="PQ281" s="11"/>
      <c r="PR281" s="11"/>
      <c r="PS281" s="11"/>
      <c r="PT281" s="11"/>
      <c r="PU281" s="11"/>
      <c r="PV281" s="11"/>
      <c r="PW281" s="11"/>
      <c r="PX281" s="11"/>
      <c r="PY281" s="11"/>
      <c r="PZ281" s="11"/>
      <c r="QA281" s="11"/>
      <c r="QB281" s="11"/>
      <c r="QC281" s="11"/>
      <c r="QD281" s="11"/>
      <c r="QE281" s="11"/>
      <c r="QF281" s="11"/>
      <c r="QG281" s="11"/>
      <c r="QH281" s="11"/>
      <c r="QI281" s="11"/>
      <c r="QJ281" s="11"/>
      <c r="QK281" s="11"/>
      <c r="QL281" s="11"/>
      <c r="QM281" s="11"/>
      <c r="QN281" s="11"/>
      <c r="QO281" s="11"/>
      <c r="QP281" s="11"/>
      <c r="QQ281" s="11"/>
      <c r="QR281" s="11"/>
      <c r="QS281" s="11"/>
      <c r="QT281" s="11"/>
      <c r="QU281" s="11"/>
      <c r="QV281" s="11"/>
      <c r="QW281" s="11"/>
      <c r="QX281" s="11"/>
      <c r="QY281" s="11"/>
      <c r="QZ281" s="11"/>
      <c r="RA281" s="11"/>
      <c r="RB281" s="11"/>
      <c r="RC281" s="11"/>
      <c r="RD281" s="11"/>
      <c r="RE281" s="11"/>
      <c r="RF281" s="11"/>
      <c r="RG281" s="11"/>
      <c r="RH281" s="11"/>
      <c r="RI281" s="11"/>
      <c r="RJ281" s="11"/>
      <c r="RK281" s="11"/>
      <c r="RL281" s="11"/>
      <c r="RM281" s="11"/>
      <c r="RN281" s="11"/>
      <c r="RO281" s="11"/>
      <c r="RP281" s="11"/>
      <c r="RQ281" s="11"/>
      <c r="RR281" s="11"/>
      <c r="RS281" s="11"/>
      <c r="RT281" s="11"/>
      <c r="RU281" s="11"/>
      <c r="RV281" s="11"/>
      <c r="RW281" s="11"/>
      <c r="RX281" s="11"/>
      <c r="RY281" s="11"/>
      <c r="RZ281" s="11"/>
      <c r="SA281" s="11"/>
      <c r="SB281" s="11"/>
      <c r="SC281" s="11"/>
      <c r="SD281" s="11"/>
      <c r="SE281" s="11"/>
      <c r="SF281" s="11"/>
      <c r="SG281" s="11"/>
      <c r="SH281" s="11">
        <v>1</v>
      </c>
    </row>
    <row r="282" spans="1:502" x14ac:dyDescent="0.2">
      <c r="A282" s="10">
        <v>2.9269330303388075E-2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  <c r="OM282" s="11"/>
      <c r="ON282" s="11"/>
      <c r="OO282" s="11"/>
      <c r="OP282" s="11"/>
      <c r="OQ282" s="11"/>
      <c r="OR282" s="11"/>
      <c r="OS282" s="11"/>
      <c r="OT282" s="11"/>
      <c r="OU282" s="11"/>
      <c r="OV282" s="11"/>
      <c r="OW282" s="11"/>
      <c r="OX282" s="11"/>
      <c r="OY282" s="11"/>
      <c r="OZ282" s="11"/>
      <c r="PA282" s="11"/>
      <c r="PB282" s="11"/>
      <c r="PC282" s="11"/>
      <c r="PD282" s="11"/>
      <c r="PE282" s="11"/>
      <c r="PF282" s="11"/>
      <c r="PG282" s="11"/>
      <c r="PH282" s="11"/>
      <c r="PI282" s="11"/>
      <c r="PJ282" s="11"/>
      <c r="PK282" s="11"/>
      <c r="PL282" s="11"/>
      <c r="PM282" s="11"/>
      <c r="PN282" s="11"/>
      <c r="PO282" s="11"/>
      <c r="PP282" s="11"/>
      <c r="PQ282" s="11"/>
      <c r="PR282" s="11"/>
      <c r="PS282" s="11"/>
      <c r="PT282" s="11"/>
      <c r="PU282" s="11"/>
      <c r="PV282" s="11"/>
      <c r="PW282" s="11"/>
      <c r="PX282" s="11"/>
      <c r="PY282" s="11"/>
      <c r="PZ282" s="11"/>
      <c r="QA282" s="11"/>
      <c r="QB282" s="11"/>
      <c r="QC282" s="11"/>
      <c r="QD282" s="11"/>
      <c r="QE282" s="11"/>
      <c r="QF282" s="11"/>
      <c r="QG282" s="11"/>
      <c r="QH282" s="11"/>
      <c r="QI282" s="11"/>
      <c r="QJ282" s="11"/>
      <c r="QK282" s="11"/>
      <c r="QL282" s="11"/>
      <c r="QM282" s="11"/>
      <c r="QN282" s="11"/>
      <c r="QO282" s="11"/>
      <c r="QP282" s="11"/>
      <c r="QQ282" s="11"/>
      <c r="QR282" s="11"/>
      <c r="QS282" s="11"/>
      <c r="QT282" s="11"/>
      <c r="QU282" s="11"/>
      <c r="QV282" s="11"/>
      <c r="QW282" s="11"/>
      <c r="QX282" s="11"/>
      <c r="QY282" s="11"/>
      <c r="QZ282" s="11"/>
      <c r="RA282" s="11"/>
      <c r="RB282" s="11"/>
      <c r="RC282" s="11"/>
      <c r="RD282" s="11"/>
      <c r="RE282" s="11"/>
      <c r="RF282" s="11"/>
      <c r="RG282" s="11"/>
      <c r="RH282" s="11"/>
      <c r="RI282" s="11"/>
      <c r="RJ282" s="11"/>
      <c r="RK282" s="11"/>
      <c r="RL282" s="11"/>
      <c r="RM282" s="11"/>
      <c r="RN282" s="11"/>
      <c r="RO282" s="11"/>
      <c r="RP282" s="11"/>
      <c r="RQ282" s="11"/>
      <c r="RR282" s="11"/>
      <c r="RS282" s="11"/>
      <c r="RT282" s="11"/>
      <c r="RU282" s="11"/>
      <c r="RV282" s="11"/>
      <c r="RW282" s="11"/>
      <c r="RX282" s="11">
        <v>1</v>
      </c>
      <c r="RY282" s="11"/>
      <c r="RZ282" s="11"/>
      <c r="SA282" s="11"/>
      <c r="SB282" s="11"/>
      <c r="SC282" s="11"/>
      <c r="SD282" s="11"/>
      <c r="SE282" s="11"/>
      <c r="SF282" s="11"/>
      <c r="SG282" s="11"/>
      <c r="SH282" s="11">
        <v>1</v>
      </c>
    </row>
    <row r="283" spans="1:502" x14ac:dyDescent="0.2">
      <c r="A283" s="10">
        <v>2.9301287282459711E-2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>
        <v>1</v>
      </c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  <c r="OM283" s="11"/>
      <c r="ON283" s="11"/>
      <c r="OO283" s="11"/>
      <c r="OP283" s="11"/>
      <c r="OQ283" s="11"/>
      <c r="OR283" s="11"/>
      <c r="OS283" s="11"/>
      <c r="OT283" s="11"/>
      <c r="OU283" s="11"/>
      <c r="OV283" s="11"/>
      <c r="OW283" s="11"/>
      <c r="OX283" s="11"/>
      <c r="OY283" s="11"/>
      <c r="OZ283" s="11"/>
      <c r="PA283" s="11"/>
      <c r="PB283" s="11"/>
      <c r="PC283" s="11"/>
      <c r="PD283" s="11"/>
      <c r="PE283" s="11"/>
      <c r="PF283" s="11"/>
      <c r="PG283" s="11"/>
      <c r="PH283" s="11"/>
      <c r="PI283" s="11"/>
      <c r="PJ283" s="11"/>
      <c r="PK283" s="11"/>
      <c r="PL283" s="11"/>
      <c r="PM283" s="11"/>
      <c r="PN283" s="11"/>
      <c r="PO283" s="11"/>
      <c r="PP283" s="11"/>
      <c r="PQ283" s="11"/>
      <c r="PR283" s="11"/>
      <c r="PS283" s="11"/>
      <c r="PT283" s="11"/>
      <c r="PU283" s="11"/>
      <c r="PV283" s="11"/>
      <c r="PW283" s="11"/>
      <c r="PX283" s="11"/>
      <c r="PY283" s="11"/>
      <c r="PZ283" s="11"/>
      <c r="QA283" s="11"/>
      <c r="QB283" s="11"/>
      <c r="QC283" s="11"/>
      <c r="QD283" s="11"/>
      <c r="QE283" s="11"/>
      <c r="QF283" s="11"/>
      <c r="QG283" s="11"/>
      <c r="QH283" s="11"/>
      <c r="QI283" s="11"/>
      <c r="QJ283" s="11"/>
      <c r="QK283" s="11"/>
      <c r="QL283" s="11"/>
      <c r="QM283" s="11"/>
      <c r="QN283" s="11"/>
      <c r="QO283" s="11"/>
      <c r="QP283" s="11"/>
      <c r="QQ283" s="11"/>
      <c r="QR283" s="11"/>
      <c r="QS283" s="11"/>
      <c r="QT283" s="11"/>
      <c r="QU283" s="11"/>
      <c r="QV283" s="11"/>
      <c r="QW283" s="11"/>
      <c r="QX283" s="11"/>
      <c r="QY283" s="11"/>
      <c r="QZ283" s="11"/>
      <c r="RA283" s="11"/>
      <c r="RB283" s="11"/>
      <c r="RC283" s="11"/>
      <c r="RD283" s="11"/>
      <c r="RE283" s="11"/>
      <c r="RF283" s="11"/>
      <c r="RG283" s="11"/>
      <c r="RH283" s="11"/>
      <c r="RI283" s="11"/>
      <c r="RJ283" s="11"/>
      <c r="RK283" s="11"/>
      <c r="RL283" s="11"/>
      <c r="RM283" s="11"/>
      <c r="RN283" s="11"/>
      <c r="RO283" s="11"/>
      <c r="RP283" s="11"/>
      <c r="RQ283" s="11"/>
      <c r="RR283" s="11"/>
      <c r="RS283" s="11"/>
      <c r="RT283" s="11"/>
      <c r="RU283" s="11"/>
      <c r="RV283" s="11"/>
      <c r="RW283" s="11"/>
      <c r="RX283" s="11"/>
      <c r="RY283" s="11"/>
      <c r="RZ283" s="11"/>
      <c r="SA283" s="11"/>
      <c r="SB283" s="11"/>
      <c r="SC283" s="11"/>
      <c r="SD283" s="11"/>
      <c r="SE283" s="11"/>
      <c r="SF283" s="11"/>
      <c r="SG283" s="11"/>
      <c r="SH283" s="11">
        <v>1</v>
      </c>
    </row>
    <row r="284" spans="1:502" x14ac:dyDescent="0.2">
      <c r="A284" s="10">
        <v>2.9350718861444934E-2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>
        <v>1</v>
      </c>
      <c r="OI284" s="11"/>
      <c r="OJ284" s="11"/>
      <c r="OK284" s="11"/>
      <c r="OL284" s="11"/>
      <c r="OM284" s="11"/>
      <c r="ON284" s="11"/>
      <c r="OO284" s="11"/>
      <c r="OP284" s="11"/>
      <c r="OQ284" s="11"/>
      <c r="OR284" s="11"/>
      <c r="OS284" s="11"/>
      <c r="OT284" s="11"/>
      <c r="OU284" s="11"/>
      <c r="OV284" s="11"/>
      <c r="OW284" s="11"/>
      <c r="OX284" s="11"/>
      <c r="OY284" s="11"/>
      <c r="OZ284" s="11"/>
      <c r="PA284" s="11"/>
      <c r="PB284" s="11"/>
      <c r="PC284" s="11"/>
      <c r="PD284" s="11"/>
      <c r="PE284" s="11"/>
      <c r="PF284" s="11"/>
      <c r="PG284" s="11"/>
      <c r="PH284" s="11"/>
      <c r="PI284" s="11"/>
      <c r="PJ284" s="11"/>
      <c r="PK284" s="11"/>
      <c r="PL284" s="11"/>
      <c r="PM284" s="11"/>
      <c r="PN284" s="11"/>
      <c r="PO284" s="11"/>
      <c r="PP284" s="11"/>
      <c r="PQ284" s="11"/>
      <c r="PR284" s="11"/>
      <c r="PS284" s="11"/>
      <c r="PT284" s="11"/>
      <c r="PU284" s="11"/>
      <c r="PV284" s="11"/>
      <c r="PW284" s="11"/>
      <c r="PX284" s="11"/>
      <c r="PY284" s="11"/>
      <c r="PZ284" s="11"/>
      <c r="QA284" s="11"/>
      <c r="QB284" s="11"/>
      <c r="QC284" s="11"/>
      <c r="QD284" s="11"/>
      <c r="QE284" s="11"/>
      <c r="QF284" s="11"/>
      <c r="QG284" s="11"/>
      <c r="QH284" s="11"/>
      <c r="QI284" s="11"/>
      <c r="QJ284" s="11"/>
      <c r="QK284" s="11"/>
      <c r="QL284" s="11"/>
      <c r="QM284" s="11"/>
      <c r="QN284" s="11"/>
      <c r="QO284" s="11"/>
      <c r="QP284" s="11"/>
      <c r="QQ284" s="11"/>
      <c r="QR284" s="11"/>
      <c r="QS284" s="11"/>
      <c r="QT284" s="11"/>
      <c r="QU284" s="11"/>
      <c r="QV284" s="11"/>
      <c r="QW284" s="11"/>
      <c r="QX284" s="11"/>
      <c r="QY284" s="11"/>
      <c r="QZ284" s="11"/>
      <c r="RA284" s="11"/>
      <c r="RB284" s="11"/>
      <c r="RC284" s="11"/>
      <c r="RD284" s="11"/>
      <c r="RE284" s="11"/>
      <c r="RF284" s="11"/>
      <c r="RG284" s="11"/>
      <c r="RH284" s="11"/>
      <c r="RI284" s="11"/>
      <c r="RJ284" s="11"/>
      <c r="RK284" s="11"/>
      <c r="RL284" s="11"/>
      <c r="RM284" s="11"/>
      <c r="RN284" s="11"/>
      <c r="RO284" s="11"/>
      <c r="RP284" s="11"/>
      <c r="RQ284" s="11"/>
      <c r="RR284" s="11"/>
      <c r="RS284" s="11"/>
      <c r="RT284" s="11"/>
      <c r="RU284" s="11"/>
      <c r="RV284" s="11"/>
      <c r="RW284" s="11"/>
      <c r="RX284" s="11"/>
      <c r="RY284" s="11"/>
      <c r="RZ284" s="11"/>
      <c r="SA284" s="11"/>
      <c r="SB284" s="11"/>
      <c r="SC284" s="11"/>
      <c r="SD284" s="11"/>
      <c r="SE284" s="11"/>
      <c r="SF284" s="11"/>
      <c r="SG284" s="11"/>
      <c r="SH284" s="11">
        <v>1</v>
      </c>
    </row>
    <row r="285" spans="1:502" x14ac:dyDescent="0.2">
      <c r="A285" s="10">
        <v>2.9400857889920102E-2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>
        <v>1</v>
      </c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  <c r="OM285" s="11"/>
      <c r="ON285" s="11"/>
      <c r="OO285" s="11"/>
      <c r="OP285" s="11"/>
      <c r="OQ285" s="11"/>
      <c r="OR285" s="11"/>
      <c r="OS285" s="11"/>
      <c r="OT285" s="11"/>
      <c r="OU285" s="11"/>
      <c r="OV285" s="11"/>
      <c r="OW285" s="11"/>
      <c r="OX285" s="11"/>
      <c r="OY285" s="11"/>
      <c r="OZ285" s="11"/>
      <c r="PA285" s="11"/>
      <c r="PB285" s="11"/>
      <c r="PC285" s="11"/>
      <c r="PD285" s="11"/>
      <c r="PE285" s="11"/>
      <c r="PF285" s="11"/>
      <c r="PG285" s="11"/>
      <c r="PH285" s="11"/>
      <c r="PI285" s="11"/>
      <c r="PJ285" s="11"/>
      <c r="PK285" s="11"/>
      <c r="PL285" s="11"/>
      <c r="PM285" s="11"/>
      <c r="PN285" s="11"/>
      <c r="PO285" s="11"/>
      <c r="PP285" s="11"/>
      <c r="PQ285" s="11"/>
      <c r="PR285" s="11"/>
      <c r="PS285" s="11"/>
      <c r="PT285" s="11"/>
      <c r="PU285" s="11"/>
      <c r="PV285" s="11"/>
      <c r="PW285" s="11"/>
      <c r="PX285" s="11"/>
      <c r="PY285" s="11"/>
      <c r="PZ285" s="11"/>
      <c r="QA285" s="11"/>
      <c r="QB285" s="11"/>
      <c r="QC285" s="11"/>
      <c r="QD285" s="11"/>
      <c r="QE285" s="11"/>
      <c r="QF285" s="11"/>
      <c r="QG285" s="11"/>
      <c r="QH285" s="11"/>
      <c r="QI285" s="11"/>
      <c r="QJ285" s="11"/>
      <c r="QK285" s="11"/>
      <c r="QL285" s="11"/>
      <c r="QM285" s="11"/>
      <c r="QN285" s="11"/>
      <c r="QO285" s="11"/>
      <c r="QP285" s="11"/>
      <c r="QQ285" s="11"/>
      <c r="QR285" s="11"/>
      <c r="QS285" s="11"/>
      <c r="QT285" s="11"/>
      <c r="QU285" s="11"/>
      <c r="QV285" s="11"/>
      <c r="QW285" s="11"/>
      <c r="QX285" s="11"/>
      <c r="QY285" s="11"/>
      <c r="QZ285" s="11"/>
      <c r="RA285" s="11"/>
      <c r="RB285" s="11"/>
      <c r="RC285" s="11"/>
      <c r="RD285" s="11"/>
      <c r="RE285" s="11"/>
      <c r="RF285" s="11"/>
      <c r="RG285" s="11"/>
      <c r="RH285" s="11"/>
      <c r="RI285" s="11"/>
      <c r="RJ285" s="11"/>
      <c r="RK285" s="11"/>
      <c r="RL285" s="11"/>
      <c r="RM285" s="11"/>
      <c r="RN285" s="11"/>
      <c r="RO285" s="11"/>
      <c r="RP285" s="11"/>
      <c r="RQ285" s="11"/>
      <c r="RR285" s="11"/>
      <c r="RS285" s="11"/>
      <c r="RT285" s="11"/>
      <c r="RU285" s="11"/>
      <c r="RV285" s="11"/>
      <c r="RW285" s="11"/>
      <c r="RX285" s="11"/>
      <c r="RY285" s="11"/>
      <c r="RZ285" s="11"/>
      <c r="SA285" s="11"/>
      <c r="SB285" s="11"/>
      <c r="SC285" s="11"/>
      <c r="SD285" s="11"/>
      <c r="SE285" s="11"/>
      <c r="SF285" s="11"/>
      <c r="SG285" s="11"/>
      <c r="SH285" s="11">
        <v>1</v>
      </c>
    </row>
    <row r="286" spans="1:502" x14ac:dyDescent="0.2">
      <c r="A286" s="10">
        <v>2.9967890310973286E-2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>
        <v>1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  <c r="OM286" s="11"/>
      <c r="ON286" s="11"/>
      <c r="OO286" s="11"/>
      <c r="OP286" s="11"/>
      <c r="OQ286" s="11"/>
      <c r="OR286" s="11"/>
      <c r="OS286" s="11"/>
      <c r="OT286" s="11"/>
      <c r="OU286" s="11"/>
      <c r="OV286" s="11"/>
      <c r="OW286" s="11"/>
      <c r="OX286" s="11"/>
      <c r="OY286" s="11"/>
      <c r="OZ286" s="11"/>
      <c r="PA286" s="11"/>
      <c r="PB286" s="11"/>
      <c r="PC286" s="11"/>
      <c r="PD286" s="11"/>
      <c r="PE286" s="11"/>
      <c r="PF286" s="11"/>
      <c r="PG286" s="11"/>
      <c r="PH286" s="11"/>
      <c r="PI286" s="11"/>
      <c r="PJ286" s="11"/>
      <c r="PK286" s="11"/>
      <c r="PL286" s="11"/>
      <c r="PM286" s="11"/>
      <c r="PN286" s="11"/>
      <c r="PO286" s="11"/>
      <c r="PP286" s="11"/>
      <c r="PQ286" s="11"/>
      <c r="PR286" s="11"/>
      <c r="PS286" s="11"/>
      <c r="PT286" s="11"/>
      <c r="PU286" s="11"/>
      <c r="PV286" s="11"/>
      <c r="PW286" s="11"/>
      <c r="PX286" s="11"/>
      <c r="PY286" s="11"/>
      <c r="PZ286" s="11"/>
      <c r="QA286" s="11"/>
      <c r="QB286" s="11"/>
      <c r="QC286" s="11"/>
      <c r="QD286" s="11"/>
      <c r="QE286" s="11"/>
      <c r="QF286" s="11"/>
      <c r="QG286" s="11"/>
      <c r="QH286" s="11"/>
      <c r="QI286" s="11"/>
      <c r="QJ286" s="11"/>
      <c r="QK286" s="11"/>
      <c r="QL286" s="11"/>
      <c r="QM286" s="11"/>
      <c r="QN286" s="11"/>
      <c r="QO286" s="11"/>
      <c r="QP286" s="11"/>
      <c r="QQ286" s="11"/>
      <c r="QR286" s="11"/>
      <c r="QS286" s="11"/>
      <c r="QT286" s="11"/>
      <c r="QU286" s="11"/>
      <c r="QV286" s="11"/>
      <c r="QW286" s="11"/>
      <c r="QX286" s="11"/>
      <c r="QY286" s="11"/>
      <c r="QZ286" s="11"/>
      <c r="RA286" s="11"/>
      <c r="RB286" s="11"/>
      <c r="RC286" s="11"/>
      <c r="RD286" s="11"/>
      <c r="RE286" s="11"/>
      <c r="RF286" s="11"/>
      <c r="RG286" s="11"/>
      <c r="RH286" s="11"/>
      <c r="RI286" s="11"/>
      <c r="RJ286" s="11"/>
      <c r="RK286" s="11"/>
      <c r="RL286" s="11"/>
      <c r="RM286" s="11"/>
      <c r="RN286" s="11"/>
      <c r="RO286" s="11"/>
      <c r="RP286" s="11"/>
      <c r="RQ286" s="11"/>
      <c r="RR286" s="11"/>
      <c r="RS286" s="11"/>
      <c r="RT286" s="11"/>
      <c r="RU286" s="11"/>
      <c r="RV286" s="11"/>
      <c r="RW286" s="11"/>
      <c r="RX286" s="11"/>
      <c r="RY286" s="11"/>
      <c r="RZ286" s="11"/>
      <c r="SA286" s="11"/>
      <c r="SB286" s="11"/>
      <c r="SC286" s="11"/>
      <c r="SD286" s="11"/>
      <c r="SE286" s="11"/>
      <c r="SF286" s="11"/>
      <c r="SG286" s="11"/>
      <c r="SH286" s="11">
        <v>1</v>
      </c>
    </row>
    <row r="287" spans="1:502" x14ac:dyDescent="0.2">
      <c r="A287" s="10">
        <v>3.0004286884232331E-2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  <c r="OM287" s="11"/>
      <c r="ON287" s="11"/>
      <c r="OO287" s="11"/>
      <c r="OP287" s="11"/>
      <c r="OQ287" s="11"/>
      <c r="OR287" s="11"/>
      <c r="OS287" s="11"/>
      <c r="OT287" s="11"/>
      <c r="OU287" s="11"/>
      <c r="OV287" s="11"/>
      <c r="OW287" s="11"/>
      <c r="OX287" s="11"/>
      <c r="OY287" s="11"/>
      <c r="OZ287" s="11"/>
      <c r="PA287" s="11"/>
      <c r="PB287" s="11"/>
      <c r="PC287" s="11"/>
      <c r="PD287" s="11"/>
      <c r="PE287" s="11"/>
      <c r="PF287" s="11"/>
      <c r="PG287" s="11"/>
      <c r="PH287" s="11"/>
      <c r="PI287" s="11"/>
      <c r="PJ287" s="11"/>
      <c r="PK287" s="11"/>
      <c r="PL287" s="11"/>
      <c r="PM287" s="11"/>
      <c r="PN287" s="11"/>
      <c r="PO287" s="11"/>
      <c r="PP287" s="11"/>
      <c r="PQ287" s="11"/>
      <c r="PR287" s="11"/>
      <c r="PS287" s="11"/>
      <c r="PT287" s="11"/>
      <c r="PU287" s="11"/>
      <c r="PV287" s="11"/>
      <c r="PW287" s="11"/>
      <c r="PX287" s="11"/>
      <c r="PY287" s="11"/>
      <c r="PZ287" s="11"/>
      <c r="QA287" s="11"/>
      <c r="QB287" s="11"/>
      <c r="QC287" s="11"/>
      <c r="QD287" s="11"/>
      <c r="QE287" s="11"/>
      <c r="QF287" s="11"/>
      <c r="QG287" s="11"/>
      <c r="QH287" s="11"/>
      <c r="QI287" s="11"/>
      <c r="QJ287" s="11"/>
      <c r="QK287" s="11"/>
      <c r="QL287" s="11"/>
      <c r="QM287" s="11"/>
      <c r="QN287" s="11"/>
      <c r="QO287" s="11"/>
      <c r="QP287" s="11"/>
      <c r="QQ287" s="11"/>
      <c r="QR287" s="11"/>
      <c r="QS287" s="11"/>
      <c r="QT287" s="11"/>
      <c r="QU287" s="11"/>
      <c r="QV287" s="11"/>
      <c r="QW287" s="11"/>
      <c r="QX287" s="11"/>
      <c r="QY287" s="11"/>
      <c r="QZ287" s="11">
        <v>1</v>
      </c>
      <c r="RA287" s="11"/>
      <c r="RB287" s="11"/>
      <c r="RC287" s="11"/>
      <c r="RD287" s="11"/>
      <c r="RE287" s="11"/>
      <c r="RF287" s="11"/>
      <c r="RG287" s="11"/>
      <c r="RH287" s="11"/>
      <c r="RI287" s="11"/>
      <c r="RJ287" s="11"/>
      <c r="RK287" s="11"/>
      <c r="RL287" s="11"/>
      <c r="RM287" s="11"/>
      <c r="RN287" s="11"/>
      <c r="RO287" s="11"/>
      <c r="RP287" s="11"/>
      <c r="RQ287" s="11"/>
      <c r="RR287" s="11"/>
      <c r="RS287" s="11"/>
      <c r="RT287" s="11"/>
      <c r="RU287" s="11"/>
      <c r="RV287" s="11"/>
      <c r="RW287" s="11"/>
      <c r="RX287" s="11"/>
      <c r="RY287" s="11"/>
      <c r="RZ287" s="11"/>
      <c r="SA287" s="11"/>
      <c r="SB287" s="11"/>
      <c r="SC287" s="11"/>
      <c r="SD287" s="11"/>
      <c r="SE287" s="11"/>
      <c r="SF287" s="11"/>
      <c r="SG287" s="11"/>
      <c r="SH287" s="11">
        <v>1</v>
      </c>
    </row>
    <row r="288" spans="1:502" x14ac:dyDescent="0.2">
      <c r="A288" s="10">
        <v>3.0061997551510653E-2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>
        <v>1</v>
      </c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  <c r="OM288" s="11"/>
      <c r="ON288" s="11"/>
      <c r="OO288" s="11"/>
      <c r="OP288" s="11"/>
      <c r="OQ288" s="11"/>
      <c r="OR288" s="11"/>
      <c r="OS288" s="11"/>
      <c r="OT288" s="11"/>
      <c r="OU288" s="11"/>
      <c r="OV288" s="11"/>
      <c r="OW288" s="11"/>
      <c r="OX288" s="11"/>
      <c r="OY288" s="11"/>
      <c r="OZ288" s="11"/>
      <c r="PA288" s="11"/>
      <c r="PB288" s="11"/>
      <c r="PC288" s="11"/>
      <c r="PD288" s="11"/>
      <c r="PE288" s="11"/>
      <c r="PF288" s="11"/>
      <c r="PG288" s="11"/>
      <c r="PH288" s="11"/>
      <c r="PI288" s="11"/>
      <c r="PJ288" s="11"/>
      <c r="PK288" s="11"/>
      <c r="PL288" s="11"/>
      <c r="PM288" s="11"/>
      <c r="PN288" s="11"/>
      <c r="PO288" s="11"/>
      <c r="PP288" s="11"/>
      <c r="PQ288" s="11"/>
      <c r="PR288" s="11"/>
      <c r="PS288" s="11"/>
      <c r="PT288" s="11"/>
      <c r="PU288" s="11"/>
      <c r="PV288" s="11"/>
      <c r="PW288" s="11"/>
      <c r="PX288" s="11"/>
      <c r="PY288" s="11"/>
      <c r="PZ288" s="11"/>
      <c r="QA288" s="11"/>
      <c r="QB288" s="11"/>
      <c r="QC288" s="11"/>
      <c r="QD288" s="11"/>
      <c r="QE288" s="11"/>
      <c r="QF288" s="11"/>
      <c r="QG288" s="11"/>
      <c r="QH288" s="11"/>
      <c r="QI288" s="11"/>
      <c r="QJ288" s="11"/>
      <c r="QK288" s="11"/>
      <c r="QL288" s="11"/>
      <c r="QM288" s="11"/>
      <c r="QN288" s="11"/>
      <c r="QO288" s="11"/>
      <c r="QP288" s="11"/>
      <c r="QQ288" s="11"/>
      <c r="QR288" s="11"/>
      <c r="QS288" s="11"/>
      <c r="QT288" s="11"/>
      <c r="QU288" s="11"/>
      <c r="QV288" s="11"/>
      <c r="QW288" s="11"/>
      <c r="QX288" s="11"/>
      <c r="QY288" s="11"/>
      <c r="QZ288" s="11"/>
      <c r="RA288" s="11"/>
      <c r="RB288" s="11"/>
      <c r="RC288" s="11"/>
      <c r="RD288" s="11"/>
      <c r="RE288" s="11"/>
      <c r="RF288" s="11"/>
      <c r="RG288" s="11"/>
      <c r="RH288" s="11"/>
      <c r="RI288" s="11"/>
      <c r="RJ288" s="11"/>
      <c r="RK288" s="11"/>
      <c r="RL288" s="11"/>
      <c r="RM288" s="11"/>
      <c r="RN288" s="11"/>
      <c r="RO288" s="11"/>
      <c r="RP288" s="11"/>
      <c r="RQ288" s="11"/>
      <c r="RR288" s="11"/>
      <c r="RS288" s="11"/>
      <c r="RT288" s="11"/>
      <c r="RU288" s="11"/>
      <c r="RV288" s="11"/>
      <c r="RW288" s="11"/>
      <c r="RX288" s="11"/>
      <c r="RY288" s="11"/>
      <c r="RZ288" s="11"/>
      <c r="SA288" s="11"/>
      <c r="SB288" s="11"/>
      <c r="SC288" s="11"/>
      <c r="SD288" s="11"/>
      <c r="SE288" s="11"/>
      <c r="SF288" s="11"/>
      <c r="SG288" s="11"/>
      <c r="SH288" s="11">
        <v>1</v>
      </c>
    </row>
    <row r="289" spans="1:502" x14ac:dyDescent="0.2">
      <c r="A289" s="10">
        <v>3.0230524516905843E-2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>
        <v>1</v>
      </c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  <c r="OM289" s="11"/>
      <c r="ON289" s="11"/>
      <c r="OO289" s="11"/>
      <c r="OP289" s="11"/>
      <c r="OQ289" s="11"/>
      <c r="OR289" s="11"/>
      <c r="OS289" s="11"/>
      <c r="OT289" s="11"/>
      <c r="OU289" s="11"/>
      <c r="OV289" s="11"/>
      <c r="OW289" s="11"/>
      <c r="OX289" s="11"/>
      <c r="OY289" s="11"/>
      <c r="OZ289" s="11"/>
      <c r="PA289" s="11"/>
      <c r="PB289" s="11"/>
      <c r="PC289" s="11"/>
      <c r="PD289" s="11"/>
      <c r="PE289" s="11"/>
      <c r="PF289" s="11"/>
      <c r="PG289" s="11"/>
      <c r="PH289" s="11"/>
      <c r="PI289" s="11"/>
      <c r="PJ289" s="11"/>
      <c r="PK289" s="11"/>
      <c r="PL289" s="11"/>
      <c r="PM289" s="11"/>
      <c r="PN289" s="11"/>
      <c r="PO289" s="11"/>
      <c r="PP289" s="11"/>
      <c r="PQ289" s="11"/>
      <c r="PR289" s="11"/>
      <c r="PS289" s="11"/>
      <c r="PT289" s="11"/>
      <c r="PU289" s="11"/>
      <c r="PV289" s="11"/>
      <c r="PW289" s="11"/>
      <c r="PX289" s="11"/>
      <c r="PY289" s="11"/>
      <c r="PZ289" s="11"/>
      <c r="QA289" s="11"/>
      <c r="QB289" s="11"/>
      <c r="QC289" s="11"/>
      <c r="QD289" s="11"/>
      <c r="QE289" s="11"/>
      <c r="QF289" s="11"/>
      <c r="QG289" s="11"/>
      <c r="QH289" s="11"/>
      <c r="QI289" s="11"/>
      <c r="QJ289" s="11"/>
      <c r="QK289" s="11"/>
      <c r="QL289" s="11"/>
      <c r="QM289" s="11"/>
      <c r="QN289" s="11"/>
      <c r="QO289" s="11"/>
      <c r="QP289" s="11"/>
      <c r="QQ289" s="11"/>
      <c r="QR289" s="11"/>
      <c r="QS289" s="11"/>
      <c r="QT289" s="11"/>
      <c r="QU289" s="11"/>
      <c r="QV289" s="11"/>
      <c r="QW289" s="11"/>
      <c r="QX289" s="11"/>
      <c r="QY289" s="11"/>
      <c r="QZ289" s="11"/>
      <c r="RA289" s="11"/>
      <c r="RB289" s="11"/>
      <c r="RC289" s="11"/>
      <c r="RD289" s="11"/>
      <c r="RE289" s="11"/>
      <c r="RF289" s="11"/>
      <c r="RG289" s="11"/>
      <c r="RH289" s="11"/>
      <c r="RI289" s="11"/>
      <c r="RJ289" s="11"/>
      <c r="RK289" s="11"/>
      <c r="RL289" s="11"/>
      <c r="RM289" s="11"/>
      <c r="RN289" s="11"/>
      <c r="RO289" s="11"/>
      <c r="RP289" s="11"/>
      <c r="RQ289" s="11"/>
      <c r="RR289" s="11"/>
      <c r="RS289" s="11"/>
      <c r="RT289" s="11"/>
      <c r="RU289" s="11"/>
      <c r="RV289" s="11"/>
      <c r="RW289" s="11"/>
      <c r="RX289" s="11"/>
      <c r="RY289" s="11"/>
      <c r="RZ289" s="11"/>
      <c r="SA289" s="11"/>
      <c r="SB289" s="11"/>
      <c r="SC289" s="11"/>
      <c r="SD289" s="11"/>
      <c r="SE289" s="11"/>
      <c r="SF289" s="11"/>
      <c r="SG289" s="11"/>
      <c r="SH289" s="11">
        <v>1</v>
      </c>
    </row>
    <row r="290" spans="1:502" x14ac:dyDescent="0.2">
      <c r="A290" s="10">
        <v>3.0278065482506226E-2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>
        <v>1</v>
      </c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  <c r="OM290" s="11"/>
      <c r="ON290" s="11"/>
      <c r="OO290" s="11"/>
      <c r="OP290" s="11"/>
      <c r="OQ290" s="11"/>
      <c r="OR290" s="11"/>
      <c r="OS290" s="11"/>
      <c r="OT290" s="11"/>
      <c r="OU290" s="11"/>
      <c r="OV290" s="11"/>
      <c r="OW290" s="11"/>
      <c r="OX290" s="11"/>
      <c r="OY290" s="11"/>
      <c r="OZ290" s="11"/>
      <c r="PA290" s="11"/>
      <c r="PB290" s="11"/>
      <c r="PC290" s="11"/>
      <c r="PD290" s="11"/>
      <c r="PE290" s="11"/>
      <c r="PF290" s="11"/>
      <c r="PG290" s="11"/>
      <c r="PH290" s="11"/>
      <c r="PI290" s="11"/>
      <c r="PJ290" s="11"/>
      <c r="PK290" s="11"/>
      <c r="PL290" s="11"/>
      <c r="PM290" s="11"/>
      <c r="PN290" s="11"/>
      <c r="PO290" s="11"/>
      <c r="PP290" s="11"/>
      <c r="PQ290" s="11"/>
      <c r="PR290" s="11"/>
      <c r="PS290" s="11"/>
      <c r="PT290" s="11"/>
      <c r="PU290" s="11"/>
      <c r="PV290" s="11"/>
      <c r="PW290" s="11"/>
      <c r="PX290" s="11"/>
      <c r="PY290" s="11"/>
      <c r="PZ290" s="11"/>
      <c r="QA290" s="11"/>
      <c r="QB290" s="11"/>
      <c r="QC290" s="11"/>
      <c r="QD290" s="11"/>
      <c r="QE290" s="11"/>
      <c r="QF290" s="11"/>
      <c r="QG290" s="11"/>
      <c r="QH290" s="11"/>
      <c r="QI290" s="11"/>
      <c r="QJ290" s="11"/>
      <c r="QK290" s="11"/>
      <c r="QL290" s="11"/>
      <c r="QM290" s="11"/>
      <c r="QN290" s="11"/>
      <c r="QO290" s="11"/>
      <c r="QP290" s="11"/>
      <c r="QQ290" s="11"/>
      <c r="QR290" s="11"/>
      <c r="QS290" s="11"/>
      <c r="QT290" s="11"/>
      <c r="QU290" s="11"/>
      <c r="QV290" s="11"/>
      <c r="QW290" s="11"/>
      <c r="QX290" s="11"/>
      <c r="QY290" s="11"/>
      <c r="QZ290" s="11"/>
      <c r="RA290" s="11"/>
      <c r="RB290" s="11"/>
      <c r="RC290" s="11"/>
      <c r="RD290" s="11"/>
      <c r="RE290" s="11"/>
      <c r="RF290" s="11"/>
      <c r="RG290" s="11"/>
      <c r="RH290" s="11"/>
      <c r="RI290" s="11"/>
      <c r="RJ290" s="11"/>
      <c r="RK290" s="11"/>
      <c r="RL290" s="11"/>
      <c r="RM290" s="11"/>
      <c r="RN290" s="11"/>
      <c r="RO290" s="11"/>
      <c r="RP290" s="11"/>
      <c r="RQ290" s="11"/>
      <c r="RR290" s="11"/>
      <c r="RS290" s="11"/>
      <c r="RT290" s="11"/>
      <c r="RU290" s="11"/>
      <c r="RV290" s="11"/>
      <c r="RW290" s="11"/>
      <c r="RX290" s="11"/>
      <c r="RY290" s="11"/>
      <c r="RZ290" s="11"/>
      <c r="SA290" s="11"/>
      <c r="SB290" s="11"/>
      <c r="SC290" s="11"/>
      <c r="SD290" s="11"/>
      <c r="SE290" s="11"/>
      <c r="SF290" s="11"/>
      <c r="SG290" s="11"/>
      <c r="SH290" s="11">
        <v>1</v>
      </c>
    </row>
    <row r="291" spans="1:502" x14ac:dyDescent="0.2">
      <c r="A291" s="10">
        <v>3.0349581429673974E-2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>
        <v>1</v>
      </c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  <c r="OM291" s="11"/>
      <c r="ON291" s="11"/>
      <c r="OO291" s="11"/>
      <c r="OP291" s="11"/>
      <c r="OQ291" s="11"/>
      <c r="OR291" s="11"/>
      <c r="OS291" s="11"/>
      <c r="OT291" s="11"/>
      <c r="OU291" s="11"/>
      <c r="OV291" s="11"/>
      <c r="OW291" s="11"/>
      <c r="OX291" s="11"/>
      <c r="OY291" s="11"/>
      <c r="OZ291" s="11"/>
      <c r="PA291" s="11"/>
      <c r="PB291" s="11"/>
      <c r="PC291" s="11"/>
      <c r="PD291" s="11"/>
      <c r="PE291" s="11"/>
      <c r="PF291" s="11"/>
      <c r="PG291" s="11"/>
      <c r="PH291" s="11"/>
      <c r="PI291" s="11"/>
      <c r="PJ291" s="11"/>
      <c r="PK291" s="11"/>
      <c r="PL291" s="11"/>
      <c r="PM291" s="11"/>
      <c r="PN291" s="11"/>
      <c r="PO291" s="11"/>
      <c r="PP291" s="11"/>
      <c r="PQ291" s="11"/>
      <c r="PR291" s="11"/>
      <c r="PS291" s="11"/>
      <c r="PT291" s="11"/>
      <c r="PU291" s="11"/>
      <c r="PV291" s="11"/>
      <c r="PW291" s="11"/>
      <c r="PX291" s="11"/>
      <c r="PY291" s="11"/>
      <c r="PZ291" s="11"/>
      <c r="QA291" s="11"/>
      <c r="QB291" s="11"/>
      <c r="QC291" s="11"/>
      <c r="QD291" s="11"/>
      <c r="QE291" s="11"/>
      <c r="QF291" s="11"/>
      <c r="QG291" s="11"/>
      <c r="QH291" s="11"/>
      <c r="QI291" s="11"/>
      <c r="QJ291" s="11"/>
      <c r="QK291" s="11"/>
      <c r="QL291" s="11"/>
      <c r="QM291" s="11"/>
      <c r="QN291" s="11"/>
      <c r="QO291" s="11"/>
      <c r="QP291" s="11"/>
      <c r="QQ291" s="11"/>
      <c r="QR291" s="11"/>
      <c r="QS291" s="11"/>
      <c r="QT291" s="11"/>
      <c r="QU291" s="11"/>
      <c r="QV291" s="11"/>
      <c r="QW291" s="11"/>
      <c r="QX291" s="11"/>
      <c r="QY291" s="11"/>
      <c r="QZ291" s="11"/>
      <c r="RA291" s="11"/>
      <c r="RB291" s="11"/>
      <c r="RC291" s="11"/>
      <c r="RD291" s="11"/>
      <c r="RE291" s="11"/>
      <c r="RF291" s="11"/>
      <c r="RG291" s="11"/>
      <c r="RH291" s="11"/>
      <c r="RI291" s="11"/>
      <c r="RJ291" s="11"/>
      <c r="RK291" s="11"/>
      <c r="RL291" s="11"/>
      <c r="RM291" s="11"/>
      <c r="RN291" s="11"/>
      <c r="RO291" s="11"/>
      <c r="RP291" s="11"/>
      <c r="RQ291" s="11"/>
      <c r="RR291" s="11"/>
      <c r="RS291" s="11"/>
      <c r="RT291" s="11"/>
      <c r="RU291" s="11"/>
      <c r="RV291" s="11"/>
      <c r="RW291" s="11"/>
      <c r="RX291" s="11"/>
      <c r="RY291" s="11"/>
      <c r="RZ291" s="11"/>
      <c r="SA291" s="11"/>
      <c r="SB291" s="11"/>
      <c r="SC291" s="11"/>
      <c r="SD291" s="11"/>
      <c r="SE291" s="11"/>
      <c r="SF291" s="11"/>
      <c r="SG291" s="11"/>
      <c r="SH291" s="11">
        <v>1</v>
      </c>
    </row>
    <row r="292" spans="1:502" x14ac:dyDescent="0.2">
      <c r="A292" s="10">
        <v>3.0356564937062416E-2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>
        <v>1</v>
      </c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  <c r="OM292" s="11"/>
      <c r="ON292" s="11"/>
      <c r="OO292" s="11"/>
      <c r="OP292" s="11"/>
      <c r="OQ292" s="11"/>
      <c r="OR292" s="11"/>
      <c r="OS292" s="11"/>
      <c r="OT292" s="11"/>
      <c r="OU292" s="11"/>
      <c r="OV292" s="11"/>
      <c r="OW292" s="11"/>
      <c r="OX292" s="11"/>
      <c r="OY292" s="11"/>
      <c r="OZ292" s="11"/>
      <c r="PA292" s="11"/>
      <c r="PB292" s="11"/>
      <c r="PC292" s="11"/>
      <c r="PD292" s="11"/>
      <c r="PE292" s="11"/>
      <c r="PF292" s="11"/>
      <c r="PG292" s="11"/>
      <c r="PH292" s="11"/>
      <c r="PI292" s="11"/>
      <c r="PJ292" s="11"/>
      <c r="PK292" s="11"/>
      <c r="PL292" s="11"/>
      <c r="PM292" s="11"/>
      <c r="PN292" s="11"/>
      <c r="PO292" s="11"/>
      <c r="PP292" s="11"/>
      <c r="PQ292" s="11"/>
      <c r="PR292" s="11"/>
      <c r="PS292" s="11"/>
      <c r="PT292" s="11"/>
      <c r="PU292" s="11"/>
      <c r="PV292" s="11"/>
      <c r="PW292" s="11"/>
      <c r="PX292" s="11"/>
      <c r="PY292" s="11"/>
      <c r="PZ292" s="11"/>
      <c r="QA292" s="11"/>
      <c r="QB292" s="11"/>
      <c r="QC292" s="11"/>
      <c r="QD292" s="11"/>
      <c r="QE292" s="11"/>
      <c r="QF292" s="11"/>
      <c r="QG292" s="11"/>
      <c r="QH292" s="11"/>
      <c r="QI292" s="11"/>
      <c r="QJ292" s="11"/>
      <c r="QK292" s="11"/>
      <c r="QL292" s="11"/>
      <c r="QM292" s="11"/>
      <c r="QN292" s="11"/>
      <c r="QO292" s="11"/>
      <c r="QP292" s="11"/>
      <c r="QQ292" s="11"/>
      <c r="QR292" s="11"/>
      <c r="QS292" s="11"/>
      <c r="QT292" s="11"/>
      <c r="QU292" s="11"/>
      <c r="QV292" s="11"/>
      <c r="QW292" s="11"/>
      <c r="QX292" s="11"/>
      <c r="QY292" s="11"/>
      <c r="QZ292" s="11"/>
      <c r="RA292" s="11"/>
      <c r="RB292" s="11"/>
      <c r="RC292" s="11"/>
      <c r="RD292" s="11"/>
      <c r="RE292" s="11"/>
      <c r="RF292" s="11"/>
      <c r="RG292" s="11"/>
      <c r="RH292" s="11"/>
      <c r="RI292" s="11"/>
      <c r="RJ292" s="11"/>
      <c r="RK292" s="11"/>
      <c r="RL292" s="11"/>
      <c r="RM292" s="11"/>
      <c r="RN292" s="11"/>
      <c r="RO292" s="11"/>
      <c r="RP292" s="11"/>
      <c r="RQ292" s="11"/>
      <c r="RR292" s="11"/>
      <c r="RS292" s="11"/>
      <c r="RT292" s="11"/>
      <c r="RU292" s="11"/>
      <c r="RV292" s="11"/>
      <c r="RW292" s="11"/>
      <c r="RX292" s="11"/>
      <c r="RY292" s="11"/>
      <c r="RZ292" s="11"/>
      <c r="SA292" s="11"/>
      <c r="SB292" s="11"/>
      <c r="SC292" s="11"/>
      <c r="SD292" s="11"/>
      <c r="SE292" s="11"/>
      <c r="SF292" s="11"/>
      <c r="SG292" s="11"/>
      <c r="SH292" s="11">
        <v>1</v>
      </c>
    </row>
    <row r="293" spans="1:502" x14ac:dyDescent="0.2">
      <c r="A293" s="10">
        <v>3.0452408236242359E-2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>
        <v>1</v>
      </c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  <c r="OM293" s="11"/>
      <c r="ON293" s="11"/>
      <c r="OO293" s="11"/>
      <c r="OP293" s="11"/>
      <c r="OQ293" s="11"/>
      <c r="OR293" s="11"/>
      <c r="OS293" s="11"/>
      <c r="OT293" s="11"/>
      <c r="OU293" s="11"/>
      <c r="OV293" s="11"/>
      <c r="OW293" s="11"/>
      <c r="OX293" s="11"/>
      <c r="OY293" s="11"/>
      <c r="OZ293" s="11"/>
      <c r="PA293" s="11"/>
      <c r="PB293" s="11"/>
      <c r="PC293" s="11"/>
      <c r="PD293" s="11"/>
      <c r="PE293" s="11"/>
      <c r="PF293" s="11"/>
      <c r="PG293" s="11"/>
      <c r="PH293" s="11"/>
      <c r="PI293" s="11"/>
      <c r="PJ293" s="11"/>
      <c r="PK293" s="11"/>
      <c r="PL293" s="11"/>
      <c r="PM293" s="11"/>
      <c r="PN293" s="11"/>
      <c r="PO293" s="11"/>
      <c r="PP293" s="11"/>
      <c r="PQ293" s="11"/>
      <c r="PR293" s="11"/>
      <c r="PS293" s="11"/>
      <c r="PT293" s="11"/>
      <c r="PU293" s="11"/>
      <c r="PV293" s="11"/>
      <c r="PW293" s="11"/>
      <c r="PX293" s="11"/>
      <c r="PY293" s="11"/>
      <c r="PZ293" s="11"/>
      <c r="QA293" s="11"/>
      <c r="QB293" s="11"/>
      <c r="QC293" s="11"/>
      <c r="QD293" s="11"/>
      <c r="QE293" s="11"/>
      <c r="QF293" s="11"/>
      <c r="QG293" s="11"/>
      <c r="QH293" s="11"/>
      <c r="QI293" s="11"/>
      <c r="QJ293" s="11"/>
      <c r="QK293" s="11"/>
      <c r="QL293" s="11"/>
      <c r="QM293" s="11"/>
      <c r="QN293" s="11"/>
      <c r="QO293" s="11"/>
      <c r="QP293" s="11"/>
      <c r="QQ293" s="11"/>
      <c r="QR293" s="11"/>
      <c r="QS293" s="11"/>
      <c r="QT293" s="11"/>
      <c r="QU293" s="11"/>
      <c r="QV293" s="11"/>
      <c r="QW293" s="11"/>
      <c r="QX293" s="11"/>
      <c r="QY293" s="11"/>
      <c r="QZ293" s="11"/>
      <c r="RA293" s="11"/>
      <c r="RB293" s="11"/>
      <c r="RC293" s="11"/>
      <c r="RD293" s="11"/>
      <c r="RE293" s="11"/>
      <c r="RF293" s="11"/>
      <c r="RG293" s="11"/>
      <c r="RH293" s="11"/>
      <c r="RI293" s="11"/>
      <c r="RJ293" s="11"/>
      <c r="RK293" s="11"/>
      <c r="RL293" s="11"/>
      <c r="RM293" s="11"/>
      <c r="RN293" s="11"/>
      <c r="RO293" s="11"/>
      <c r="RP293" s="11"/>
      <c r="RQ293" s="11"/>
      <c r="RR293" s="11"/>
      <c r="RS293" s="11"/>
      <c r="RT293" s="11"/>
      <c r="RU293" s="11"/>
      <c r="RV293" s="11"/>
      <c r="RW293" s="11"/>
      <c r="RX293" s="11"/>
      <c r="RY293" s="11"/>
      <c r="RZ293" s="11"/>
      <c r="SA293" s="11"/>
      <c r="SB293" s="11"/>
      <c r="SC293" s="11"/>
      <c r="SD293" s="11"/>
      <c r="SE293" s="11"/>
      <c r="SF293" s="11"/>
      <c r="SG293" s="11"/>
      <c r="SH293" s="11">
        <v>1</v>
      </c>
    </row>
    <row r="294" spans="1:502" x14ac:dyDescent="0.2">
      <c r="A294" s="10">
        <v>3.0471188641823601E-2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>
        <v>1</v>
      </c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  <c r="OM294" s="11"/>
      <c r="ON294" s="11"/>
      <c r="OO294" s="11"/>
      <c r="OP294" s="11"/>
      <c r="OQ294" s="11"/>
      <c r="OR294" s="11"/>
      <c r="OS294" s="11"/>
      <c r="OT294" s="11"/>
      <c r="OU294" s="11"/>
      <c r="OV294" s="11"/>
      <c r="OW294" s="11"/>
      <c r="OX294" s="11"/>
      <c r="OY294" s="11"/>
      <c r="OZ294" s="11"/>
      <c r="PA294" s="11"/>
      <c r="PB294" s="11"/>
      <c r="PC294" s="11"/>
      <c r="PD294" s="11"/>
      <c r="PE294" s="11"/>
      <c r="PF294" s="11"/>
      <c r="PG294" s="11"/>
      <c r="PH294" s="11"/>
      <c r="PI294" s="11"/>
      <c r="PJ294" s="11"/>
      <c r="PK294" s="11"/>
      <c r="PL294" s="11"/>
      <c r="PM294" s="11"/>
      <c r="PN294" s="11"/>
      <c r="PO294" s="11"/>
      <c r="PP294" s="11"/>
      <c r="PQ294" s="11"/>
      <c r="PR294" s="11"/>
      <c r="PS294" s="11"/>
      <c r="PT294" s="11"/>
      <c r="PU294" s="11"/>
      <c r="PV294" s="11"/>
      <c r="PW294" s="11"/>
      <c r="PX294" s="11"/>
      <c r="PY294" s="11"/>
      <c r="PZ294" s="11"/>
      <c r="QA294" s="11"/>
      <c r="QB294" s="11"/>
      <c r="QC294" s="11"/>
      <c r="QD294" s="11"/>
      <c r="QE294" s="11"/>
      <c r="QF294" s="11"/>
      <c r="QG294" s="11"/>
      <c r="QH294" s="11"/>
      <c r="QI294" s="11"/>
      <c r="QJ294" s="11"/>
      <c r="QK294" s="11"/>
      <c r="QL294" s="11"/>
      <c r="QM294" s="11"/>
      <c r="QN294" s="11"/>
      <c r="QO294" s="11"/>
      <c r="QP294" s="11"/>
      <c r="QQ294" s="11"/>
      <c r="QR294" s="11"/>
      <c r="QS294" s="11"/>
      <c r="QT294" s="11"/>
      <c r="QU294" s="11"/>
      <c r="QV294" s="11"/>
      <c r="QW294" s="11"/>
      <c r="QX294" s="11"/>
      <c r="QY294" s="11"/>
      <c r="QZ294" s="11"/>
      <c r="RA294" s="11"/>
      <c r="RB294" s="11"/>
      <c r="RC294" s="11"/>
      <c r="RD294" s="11"/>
      <c r="RE294" s="11"/>
      <c r="RF294" s="11"/>
      <c r="RG294" s="11"/>
      <c r="RH294" s="11"/>
      <c r="RI294" s="11"/>
      <c r="RJ294" s="11"/>
      <c r="RK294" s="11"/>
      <c r="RL294" s="11"/>
      <c r="RM294" s="11"/>
      <c r="RN294" s="11"/>
      <c r="RO294" s="11"/>
      <c r="RP294" s="11"/>
      <c r="RQ294" s="11"/>
      <c r="RR294" s="11"/>
      <c r="RS294" s="11"/>
      <c r="RT294" s="11"/>
      <c r="RU294" s="11"/>
      <c r="RV294" s="11"/>
      <c r="RW294" s="11"/>
      <c r="RX294" s="11"/>
      <c r="RY294" s="11"/>
      <c r="RZ294" s="11"/>
      <c r="SA294" s="11"/>
      <c r="SB294" s="11"/>
      <c r="SC294" s="11"/>
      <c r="SD294" s="11"/>
      <c r="SE294" s="11"/>
      <c r="SF294" s="11"/>
      <c r="SG294" s="11"/>
      <c r="SH294" s="11">
        <v>1</v>
      </c>
    </row>
    <row r="295" spans="1:502" x14ac:dyDescent="0.2">
      <c r="A295" s="10">
        <v>3.0544421457580177E-2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>
        <v>1</v>
      </c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  <c r="OM295" s="11"/>
      <c r="ON295" s="11"/>
      <c r="OO295" s="11"/>
      <c r="OP295" s="11"/>
      <c r="OQ295" s="11"/>
      <c r="OR295" s="11"/>
      <c r="OS295" s="11"/>
      <c r="OT295" s="11"/>
      <c r="OU295" s="11"/>
      <c r="OV295" s="11"/>
      <c r="OW295" s="11"/>
      <c r="OX295" s="11"/>
      <c r="OY295" s="11"/>
      <c r="OZ295" s="11"/>
      <c r="PA295" s="11"/>
      <c r="PB295" s="11"/>
      <c r="PC295" s="11"/>
      <c r="PD295" s="11"/>
      <c r="PE295" s="11"/>
      <c r="PF295" s="11"/>
      <c r="PG295" s="11"/>
      <c r="PH295" s="11"/>
      <c r="PI295" s="11"/>
      <c r="PJ295" s="11"/>
      <c r="PK295" s="11"/>
      <c r="PL295" s="11"/>
      <c r="PM295" s="11"/>
      <c r="PN295" s="11"/>
      <c r="PO295" s="11"/>
      <c r="PP295" s="11"/>
      <c r="PQ295" s="11"/>
      <c r="PR295" s="11"/>
      <c r="PS295" s="11"/>
      <c r="PT295" s="11"/>
      <c r="PU295" s="11"/>
      <c r="PV295" s="11"/>
      <c r="PW295" s="11"/>
      <c r="PX295" s="11"/>
      <c r="PY295" s="11"/>
      <c r="PZ295" s="11"/>
      <c r="QA295" s="11"/>
      <c r="QB295" s="11"/>
      <c r="QC295" s="11"/>
      <c r="QD295" s="11"/>
      <c r="QE295" s="11"/>
      <c r="QF295" s="11"/>
      <c r="QG295" s="11"/>
      <c r="QH295" s="11"/>
      <c r="QI295" s="11"/>
      <c r="QJ295" s="11"/>
      <c r="QK295" s="11"/>
      <c r="QL295" s="11"/>
      <c r="QM295" s="11"/>
      <c r="QN295" s="11"/>
      <c r="QO295" s="11"/>
      <c r="QP295" s="11"/>
      <c r="QQ295" s="11"/>
      <c r="QR295" s="11"/>
      <c r="QS295" s="11"/>
      <c r="QT295" s="11"/>
      <c r="QU295" s="11"/>
      <c r="QV295" s="11"/>
      <c r="QW295" s="11"/>
      <c r="QX295" s="11"/>
      <c r="QY295" s="11"/>
      <c r="QZ295" s="11"/>
      <c r="RA295" s="11"/>
      <c r="RB295" s="11"/>
      <c r="RC295" s="11"/>
      <c r="RD295" s="11"/>
      <c r="RE295" s="11"/>
      <c r="RF295" s="11"/>
      <c r="RG295" s="11"/>
      <c r="RH295" s="11"/>
      <c r="RI295" s="11"/>
      <c r="RJ295" s="11"/>
      <c r="RK295" s="11"/>
      <c r="RL295" s="11"/>
      <c r="RM295" s="11"/>
      <c r="RN295" s="11"/>
      <c r="RO295" s="11"/>
      <c r="RP295" s="11"/>
      <c r="RQ295" s="11"/>
      <c r="RR295" s="11"/>
      <c r="RS295" s="11"/>
      <c r="RT295" s="11"/>
      <c r="RU295" s="11"/>
      <c r="RV295" s="11"/>
      <c r="RW295" s="11"/>
      <c r="RX295" s="11"/>
      <c r="RY295" s="11"/>
      <c r="RZ295" s="11"/>
      <c r="SA295" s="11"/>
      <c r="SB295" s="11"/>
      <c r="SC295" s="11"/>
      <c r="SD295" s="11"/>
      <c r="SE295" s="11"/>
      <c r="SF295" s="11"/>
      <c r="SG295" s="11"/>
      <c r="SH295" s="11">
        <v>1</v>
      </c>
    </row>
    <row r="296" spans="1:502" x14ac:dyDescent="0.2">
      <c r="A296" s="10">
        <v>3.0946715444848998E-2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>
        <v>1</v>
      </c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  <c r="OM296" s="11"/>
      <c r="ON296" s="11"/>
      <c r="OO296" s="11"/>
      <c r="OP296" s="11"/>
      <c r="OQ296" s="11"/>
      <c r="OR296" s="11"/>
      <c r="OS296" s="11"/>
      <c r="OT296" s="11"/>
      <c r="OU296" s="11"/>
      <c r="OV296" s="11"/>
      <c r="OW296" s="11"/>
      <c r="OX296" s="11"/>
      <c r="OY296" s="11"/>
      <c r="OZ296" s="11"/>
      <c r="PA296" s="11"/>
      <c r="PB296" s="11"/>
      <c r="PC296" s="11"/>
      <c r="PD296" s="11"/>
      <c r="PE296" s="11"/>
      <c r="PF296" s="11"/>
      <c r="PG296" s="11"/>
      <c r="PH296" s="11"/>
      <c r="PI296" s="11"/>
      <c r="PJ296" s="11"/>
      <c r="PK296" s="11"/>
      <c r="PL296" s="11"/>
      <c r="PM296" s="11"/>
      <c r="PN296" s="11"/>
      <c r="PO296" s="11"/>
      <c r="PP296" s="11"/>
      <c r="PQ296" s="11"/>
      <c r="PR296" s="11"/>
      <c r="PS296" s="11"/>
      <c r="PT296" s="11"/>
      <c r="PU296" s="11"/>
      <c r="PV296" s="11"/>
      <c r="PW296" s="11"/>
      <c r="PX296" s="11"/>
      <c r="PY296" s="11"/>
      <c r="PZ296" s="11"/>
      <c r="QA296" s="11"/>
      <c r="QB296" s="11"/>
      <c r="QC296" s="11"/>
      <c r="QD296" s="11"/>
      <c r="QE296" s="11"/>
      <c r="QF296" s="11"/>
      <c r="QG296" s="11"/>
      <c r="QH296" s="11"/>
      <c r="QI296" s="11"/>
      <c r="QJ296" s="11"/>
      <c r="QK296" s="11"/>
      <c r="QL296" s="11"/>
      <c r="QM296" s="11"/>
      <c r="QN296" s="11"/>
      <c r="QO296" s="11"/>
      <c r="QP296" s="11"/>
      <c r="QQ296" s="11"/>
      <c r="QR296" s="11"/>
      <c r="QS296" s="11"/>
      <c r="QT296" s="11"/>
      <c r="QU296" s="11"/>
      <c r="QV296" s="11"/>
      <c r="QW296" s="11"/>
      <c r="QX296" s="11"/>
      <c r="QY296" s="11"/>
      <c r="QZ296" s="11"/>
      <c r="RA296" s="11"/>
      <c r="RB296" s="11"/>
      <c r="RC296" s="11"/>
      <c r="RD296" s="11"/>
      <c r="RE296" s="11"/>
      <c r="RF296" s="11"/>
      <c r="RG296" s="11"/>
      <c r="RH296" s="11"/>
      <c r="RI296" s="11"/>
      <c r="RJ296" s="11"/>
      <c r="RK296" s="11"/>
      <c r="RL296" s="11"/>
      <c r="RM296" s="11"/>
      <c r="RN296" s="11"/>
      <c r="RO296" s="11"/>
      <c r="RP296" s="11"/>
      <c r="RQ296" s="11"/>
      <c r="RR296" s="11"/>
      <c r="RS296" s="11"/>
      <c r="RT296" s="11"/>
      <c r="RU296" s="11"/>
      <c r="RV296" s="11"/>
      <c r="RW296" s="11"/>
      <c r="RX296" s="11"/>
      <c r="RY296" s="11"/>
      <c r="RZ296" s="11"/>
      <c r="SA296" s="11"/>
      <c r="SB296" s="11"/>
      <c r="SC296" s="11"/>
      <c r="SD296" s="11"/>
      <c r="SE296" s="11"/>
      <c r="SF296" s="11"/>
      <c r="SG296" s="11"/>
      <c r="SH296" s="11">
        <v>1</v>
      </c>
    </row>
    <row r="297" spans="1:502" x14ac:dyDescent="0.2">
      <c r="A297" s="10">
        <v>3.0997896677855963E-2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>
        <v>1</v>
      </c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  <c r="OM297" s="11"/>
      <c r="ON297" s="11"/>
      <c r="OO297" s="11"/>
      <c r="OP297" s="11"/>
      <c r="OQ297" s="11"/>
      <c r="OR297" s="11"/>
      <c r="OS297" s="11"/>
      <c r="OT297" s="11"/>
      <c r="OU297" s="11"/>
      <c r="OV297" s="11"/>
      <c r="OW297" s="11"/>
      <c r="OX297" s="11"/>
      <c r="OY297" s="11"/>
      <c r="OZ297" s="11"/>
      <c r="PA297" s="11"/>
      <c r="PB297" s="11"/>
      <c r="PC297" s="11"/>
      <c r="PD297" s="11"/>
      <c r="PE297" s="11"/>
      <c r="PF297" s="11"/>
      <c r="PG297" s="11"/>
      <c r="PH297" s="11"/>
      <c r="PI297" s="11"/>
      <c r="PJ297" s="11"/>
      <c r="PK297" s="11"/>
      <c r="PL297" s="11"/>
      <c r="PM297" s="11"/>
      <c r="PN297" s="11"/>
      <c r="PO297" s="11"/>
      <c r="PP297" s="11"/>
      <c r="PQ297" s="11"/>
      <c r="PR297" s="11"/>
      <c r="PS297" s="11"/>
      <c r="PT297" s="11"/>
      <c r="PU297" s="11"/>
      <c r="PV297" s="11"/>
      <c r="PW297" s="11"/>
      <c r="PX297" s="11"/>
      <c r="PY297" s="11"/>
      <c r="PZ297" s="11"/>
      <c r="QA297" s="11"/>
      <c r="QB297" s="11"/>
      <c r="QC297" s="11"/>
      <c r="QD297" s="11"/>
      <c r="QE297" s="11"/>
      <c r="QF297" s="11"/>
      <c r="QG297" s="11"/>
      <c r="QH297" s="11"/>
      <c r="QI297" s="11"/>
      <c r="QJ297" s="11"/>
      <c r="QK297" s="11"/>
      <c r="QL297" s="11"/>
      <c r="QM297" s="11"/>
      <c r="QN297" s="11"/>
      <c r="QO297" s="11"/>
      <c r="QP297" s="11"/>
      <c r="QQ297" s="11"/>
      <c r="QR297" s="11"/>
      <c r="QS297" s="11"/>
      <c r="QT297" s="11"/>
      <c r="QU297" s="11"/>
      <c r="QV297" s="11"/>
      <c r="QW297" s="11"/>
      <c r="QX297" s="11"/>
      <c r="QY297" s="11"/>
      <c r="QZ297" s="11"/>
      <c r="RA297" s="11"/>
      <c r="RB297" s="11"/>
      <c r="RC297" s="11"/>
      <c r="RD297" s="11"/>
      <c r="RE297" s="11"/>
      <c r="RF297" s="11"/>
      <c r="RG297" s="11"/>
      <c r="RH297" s="11"/>
      <c r="RI297" s="11"/>
      <c r="RJ297" s="11"/>
      <c r="RK297" s="11"/>
      <c r="RL297" s="11"/>
      <c r="RM297" s="11"/>
      <c r="RN297" s="11"/>
      <c r="RO297" s="11"/>
      <c r="RP297" s="11"/>
      <c r="RQ297" s="11"/>
      <c r="RR297" s="11"/>
      <c r="RS297" s="11"/>
      <c r="RT297" s="11"/>
      <c r="RU297" s="11"/>
      <c r="RV297" s="11"/>
      <c r="RW297" s="11"/>
      <c r="RX297" s="11"/>
      <c r="RY297" s="11"/>
      <c r="RZ297" s="11"/>
      <c r="SA297" s="11"/>
      <c r="SB297" s="11"/>
      <c r="SC297" s="11"/>
      <c r="SD297" s="11"/>
      <c r="SE297" s="11"/>
      <c r="SF297" s="11"/>
      <c r="SG297" s="11"/>
      <c r="SH297" s="11">
        <v>1</v>
      </c>
    </row>
    <row r="298" spans="1:502" x14ac:dyDescent="0.2">
      <c r="A298" s="10">
        <v>3.1050614623556818E-2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>
        <v>1</v>
      </c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  <c r="OM298" s="11"/>
      <c r="ON298" s="11"/>
      <c r="OO298" s="11"/>
      <c r="OP298" s="11"/>
      <c r="OQ298" s="11"/>
      <c r="OR298" s="11"/>
      <c r="OS298" s="11"/>
      <c r="OT298" s="11"/>
      <c r="OU298" s="11"/>
      <c r="OV298" s="11"/>
      <c r="OW298" s="11"/>
      <c r="OX298" s="11"/>
      <c r="OY298" s="11"/>
      <c r="OZ298" s="11"/>
      <c r="PA298" s="11"/>
      <c r="PB298" s="11"/>
      <c r="PC298" s="11"/>
      <c r="PD298" s="11"/>
      <c r="PE298" s="11"/>
      <c r="PF298" s="11"/>
      <c r="PG298" s="11"/>
      <c r="PH298" s="11"/>
      <c r="PI298" s="11"/>
      <c r="PJ298" s="11"/>
      <c r="PK298" s="11"/>
      <c r="PL298" s="11"/>
      <c r="PM298" s="11"/>
      <c r="PN298" s="11"/>
      <c r="PO298" s="11"/>
      <c r="PP298" s="11"/>
      <c r="PQ298" s="11"/>
      <c r="PR298" s="11"/>
      <c r="PS298" s="11"/>
      <c r="PT298" s="11"/>
      <c r="PU298" s="11"/>
      <c r="PV298" s="11"/>
      <c r="PW298" s="11"/>
      <c r="PX298" s="11"/>
      <c r="PY298" s="11"/>
      <c r="PZ298" s="11"/>
      <c r="QA298" s="11"/>
      <c r="QB298" s="11"/>
      <c r="QC298" s="11"/>
      <c r="QD298" s="11"/>
      <c r="QE298" s="11"/>
      <c r="QF298" s="11"/>
      <c r="QG298" s="11"/>
      <c r="QH298" s="11"/>
      <c r="QI298" s="11"/>
      <c r="QJ298" s="11"/>
      <c r="QK298" s="11"/>
      <c r="QL298" s="11"/>
      <c r="QM298" s="11"/>
      <c r="QN298" s="11"/>
      <c r="QO298" s="11"/>
      <c r="QP298" s="11"/>
      <c r="QQ298" s="11"/>
      <c r="QR298" s="11"/>
      <c r="QS298" s="11"/>
      <c r="QT298" s="11"/>
      <c r="QU298" s="11"/>
      <c r="QV298" s="11"/>
      <c r="QW298" s="11"/>
      <c r="QX298" s="11"/>
      <c r="QY298" s="11"/>
      <c r="QZ298" s="11"/>
      <c r="RA298" s="11"/>
      <c r="RB298" s="11"/>
      <c r="RC298" s="11"/>
      <c r="RD298" s="11"/>
      <c r="RE298" s="11"/>
      <c r="RF298" s="11"/>
      <c r="RG298" s="11"/>
      <c r="RH298" s="11"/>
      <c r="RI298" s="11"/>
      <c r="RJ298" s="11"/>
      <c r="RK298" s="11"/>
      <c r="RL298" s="11"/>
      <c r="RM298" s="11"/>
      <c r="RN298" s="11"/>
      <c r="RO298" s="11"/>
      <c r="RP298" s="11"/>
      <c r="RQ298" s="11"/>
      <c r="RR298" s="11"/>
      <c r="RS298" s="11"/>
      <c r="RT298" s="11"/>
      <c r="RU298" s="11"/>
      <c r="RV298" s="11"/>
      <c r="RW298" s="11"/>
      <c r="RX298" s="11"/>
      <c r="RY298" s="11"/>
      <c r="RZ298" s="11"/>
      <c r="SA298" s="11"/>
      <c r="SB298" s="11"/>
      <c r="SC298" s="11"/>
      <c r="SD298" s="11"/>
      <c r="SE298" s="11"/>
      <c r="SF298" s="11"/>
      <c r="SG298" s="11"/>
      <c r="SH298" s="11">
        <v>1</v>
      </c>
    </row>
    <row r="299" spans="1:502" x14ac:dyDescent="0.2">
      <c r="A299" s="10">
        <v>3.110560248932636E-2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>
        <v>1</v>
      </c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  <c r="OM299" s="11"/>
      <c r="ON299" s="11"/>
      <c r="OO299" s="11"/>
      <c r="OP299" s="11"/>
      <c r="OQ299" s="11"/>
      <c r="OR299" s="11"/>
      <c r="OS299" s="11"/>
      <c r="OT299" s="11"/>
      <c r="OU299" s="11"/>
      <c r="OV299" s="11"/>
      <c r="OW299" s="11"/>
      <c r="OX299" s="11"/>
      <c r="OY299" s="11"/>
      <c r="OZ299" s="11"/>
      <c r="PA299" s="11"/>
      <c r="PB299" s="11"/>
      <c r="PC299" s="11"/>
      <c r="PD299" s="11"/>
      <c r="PE299" s="11"/>
      <c r="PF299" s="11"/>
      <c r="PG299" s="11"/>
      <c r="PH299" s="11"/>
      <c r="PI299" s="11"/>
      <c r="PJ299" s="11"/>
      <c r="PK299" s="11"/>
      <c r="PL299" s="11"/>
      <c r="PM299" s="11"/>
      <c r="PN299" s="11"/>
      <c r="PO299" s="11"/>
      <c r="PP299" s="11"/>
      <c r="PQ299" s="11"/>
      <c r="PR299" s="11"/>
      <c r="PS299" s="11"/>
      <c r="PT299" s="11"/>
      <c r="PU299" s="11"/>
      <c r="PV299" s="11"/>
      <c r="PW299" s="11"/>
      <c r="PX299" s="11"/>
      <c r="PY299" s="11"/>
      <c r="PZ299" s="11"/>
      <c r="QA299" s="11"/>
      <c r="QB299" s="11"/>
      <c r="QC299" s="11"/>
      <c r="QD299" s="11"/>
      <c r="QE299" s="11"/>
      <c r="QF299" s="11"/>
      <c r="QG299" s="11"/>
      <c r="QH299" s="11"/>
      <c r="QI299" s="11"/>
      <c r="QJ299" s="11"/>
      <c r="QK299" s="11"/>
      <c r="QL299" s="11"/>
      <c r="QM299" s="11"/>
      <c r="QN299" s="11"/>
      <c r="QO299" s="11"/>
      <c r="QP299" s="11"/>
      <c r="QQ299" s="11"/>
      <c r="QR299" s="11"/>
      <c r="QS299" s="11"/>
      <c r="QT299" s="11"/>
      <c r="QU299" s="11"/>
      <c r="QV299" s="11"/>
      <c r="QW299" s="11"/>
      <c r="QX299" s="11"/>
      <c r="QY299" s="11"/>
      <c r="QZ299" s="11"/>
      <c r="RA299" s="11"/>
      <c r="RB299" s="11"/>
      <c r="RC299" s="11"/>
      <c r="RD299" s="11"/>
      <c r="RE299" s="11"/>
      <c r="RF299" s="11"/>
      <c r="RG299" s="11"/>
      <c r="RH299" s="11"/>
      <c r="RI299" s="11"/>
      <c r="RJ299" s="11"/>
      <c r="RK299" s="11"/>
      <c r="RL299" s="11"/>
      <c r="RM299" s="11"/>
      <c r="RN299" s="11"/>
      <c r="RO299" s="11"/>
      <c r="RP299" s="11"/>
      <c r="RQ299" s="11"/>
      <c r="RR299" s="11"/>
      <c r="RS299" s="11"/>
      <c r="RT299" s="11"/>
      <c r="RU299" s="11"/>
      <c r="RV299" s="11"/>
      <c r="RW299" s="11"/>
      <c r="RX299" s="11"/>
      <c r="RY299" s="11"/>
      <c r="RZ299" s="11"/>
      <c r="SA299" s="11"/>
      <c r="SB299" s="11"/>
      <c r="SC299" s="11"/>
      <c r="SD299" s="11"/>
      <c r="SE299" s="11"/>
      <c r="SF299" s="11"/>
      <c r="SG299" s="11"/>
      <c r="SH299" s="11">
        <v>1</v>
      </c>
    </row>
    <row r="300" spans="1:502" x14ac:dyDescent="0.2">
      <c r="A300" s="10">
        <v>3.1219902496720745E-2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>
        <v>1</v>
      </c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  <c r="OM300" s="11"/>
      <c r="ON300" s="11"/>
      <c r="OO300" s="11"/>
      <c r="OP300" s="11"/>
      <c r="OQ300" s="11"/>
      <c r="OR300" s="11"/>
      <c r="OS300" s="11"/>
      <c r="OT300" s="11"/>
      <c r="OU300" s="11"/>
      <c r="OV300" s="11"/>
      <c r="OW300" s="11"/>
      <c r="OX300" s="11"/>
      <c r="OY300" s="11"/>
      <c r="OZ300" s="11"/>
      <c r="PA300" s="11"/>
      <c r="PB300" s="11"/>
      <c r="PC300" s="11"/>
      <c r="PD300" s="11"/>
      <c r="PE300" s="11"/>
      <c r="PF300" s="11"/>
      <c r="PG300" s="11"/>
      <c r="PH300" s="11"/>
      <c r="PI300" s="11"/>
      <c r="PJ300" s="11"/>
      <c r="PK300" s="11"/>
      <c r="PL300" s="11"/>
      <c r="PM300" s="11"/>
      <c r="PN300" s="11"/>
      <c r="PO300" s="11"/>
      <c r="PP300" s="11"/>
      <c r="PQ300" s="11"/>
      <c r="PR300" s="11"/>
      <c r="PS300" s="11"/>
      <c r="PT300" s="11"/>
      <c r="PU300" s="11"/>
      <c r="PV300" s="11"/>
      <c r="PW300" s="11"/>
      <c r="PX300" s="11"/>
      <c r="PY300" s="11"/>
      <c r="PZ300" s="11"/>
      <c r="QA300" s="11"/>
      <c r="QB300" s="11"/>
      <c r="QC300" s="11"/>
      <c r="QD300" s="11"/>
      <c r="QE300" s="11"/>
      <c r="QF300" s="11"/>
      <c r="QG300" s="11"/>
      <c r="QH300" s="11"/>
      <c r="QI300" s="11"/>
      <c r="QJ300" s="11"/>
      <c r="QK300" s="11"/>
      <c r="QL300" s="11"/>
      <c r="QM300" s="11"/>
      <c r="QN300" s="11"/>
      <c r="QO300" s="11"/>
      <c r="QP300" s="11"/>
      <c r="QQ300" s="11"/>
      <c r="QR300" s="11"/>
      <c r="QS300" s="11"/>
      <c r="QT300" s="11"/>
      <c r="QU300" s="11"/>
      <c r="QV300" s="11"/>
      <c r="QW300" s="11"/>
      <c r="QX300" s="11"/>
      <c r="QY300" s="11"/>
      <c r="QZ300" s="11"/>
      <c r="RA300" s="11"/>
      <c r="RB300" s="11"/>
      <c r="RC300" s="11"/>
      <c r="RD300" s="11"/>
      <c r="RE300" s="11"/>
      <c r="RF300" s="11"/>
      <c r="RG300" s="11"/>
      <c r="RH300" s="11"/>
      <c r="RI300" s="11"/>
      <c r="RJ300" s="11"/>
      <c r="RK300" s="11"/>
      <c r="RL300" s="11"/>
      <c r="RM300" s="11"/>
      <c r="RN300" s="11"/>
      <c r="RO300" s="11"/>
      <c r="RP300" s="11"/>
      <c r="RQ300" s="11"/>
      <c r="RR300" s="11"/>
      <c r="RS300" s="11"/>
      <c r="RT300" s="11"/>
      <c r="RU300" s="11"/>
      <c r="RV300" s="11"/>
      <c r="RW300" s="11"/>
      <c r="RX300" s="11"/>
      <c r="RY300" s="11"/>
      <c r="RZ300" s="11"/>
      <c r="SA300" s="11"/>
      <c r="SB300" s="11"/>
      <c r="SC300" s="11"/>
      <c r="SD300" s="11"/>
      <c r="SE300" s="11"/>
      <c r="SF300" s="11"/>
      <c r="SG300" s="11"/>
      <c r="SH300" s="11">
        <v>1</v>
      </c>
    </row>
    <row r="301" spans="1:502" x14ac:dyDescent="0.2">
      <c r="A301" s="10">
        <v>3.1223121385536054E-2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>
        <v>1</v>
      </c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  <c r="OM301" s="11"/>
      <c r="ON301" s="11"/>
      <c r="OO301" s="11"/>
      <c r="OP301" s="11"/>
      <c r="OQ301" s="11"/>
      <c r="OR301" s="11"/>
      <c r="OS301" s="11"/>
      <c r="OT301" s="11"/>
      <c r="OU301" s="11"/>
      <c r="OV301" s="11"/>
      <c r="OW301" s="11"/>
      <c r="OX301" s="11"/>
      <c r="OY301" s="11"/>
      <c r="OZ301" s="11"/>
      <c r="PA301" s="11"/>
      <c r="PB301" s="11"/>
      <c r="PC301" s="11"/>
      <c r="PD301" s="11"/>
      <c r="PE301" s="11"/>
      <c r="PF301" s="11"/>
      <c r="PG301" s="11"/>
      <c r="PH301" s="11"/>
      <c r="PI301" s="11"/>
      <c r="PJ301" s="11"/>
      <c r="PK301" s="11"/>
      <c r="PL301" s="11"/>
      <c r="PM301" s="11"/>
      <c r="PN301" s="11"/>
      <c r="PO301" s="11"/>
      <c r="PP301" s="11"/>
      <c r="PQ301" s="11"/>
      <c r="PR301" s="11"/>
      <c r="PS301" s="11"/>
      <c r="PT301" s="11"/>
      <c r="PU301" s="11"/>
      <c r="PV301" s="11"/>
      <c r="PW301" s="11"/>
      <c r="PX301" s="11"/>
      <c r="PY301" s="11"/>
      <c r="PZ301" s="11"/>
      <c r="QA301" s="11"/>
      <c r="QB301" s="11"/>
      <c r="QC301" s="11"/>
      <c r="QD301" s="11"/>
      <c r="QE301" s="11"/>
      <c r="QF301" s="11"/>
      <c r="QG301" s="11"/>
      <c r="QH301" s="11"/>
      <c r="QI301" s="11"/>
      <c r="QJ301" s="11"/>
      <c r="QK301" s="11"/>
      <c r="QL301" s="11"/>
      <c r="QM301" s="11"/>
      <c r="QN301" s="11"/>
      <c r="QO301" s="11"/>
      <c r="QP301" s="11"/>
      <c r="QQ301" s="11"/>
      <c r="QR301" s="11"/>
      <c r="QS301" s="11"/>
      <c r="QT301" s="11"/>
      <c r="QU301" s="11"/>
      <c r="QV301" s="11"/>
      <c r="QW301" s="11"/>
      <c r="QX301" s="11"/>
      <c r="QY301" s="11"/>
      <c r="QZ301" s="11"/>
      <c r="RA301" s="11"/>
      <c r="RB301" s="11"/>
      <c r="RC301" s="11"/>
      <c r="RD301" s="11"/>
      <c r="RE301" s="11"/>
      <c r="RF301" s="11"/>
      <c r="RG301" s="11"/>
      <c r="RH301" s="11"/>
      <c r="RI301" s="11"/>
      <c r="RJ301" s="11"/>
      <c r="RK301" s="11"/>
      <c r="RL301" s="11"/>
      <c r="RM301" s="11"/>
      <c r="RN301" s="11"/>
      <c r="RO301" s="11"/>
      <c r="RP301" s="11"/>
      <c r="RQ301" s="11"/>
      <c r="RR301" s="11"/>
      <c r="RS301" s="11"/>
      <c r="RT301" s="11"/>
      <c r="RU301" s="11"/>
      <c r="RV301" s="11"/>
      <c r="RW301" s="11"/>
      <c r="RX301" s="11"/>
      <c r="RY301" s="11"/>
      <c r="RZ301" s="11"/>
      <c r="SA301" s="11"/>
      <c r="SB301" s="11"/>
      <c r="SC301" s="11"/>
      <c r="SD301" s="11"/>
      <c r="SE301" s="11"/>
      <c r="SF301" s="11"/>
      <c r="SG301" s="11"/>
      <c r="SH301" s="11">
        <v>1</v>
      </c>
    </row>
    <row r="302" spans="1:502" x14ac:dyDescent="0.2">
      <c r="A302" s="10">
        <v>3.1243612147481559E-2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>
        <v>1</v>
      </c>
      <c r="OF302" s="11"/>
      <c r="OG302" s="11"/>
      <c r="OH302" s="11"/>
      <c r="OI302" s="11"/>
      <c r="OJ302" s="11"/>
      <c r="OK302" s="11"/>
      <c r="OL302" s="11"/>
      <c r="OM302" s="11"/>
      <c r="ON302" s="11"/>
      <c r="OO302" s="11"/>
      <c r="OP302" s="11"/>
      <c r="OQ302" s="11"/>
      <c r="OR302" s="11"/>
      <c r="OS302" s="11"/>
      <c r="OT302" s="11"/>
      <c r="OU302" s="11"/>
      <c r="OV302" s="11"/>
      <c r="OW302" s="11"/>
      <c r="OX302" s="11"/>
      <c r="OY302" s="11"/>
      <c r="OZ302" s="11"/>
      <c r="PA302" s="11"/>
      <c r="PB302" s="11"/>
      <c r="PC302" s="11"/>
      <c r="PD302" s="11"/>
      <c r="PE302" s="11"/>
      <c r="PF302" s="11"/>
      <c r="PG302" s="11"/>
      <c r="PH302" s="11"/>
      <c r="PI302" s="11"/>
      <c r="PJ302" s="11"/>
      <c r="PK302" s="11"/>
      <c r="PL302" s="11"/>
      <c r="PM302" s="11"/>
      <c r="PN302" s="11"/>
      <c r="PO302" s="11"/>
      <c r="PP302" s="11"/>
      <c r="PQ302" s="11"/>
      <c r="PR302" s="11"/>
      <c r="PS302" s="11"/>
      <c r="PT302" s="11"/>
      <c r="PU302" s="11"/>
      <c r="PV302" s="11"/>
      <c r="PW302" s="11"/>
      <c r="PX302" s="11"/>
      <c r="PY302" s="11"/>
      <c r="PZ302" s="11"/>
      <c r="QA302" s="11"/>
      <c r="QB302" s="11"/>
      <c r="QC302" s="11"/>
      <c r="QD302" s="11"/>
      <c r="QE302" s="11"/>
      <c r="QF302" s="11"/>
      <c r="QG302" s="11"/>
      <c r="QH302" s="11"/>
      <c r="QI302" s="11"/>
      <c r="QJ302" s="11"/>
      <c r="QK302" s="11"/>
      <c r="QL302" s="11"/>
      <c r="QM302" s="11"/>
      <c r="QN302" s="11"/>
      <c r="QO302" s="11"/>
      <c r="QP302" s="11"/>
      <c r="QQ302" s="11"/>
      <c r="QR302" s="11"/>
      <c r="QS302" s="11"/>
      <c r="QT302" s="11"/>
      <c r="QU302" s="11"/>
      <c r="QV302" s="11"/>
      <c r="QW302" s="11"/>
      <c r="QX302" s="11"/>
      <c r="QY302" s="11"/>
      <c r="QZ302" s="11"/>
      <c r="RA302" s="11"/>
      <c r="RB302" s="11"/>
      <c r="RC302" s="11"/>
      <c r="RD302" s="11"/>
      <c r="RE302" s="11"/>
      <c r="RF302" s="11"/>
      <c r="RG302" s="11"/>
      <c r="RH302" s="11"/>
      <c r="RI302" s="11"/>
      <c r="RJ302" s="11"/>
      <c r="RK302" s="11"/>
      <c r="RL302" s="11"/>
      <c r="RM302" s="11"/>
      <c r="RN302" s="11"/>
      <c r="RO302" s="11"/>
      <c r="RP302" s="11"/>
      <c r="RQ302" s="11"/>
      <c r="RR302" s="11"/>
      <c r="RS302" s="11"/>
      <c r="RT302" s="11"/>
      <c r="RU302" s="11"/>
      <c r="RV302" s="11"/>
      <c r="RW302" s="11"/>
      <c r="RX302" s="11"/>
      <c r="RY302" s="11"/>
      <c r="RZ302" s="11"/>
      <c r="SA302" s="11"/>
      <c r="SB302" s="11"/>
      <c r="SC302" s="11"/>
      <c r="SD302" s="11"/>
      <c r="SE302" s="11"/>
      <c r="SF302" s="11"/>
      <c r="SG302" s="11"/>
      <c r="SH302" s="11">
        <v>1</v>
      </c>
    </row>
    <row r="303" spans="1:502" x14ac:dyDescent="0.2">
      <c r="A303" s="10">
        <v>3.1274050209119574E-2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>
        <v>1</v>
      </c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  <c r="OM303" s="11"/>
      <c r="ON303" s="11"/>
      <c r="OO303" s="11"/>
      <c r="OP303" s="11"/>
      <c r="OQ303" s="11"/>
      <c r="OR303" s="11"/>
      <c r="OS303" s="11"/>
      <c r="OT303" s="11"/>
      <c r="OU303" s="11"/>
      <c r="OV303" s="11"/>
      <c r="OW303" s="11"/>
      <c r="OX303" s="11"/>
      <c r="OY303" s="11"/>
      <c r="OZ303" s="11"/>
      <c r="PA303" s="11"/>
      <c r="PB303" s="11"/>
      <c r="PC303" s="11"/>
      <c r="PD303" s="11"/>
      <c r="PE303" s="11"/>
      <c r="PF303" s="11"/>
      <c r="PG303" s="11"/>
      <c r="PH303" s="11"/>
      <c r="PI303" s="11"/>
      <c r="PJ303" s="11"/>
      <c r="PK303" s="11"/>
      <c r="PL303" s="11"/>
      <c r="PM303" s="11"/>
      <c r="PN303" s="11"/>
      <c r="PO303" s="11"/>
      <c r="PP303" s="11"/>
      <c r="PQ303" s="11"/>
      <c r="PR303" s="11"/>
      <c r="PS303" s="11"/>
      <c r="PT303" s="11"/>
      <c r="PU303" s="11"/>
      <c r="PV303" s="11"/>
      <c r="PW303" s="11"/>
      <c r="PX303" s="11"/>
      <c r="PY303" s="11"/>
      <c r="PZ303" s="11"/>
      <c r="QA303" s="11"/>
      <c r="QB303" s="11"/>
      <c r="QC303" s="11"/>
      <c r="QD303" s="11"/>
      <c r="QE303" s="11"/>
      <c r="QF303" s="11"/>
      <c r="QG303" s="11"/>
      <c r="QH303" s="11"/>
      <c r="QI303" s="11"/>
      <c r="QJ303" s="11"/>
      <c r="QK303" s="11"/>
      <c r="QL303" s="11"/>
      <c r="QM303" s="11"/>
      <c r="QN303" s="11"/>
      <c r="QO303" s="11"/>
      <c r="QP303" s="11"/>
      <c r="QQ303" s="11"/>
      <c r="QR303" s="11"/>
      <c r="QS303" s="11"/>
      <c r="QT303" s="11"/>
      <c r="QU303" s="11"/>
      <c r="QV303" s="11"/>
      <c r="QW303" s="11"/>
      <c r="QX303" s="11"/>
      <c r="QY303" s="11"/>
      <c r="QZ303" s="11"/>
      <c r="RA303" s="11"/>
      <c r="RB303" s="11"/>
      <c r="RC303" s="11"/>
      <c r="RD303" s="11"/>
      <c r="RE303" s="11"/>
      <c r="RF303" s="11"/>
      <c r="RG303" s="11"/>
      <c r="RH303" s="11"/>
      <c r="RI303" s="11"/>
      <c r="RJ303" s="11"/>
      <c r="RK303" s="11"/>
      <c r="RL303" s="11"/>
      <c r="RM303" s="11"/>
      <c r="RN303" s="11"/>
      <c r="RO303" s="11"/>
      <c r="RP303" s="11"/>
      <c r="RQ303" s="11"/>
      <c r="RR303" s="11"/>
      <c r="RS303" s="11"/>
      <c r="RT303" s="11"/>
      <c r="RU303" s="11"/>
      <c r="RV303" s="11"/>
      <c r="RW303" s="11"/>
      <c r="RX303" s="11"/>
      <c r="RY303" s="11"/>
      <c r="RZ303" s="11"/>
      <c r="SA303" s="11"/>
      <c r="SB303" s="11"/>
      <c r="SC303" s="11"/>
      <c r="SD303" s="11"/>
      <c r="SE303" s="11"/>
      <c r="SF303" s="11"/>
      <c r="SG303" s="11"/>
      <c r="SH303" s="11">
        <v>1</v>
      </c>
    </row>
    <row r="304" spans="1:502" x14ac:dyDescent="0.2">
      <c r="A304" s="10">
        <v>3.1297697110693676E-2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>
        <v>1</v>
      </c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  <c r="OM304" s="11"/>
      <c r="ON304" s="11"/>
      <c r="OO304" s="11"/>
      <c r="OP304" s="11"/>
      <c r="OQ304" s="11"/>
      <c r="OR304" s="11"/>
      <c r="OS304" s="11"/>
      <c r="OT304" s="11"/>
      <c r="OU304" s="11"/>
      <c r="OV304" s="11"/>
      <c r="OW304" s="11"/>
      <c r="OX304" s="11"/>
      <c r="OY304" s="11"/>
      <c r="OZ304" s="11"/>
      <c r="PA304" s="11"/>
      <c r="PB304" s="11"/>
      <c r="PC304" s="11"/>
      <c r="PD304" s="11"/>
      <c r="PE304" s="11"/>
      <c r="PF304" s="11"/>
      <c r="PG304" s="11"/>
      <c r="PH304" s="11"/>
      <c r="PI304" s="11"/>
      <c r="PJ304" s="11"/>
      <c r="PK304" s="11"/>
      <c r="PL304" s="11"/>
      <c r="PM304" s="11"/>
      <c r="PN304" s="11"/>
      <c r="PO304" s="11"/>
      <c r="PP304" s="11"/>
      <c r="PQ304" s="11"/>
      <c r="PR304" s="11"/>
      <c r="PS304" s="11"/>
      <c r="PT304" s="11"/>
      <c r="PU304" s="11"/>
      <c r="PV304" s="11"/>
      <c r="PW304" s="11"/>
      <c r="PX304" s="11"/>
      <c r="PY304" s="11"/>
      <c r="PZ304" s="11"/>
      <c r="QA304" s="11"/>
      <c r="QB304" s="11"/>
      <c r="QC304" s="11"/>
      <c r="QD304" s="11"/>
      <c r="QE304" s="11"/>
      <c r="QF304" s="11"/>
      <c r="QG304" s="11"/>
      <c r="QH304" s="11"/>
      <c r="QI304" s="11"/>
      <c r="QJ304" s="11"/>
      <c r="QK304" s="11"/>
      <c r="QL304" s="11"/>
      <c r="QM304" s="11"/>
      <c r="QN304" s="11"/>
      <c r="QO304" s="11"/>
      <c r="QP304" s="11"/>
      <c r="QQ304" s="11"/>
      <c r="QR304" s="11"/>
      <c r="QS304" s="11"/>
      <c r="QT304" s="11"/>
      <c r="QU304" s="11"/>
      <c r="QV304" s="11"/>
      <c r="QW304" s="11"/>
      <c r="QX304" s="11"/>
      <c r="QY304" s="11"/>
      <c r="QZ304" s="11"/>
      <c r="RA304" s="11"/>
      <c r="RB304" s="11"/>
      <c r="RC304" s="11"/>
      <c r="RD304" s="11"/>
      <c r="RE304" s="11"/>
      <c r="RF304" s="11"/>
      <c r="RG304" s="11"/>
      <c r="RH304" s="11"/>
      <c r="RI304" s="11"/>
      <c r="RJ304" s="11"/>
      <c r="RK304" s="11"/>
      <c r="RL304" s="11"/>
      <c r="RM304" s="11"/>
      <c r="RN304" s="11"/>
      <c r="RO304" s="11"/>
      <c r="RP304" s="11"/>
      <c r="RQ304" s="11"/>
      <c r="RR304" s="11"/>
      <c r="RS304" s="11"/>
      <c r="RT304" s="11"/>
      <c r="RU304" s="11"/>
      <c r="RV304" s="11"/>
      <c r="RW304" s="11"/>
      <c r="RX304" s="11"/>
      <c r="RY304" s="11"/>
      <c r="RZ304" s="11"/>
      <c r="SA304" s="11"/>
      <c r="SB304" s="11"/>
      <c r="SC304" s="11"/>
      <c r="SD304" s="11"/>
      <c r="SE304" s="11"/>
      <c r="SF304" s="11"/>
      <c r="SG304" s="11"/>
      <c r="SH304" s="11">
        <v>1</v>
      </c>
    </row>
    <row r="305" spans="1:502" x14ac:dyDescent="0.2">
      <c r="A305" s="10">
        <v>3.1379343525264669E-2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>
        <v>1</v>
      </c>
      <c r="OL305" s="11"/>
      <c r="OM305" s="11"/>
      <c r="ON305" s="11"/>
      <c r="OO305" s="11"/>
      <c r="OP305" s="11"/>
      <c r="OQ305" s="11"/>
      <c r="OR305" s="11"/>
      <c r="OS305" s="11"/>
      <c r="OT305" s="11"/>
      <c r="OU305" s="11"/>
      <c r="OV305" s="11"/>
      <c r="OW305" s="11"/>
      <c r="OX305" s="11"/>
      <c r="OY305" s="11"/>
      <c r="OZ305" s="11"/>
      <c r="PA305" s="11"/>
      <c r="PB305" s="11"/>
      <c r="PC305" s="11"/>
      <c r="PD305" s="11"/>
      <c r="PE305" s="11"/>
      <c r="PF305" s="11"/>
      <c r="PG305" s="11"/>
      <c r="PH305" s="11"/>
      <c r="PI305" s="11"/>
      <c r="PJ305" s="11"/>
      <c r="PK305" s="11"/>
      <c r="PL305" s="11"/>
      <c r="PM305" s="11"/>
      <c r="PN305" s="11"/>
      <c r="PO305" s="11"/>
      <c r="PP305" s="11"/>
      <c r="PQ305" s="11"/>
      <c r="PR305" s="11"/>
      <c r="PS305" s="11"/>
      <c r="PT305" s="11"/>
      <c r="PU305" s="11"/>
      <c r="PV305" s="11"/>
      <c r="PW305" s="11"/>
      <c r="PX305" s="11"/>
      <c r="PY305" s="11"/>
      <c r="PZ305" s="11"/>
      <c r="QA305" s="11"/>
      <c r="QB305" s="11"/>
      <c r="QC305" s="11"/>
      <c r="QD305" s="11"/>
      <c r="QE305" s="11"/>
      <c r="QF305" s="11"/>
      <c r="QG305" s="11"/>
      <c r="QH305" s="11"/>
      <c r="QI305" s="11"/>
      <c r="QJ305" s="11"/>
      <c r="QK305" s="11"/>
      <c r="QL305" s="11"/>
      <c r="QM305" s="11"/>
      <c r="QN305" s="11"/>
      <c r="QO305" s="11"/>
      <c r="QP305" s="11"/>
      <c r="QQ305" s="11"/>
      <c r="QR305" s="11"/>
      <c r="QS305" s="11"/>
      <c r="QT305" s="11"/>
      <c r="QU305" s="11"/>
      <c r="QV305" s="11"/>
      <c r="QW305" s="11"/>
      <c r="QX305" s="11"/>
      <c r="QY305" s="11"/>
      <c r="QZ305" s="11"/>
      <c r="RA305" s="11"/>
      <c r="RB305" s="11"/>
      <c r="RC305" s="11"/>
      <c r="RD305" s="11"/>
      <c r="RE305" s="11"/>
      <c r="RF305" s="11"/>
      <c r="RG305" s="11"/>
      <c r="RH305" s="11"/>
      <c r="RI305" s="11"/>
      <c r="RJ305" s="11"/>
      <c r="RK305" s="11"/>
      <c r="RL305" s="11"/>
      <c r="RM305" s="11"/>
      <c r="RN305" s="11"/>
      <c r="RO305" s="11"/>
      <c r="RP305" s="11"/>
      <c r="RQ305" s="11"/>
      <c r="RR305" s="11"/>
      <c r="RS305" s="11"/>
      <c r="RT305" s="11"/>
      <c r="RU305" s="11"/>
      <c r="RV305" s="11"/>
      <c r="RW305" s="11"/>
      <c r="RX305" s="11"/>
      <c r="RY305" s="11"/>
      <c r="RZ305" s="11"/>
      <c r="SA305" s="11"/>
      <c r="SB305" s="11"/>
      <c r="SC305" s="11"/>
      <c r="SD305" s="11"/>
      <c r="SE305" s="11"/>
      <c r="SF305" s="11"/>
      <c r="SG305" s="11"/>
      <c r="SH305" s="11">
        <v>1</v>
      </c>
    </row>
    <row r="306" spans="1:502" x14ac:dyDescent="0.2">
      <c r="A306" s="10">
        <v>3.1439188130954115E-2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>
        <v>1</v>
      </c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  <c r="OM306" s="11"/>
      <c r="ON306" s="11"/>
      <c r="OO306" s="11"/>
      <c r="OP306" s="11"/>
      <c r="OQ306" s="11"/>
      <c r="OR306" s="11"/>
      <c r="OS306" s="11"/>
      <c r="OT306" s="11"/>
      <c r="OU306" s="11"/>
      <c r="OV306" s="11"/>
      <c r="OW306" s="11"/>
      <c r="OX306" s="11"/>
      <c r="OY306" s="11"/>
      <c r="OZ306" s="11"/>
      <c r="PA306" s="11"/>
      <c r="PB306" s="11"/>
      <c r="PC306" s="11"/>
      <c r="PD306" s="11"/>
      <c r="PE306" s="11"/>
      <c r="PF306" s="11"/>
      <c r="PG306" s="11"/>
      <c r="PH306" s="11"/>
      <c r="PI306" s="11"/>
      <c r="PJ306" s="11"/>
      <c r="PK306" s="11"/>
      <c r="PL306" s="11"/>
      <c r="PM306" s="11"/>
      <c r="PN306" s="11"/>
      <c r="PO306" s="11"/>
      <c r="PP306" s="11"/>
      <c r="PQ306" s="11"/>
      <c r="PR306" s="11"/>
      <c r="PS306" s="11"/>
      <c r="PT306" s="11"/>
      <c r="PU306" s="11"/>
      <c r="PV306" s="11"/>
      <c r="PW306" s="11"/>
      <c r="PX306" s="11"/>
      <c r="PY306" s="11"/>
      <c r="PZ306" s="11"/>
      <c r="QA306" s="11"/>
      <c r="QB306" s="11"/>
      <c r="QC306" s="11"/>
      <c r="QD306" s="11"/>
      <c r="QE306" s="11"/>
      <c r="QF306" s="11"/>
      <c r="QG306" s="11"/>
      <c r="QH306" s="11"/>
      <c r="QI306" s="11"/>
      <c r="QJ306" s="11"/>
      <c r="QK306" s="11"/>
      <c r="QL306" s="11"/>
      <c r="QM306" s="11"/>
      <c r="QN306" s="11"/>
      <c r="QO306" s="11"/>
      <c r="QP306" s="11"/>
      <c r="QQ306" s="11"/>
      <c r="QR306" s="11"/>
      <c r="QS306" s="11"/>
      <c r="QT306" s="11"/>
      <c r="QU306" s="11"/>
      <c r="QV306" s="11"/>
      <c r="QW306" s="11"/>
      <c r="QX306" s="11"/>
      <c r="QY306" s="11"/>
      <c r="QZ306" s="11"/>
      <c r="RA306" s="11"/>
      <c r="RB306" s="11"/>
      <c r="RC306" s="11"/>
      <c r="RD306" s="11"/>
      <c r="RE306" s="11"/>
      <c r="RF306" s="11"/>
      <c r="RG306" s="11"/>
      <c r="RH306" s="11"/>
      <c r="RI306" s="11"/>
      <c r="RJ306" s="11"/>
      <c r="RK306" s="11"/>
      <c r="RL306" s="11"/>
      <c r="RM306" s="11"/>
      <c r="RN306" s="11"/>
      <c r="RO306" s="11"/>
      <c r="RP306" s="11"/>
      <c r="RQ306" s="11"/>
      <c r="RR306" s="11"/>
      <c r="RS306" s="11"/>
      <c r="RT306" s="11"/>
      <c r="RU306" s="11"/>
      <c r="RV306" s="11"/>
      <c r="RW306" s="11"/>
      <c r="RX306" s="11"/>
      <c r="RY306" s="11"/>
      <c r="RZ306" s="11"/>
      <c r="SA306" s="11"/>
      <c r="SB306" s="11"/>
      <c r="SC306" s="11"/>
      <c r="SD306" s="11"/>
      <c r="SE306" s="11"/>
      <c r="SF306" s="11"/>
      <c r="SG306" s="11"/>
      <c r="SH306" s="11">
        <v>1</v>
      </c>
    </row>
    <row r="307" spans="1:502" x14ac:dyDescent="0.2">
      <c r="A307" s="10">
        <v>3.1691845016443197E-2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>
        <v>1</v>
      </c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  <c r="OM307" s="11"/>
      <c r="ON307" s="11"/>
      <c r="OO307" s="11"/>
      <c r="OP307" s="11"/>
      <c r="OQ307" s="11"/>
      <c r="OR307" s="11"/>
      <c r="OS307" s="11"/>
      <c r="OT307" s="11"/>
      <c r="OU307" s="11"/>
      <c r="OV307" s="11"/>
      <c r="OW307" s="11"/>
      <c r="OX307" s="11"/>
      <c r="OY307" s="11"/>
      <c r="OZ307" s="11"/>
      <c r="PA307" s="11"/>
      <c r="PB307" s="11"/>
      <c r="PC307" s="11"/>
      <c r="PD307" s="11"/>
      <c r="PE307" s="11"/>
      <c r="PF307" s="11"/>
      <c r="PG307" s="11"/>
      <c r="PH307" s="11"/>
      <c r="PI307" s="11"/>
      <c r="PJ307" s="11"/>
      <c r="PK307" s="11"/>
      <c r="PL307" s="11"/>
      <c r="PM307" s="11"/>
      <c r="PN307" s="11"/>
      <c r="PO307" s="11"/>
      <c r="PP307" s="11"/>
      <c r="PQ307" s="11"/>
      <c r="PR307" s="11"/>
      <c r="PS307" s="11"/>
      <c r="PT307" s="11"/>
      <c r="PU307" s="11"/>
      <c r="PV307" s="11"/>
      <c r="PW307" s="11"/>
      <c r="PX307" s="11"/>
      <c r="PY307" s="11"/>
      <c r="PZ307" s="11"/>
      <c r="QA307" s="11"/>
      <c r="QB307" s="11"/>
      <c r="QC307" s="11"/>
      <c r="QD307" s="11"/>
      <c r="QE307" s="11"/>
      <c r="QF307" s="11"/>
      <c r="QG307" s="11"/>
      <c r="QH307" s="11"/>
      <c r="QI307" s="11"/>
      <c r="QJ307" s="11"/>
      <c r="QK307" s="11"/>
      <c r="QL307" s="11"/>
      <c r="QM307" s="11"/>
      <c r="QN307" s="11"/>
      <c r="QO307" s="11"/>
      <c r="QP307" s="11"/>
      <c r="QQ307" s="11"/>
      <c r="QR307" s="11"/>
      <c r="QS307" s="11"/>
      <c r="QT307" s="11"/>
      <c r="QU307" s="11"/>
      <c r="QV307" s="11"/>
      <c r="QW307" s="11"/>
      <c r="QX307" s="11"/>
      <c r="QY307" s="11"/>
      <c r="QZ307" s="11"/>
      <c r="RA307" s="11"/>
      <c r="RB307" s="11"/>
      <c r="RC307" s="11"/>
      <c r="RD307" s="11"/>
      <c r="RE307" s="11"/>
      <c r="RF307" s="11"/>
      <c r="RG307" s="11"/>
      <c r="RH307" s="11"/>
      <c r="RI307" s="11"/>
      <c r="RJ307" s="11"/>
      <c r="RK307" s="11"/>
      <c r="RL307" s="11"/>
      <c r="RM307" s="11"/>
      <c r="RN307" s="11"/>
      <c r="RO307" s="11"/>
      <c r="RP307" s="11"/>
      <c r="RQ307" s="11"/>
      <c r="RR307" s="11"/>
      <c r="RS307" s="11"/>
      <c r="RT307" s="11"/>
      <c r="RU307" s="11"/>
      <c r="RV307" s="11"/>
      <c r="RW307" s="11"/>
      <c r="RX307" s="11"/>
      <c r="RY307" s="11"/>
      <c r="RZ307" s="11"/>
      <c r="SA307" s="11"/>
      <c r="SB307" s="11"/>
      <c r="SC307" s="11"/>
      <c r="SD307" s="11"/>
      <c r="SE307" s="11"/>
      <c r="SF307" s="11"/>
      <c r="SG307" s="11"/>
      <c r="SH307" s="11">
        <v>1</v>
      </c>
    </row>
    <row r="308" spans="1:502" x14ac:dyDescent="0.2">
      <c r="A308" s="10">
        <v>3.1708701130245334E-2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>
        <v>1</v>
      </c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  <c r="OM308" s="11"/>
      <c r="ON308" s="11"/>
      <c r="OO308" s="11"/>
      <c r="OP308" s="11"/>
      <c r="OQ308" s="11"/>
      <c r="OR308" s="11"/>
      <c r="OS308" s="11"/>
      <c r="OT308" s="11"/>
      <c r="OU308" s="11"/>
      <c r="OV308" s="11"/>
      <c r="OW308" s="11"/>
      <c r="OX308" s="11"/>
      <c r="OY308" s="11"/>
      <c r="OZ308" s="11"/>
      <c r="PA308" s="11"/>
      <c r="PB308" s="11"/>
      <c r="PC308" s="11"/>
      <c r="PD308" s="11"/>
      <c r="PE308" s="11"/>
      <c r="PF308" s="11"/>
      <c r="PG308" s="11"/>
      <c r="PH308" s="11"/>
      <c r="PI308" s="11"/>
      <c r="PJ308" s="11"/>
      <c r="PK308" s="11"/>
      <c r="PL308" s="11"/>
      <c r="PM308" s="11"/>
      <c r="PN308" s="11"/>
      <c r="PO308" s="11"/>
      <c r="PP308" s="11"/>
      <c r="PQ308" s="11"/>
      <c r="PR308" s="11"/>
      <c r="PS308" s="11"/>
      <c r="PT308" s="11"/>
      <c r="PU308" s="11"/>
      <c r="PV308" s="11"/>
      <c r="PW308" s="11"/>
      <c r="PX308" s="11"/>
      <c r="PY308" s="11"/>
      <c r="PZ308" s="11"/>
      <c r="QA308" s="11"/>
      <c r="QB308" s="11"/>
      <c r="QC308" s="11"/>
      <c r="QD308" s="11"/>
      <c r="QE308" s="11"/>
      <c r="QF308" s="11"/>
      <c r="QG308" s="11"/>
      <c r="QH308" s="11"/>
      <c r="QI308" s="11"/>
      <c r="QJ308" s="11"/>
      <c r="QK308" s="11"/>
      <c r="QL308" s="11"/>
      <c r="QM308" s="11"/>
      <c r="QN308" s="11"/>
      <c r="QO308" s="11"/>
      <c r="QP308" s="11"/>
      <c r="QQ308" s="11"/>
      <c r="QR308" s="11"/>
      <c r="QS308" s="11"/>
      <c r="QT308" s="11"/>
      <c r="QU308" s="11"/>
      <c r="QV308" s="11"/>
      <c r="QW308" s="11"/>
      <c r="QX308" s="11"/>
      <c r="QY308" s="11"/>
      <c r="QZ308" s="11"/>
      <c r="RA308" s="11"/>
      <c r="RB308" s="11"/>
      <c r="RC308" s="11"/>
      <c r="RD308" s="11"/>
      <c r="RE308" s="11"/>
      <c r="RF308" s="11"/>
      <c r="RG308" s="11"/>
      <c r="RH308" s="11"/>
      <c r="RI308" s="11"/>
      <c r="RJ308" s="11"/>
      <c r="RK308" s="11"/>
      <c r="RL308" s="11"/>
      <c r="RM308" s="11"/>
      <c r="RN308" s="11"/>
      <c r="RO308" s="11"/>
      <c r="RP308" s="11"/>
      <c r="RQ308" s="11"/>
      <c r="RR308" s="11"/>
      <c r="RS308" s="11"/>
      <c r="RT308" s="11"/>
      <c r="RU308" s="11"/>
      <c r="RV308" s="11"/>
      <c r="RW308" s="11"/>
      <c r="RX308" s="11"/>
      <c r="RY308" s="11"/>
      <c r="RZ308" s="11"/>
      <c r="SA308" s="11"/>
      <c r="SB308" s="11"/>
      <c r="SC308" s="11"/>
      <c r="SD308" s="11"/>
      <c r="SE308" s="11"/>
      <c r="SF308" s="11"/>
      <c r="SG308" s="11"/>
      <c r="SH308" s="11">
        <v>1</v>
      </c>
    </row>
    <row r="309" spans="1:502" x14ac:dyDescent="0.2">
      <c r="A309" s="10">
        <v>3.1877907953336435E-2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>
        <v>1</v>
      </c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  <c r="OM309" s="11"/>
      <c r="ON309" s="11"/>
      <c r="OO309" s="11"/>
      <c r="OP309" s="11"/>
      <c r="OQ309" s="11"/>
      <c r="OR309" s="11"/>
      <c r="OS309" s="11"/>
      <c r="OT309" s="11"/>
      <c r="OU309" s="11"/>
      <c r="OV309" s="11"/>
      <c r="OW309" s="11"/>
      <c r="OX309" s="11"/>
      <c r="OY309" s="11"/>
      <c r="OZ309" s="11"/>
      <c r="PA309" s="11"/>
      <c r="PB309" s="11"/>
      <c r="PC309" s="11"/>
      <c r="PD309" s="11"/>
      <c r="PE309" s="11"/>
      <c r="PF309" s="11"/>
      <c r="PG309" s="11"/>
      <c r="PH309" s="11"/>
      <c r="PI309" s="11"/>
      <c r="PJ309" s="11"/>
      <c r="PK309" s="11"/>
      <c r="PL309" s="11"/>
      <c r="PM309" s="11"/>
      <c r="PN309" s="11"/>
      <c r="PO309" s="11"/>
      <c r="PP309" s="11"/>
      <c r="PQ309" s="11"/>
      <c r="PR309" s="11"/>
      <c r="PS309" s="11"/>
      <c r="PT309" s="11"/>
      <c r="PU309" s="11"/>
      <c r="PV309" s="11"/>
      <c r="PW309" s="11"/>
      <c r="PX309" s="11"/>
      <c r="PY309" s="11"/>
      <c r="PZ309" s="11"/>
      <c r="QA309" s="11"/>
      <c r="QB309" s="11"/>
      <c r="QC309" s="11"/>
      <c r="QD309" s="11"/>
      <c r="QE309" s="11"/>
      <c r="QF309" s="11"/>
      <c r="QG309" s="11"/>
      <c r="QH309" s="11"/>
      <c r="QI309" s="11"/>
      <c r="QJ309" s="11"/>
      <c r="QK309" s="11"/>
      <c r="QL309" s="11"/>
      <c r="QM309" s="11"/>
      <c r="QN309" s="11"/>
      <c r="QO309" s="11"/>
      <c r="QP309" s="11"/>
      <c r="QQ309" s="11"/>
      <c r="QR309" s="11"/>
      <c r="QS309" s="11"/>
      <c r="QT309" s="11"/>
      <c r="QU309" s="11"/>
      <c r="QV309" s="11"/>
      <c r="QW309" s="11"/>
      <c r="QX309" s="11"/>
      <c r="QY309" s="11"/>
      <c r="QZ309" s="11"/>
      <c r="RA309" s="11"/>
      <c r="RB309" s="11"/>
      <c r="RC309" s="11"/>
      <c r="RD309" s="11"/>
      <c r="RE309" s="11"/>
      <c r="RF309" s="11"/>
      <c r="RG309" s="11"/>
      <c r="RH309" s="11"/>
      <c r="RI309" s="11"/>
      <c r="RJ309" s="11"/>
      <c r="RK309" s="11"/>
      <c r="RL309" s="11"/>
      <c r="RM309" s="11"/>
      <c r="RN309" s="11"/>
      <c r="RO309" s="11"/>
      <c r="RP309" s="11"/>
      <c r="RQ309" s="11"/>
      <c r="RR309" s="11"/>
      <c r="RS309" s="11"/>
      <c r="RT309" s="11"/>
      <c r="RU309" s="11"/>
      <c r="RV309" s="11"/>
      <c r="RW309" s="11"/>
      <c r="RX309" s="11"/>
      <c r="RY309" s="11"/>
      <c r="RZ309" s="11"/>
      <c r="SA309" s="11"/>
      <c r="SB309" s="11"/>
      <c r="SC309" s="11"/>
      <c r="SD309" s="11"/>
      <c r="SE309" s="11"/>
      <c r="SF309" s="11"/>
      <c r="SG309" s="11"/>
      <c r="SH309" s="11">
        <v>1</v>
      </c>
    </row>
    <row r="310" spans="1:502" x14ac:dyDescent="0.2">
      <c r="A310" s="10">
        <v>3.2128594267158098E-2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>
        <v>1</v>
      </c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  <c r="OM310" s="11"/>
      <c r="ON310" s="11"/>
      <c r="OO310" s="11"/>
      <c r="OP310" s="11"/>
      <c r="OQ310" s="11"/>
      <c r="OR310" s="11"/>
      <c r="OS310" s="11"/>
      <c r="OT310" s="11"/>
      <c r="OU310" s="11"/>
      <c r="OV310" s="11"/>
      <c r="OW310" s="11"/>
      <c r="OX310" s="11"/>
      <c r="OY310" s="11"/>
      <c r="OZ310" s="11"/>
      <c r="PA310" s="11"/>
      <c r="PB310" s="11"/>
      <c r="PC310" s="11"/>
      <c r="PD310" s="11"/>
      <c r="PE310" s="11"/>
      <c r="PF310" s="11"/>
      <c r="PG310" s="11"/>
      <c r="PH310" s="11"/>
      <c r="PI310" s="11"/>
      <c r="PJ310" s="11"/>
      <c r="PK310" s="11"/>
      <c r="PL310" s="11"/>
      <c r="PM310" s="11"/>
      <c r="PN310" s="11"/>
      <c r="PO310" s="11"/>
      <c r="PP310" s="11"/>
      <c r="PQ310" s="11"/>
      <c r="PR310" s="11"/>
      <c r="PS310" s="11"/>
      <c r="PT310" s="11"/>
      <c r="PU310" s="11"/>
      <c r="PV310" s="11"/>
      <c r="PW310" s="11"/>
      <c r="PX310" s="11"/>
      <c r="PY310" s="11"/>
      <c r="PZ310" s="11"/>
      <c r="QA310" s="11"/>
      <c r="QB310" s="11"/>
      <c r="QC310" s="11"/>
      <c r="QD310" s="11"/>
      <c r="QE310" s="11"/>
      <c r="QF310" s="11"/>
      <c r="QG310" s="11"/>
      <c r="QH310" s="11"/>
      <c r="QI310" s="11"/>
      <c r="QJ310" s="11"/>
      <c r="QK310" s="11"/>
      <c r="QL310" s="11"/>
      <c r="QM310" s="11"/>
      <c r="QN310" s="11"/>
      <c r="QO310" s="11"/>
      <c r="QP310" s="11"/>
      <c r="QQ310" s="11"/>
      <c r="QR310" s="11"/>
      <c r="QS310" s="11"/>
      <c r="QT310" s="11"/>
      <c r="QU310" s="11"/>
      <c r="QV310" s="11"/>
      <c r="QW310" s="11"/>
      <c r="QX310" s="11"/>
      <c r="QY310" s="11"/>
      <c r="QZ310" s="11"/>
      <c r="RA310" s="11"/>
      <c r="RB310" s="11"/>
      <c r="RC310" s="11"/>
      <c r="RD310" s="11"/>
      <c r="RE310" s="11"/>
      <c r="RF310" s="11"/>
      <c r="RG310" s="11"/>
      <c r="RH310" s="11"/>
      <c r="RI310" s="11"/>
      <c r="RJ310" s="11"/>
      <c r="RK310" s="11"/>
      <c r="RL310" s="11"/>
      <c r="RM310" s="11"/>
      <c r="RN310" s="11"/>
      <c r="RO310" s="11"/>
      <c r="RP310" s="11"/>
      <c r="RQ310" s="11"/>
      <c r="RR310" s="11"/>
      <c r="RS310" s="11"/>
      <c r="RT310" s="11"/>
      <c r="RU310" s="11"/>
      <c r="RV310" s="11"/>
      <c r="RW310" s="11"/>
      <c r="RX310" s="11"/>
      <c r="RY310" s="11"/>
      <c r="RZ310" s="11"/>
      <c r="SA310" s="11"/>
      <c r="SB310" s="11"/>
      <c r="SC310" s="11"/>
      <c r="SD310" s="11"/>
      <c r="SE310" s="11"/>
      <c r="SF310" s="11"/>
      <c r="SG310" s="11"/>
      <c r="SH310" s="11">
        <v>1</v>
      </c>
    </row>
    <row r="311" spans="1:502" x14ac:dyDescent="0.2">
      <c r="A311" s="10">
        <v>3.2286047457386578E-2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>
        <v>1</v>
      </c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  <c r="OM311" s="11"/>
      <c r="ON311" s="11"/>
      <c r="OO311" s="11"/>
      <c r="OP311" s="11"/>
      <c r="OQ311" s="11"/>
      <c r="OR311" s="11"/>
      <c r="OS311" s="11"/>
      <c r="OT311" s="11"/>
      <c r="OU311" s="11"/>
      <c r="OV311" s="11"/>
      <c r="OW311" s="11"/>
      <c r="OX311" s="11"/>
      <c r="OY311" s="11"/>
      <c r="OZ311" s="11"/>
      <c r="PA311" s="11"/>
      <c r="PB311" s="11"/>
      <c r="PC311" s="11"/>
      <c r="PD311" s="11"/>
      <c r="PE311" s="11"/>
      <c r="PF311" s="11"/>
      <c r="PG311" s="11"/>
      <c r="PH311" s="11"/>
      <c r="PI311" s="11"/>
      <c r="PJ311" s="11"/>
      <c r="PK311" s="11"/>
      <c r="PL311" s="11"/>
      <c r="PM311" s="11"/>
      <c r="PN311" s="11"/>
      <c r="PO311" s="11"/>
      <c r="PP311" s="11"/>
      <c r="PQ311" s="11"/>
      <c r="PR311" s="11"/>
      <c r="PS311" s="11"/>
      <c r="PT311" s="11"/>
      <c r="PU311" s="11"/>
      <c r="PV311" s="11"/>
      <c r="PW311" s="11"/>
      <c r="PX311" s="11"/>
      <c r="PY311" s="11"/>
      <c r="PZ311" s="11"/>
      <c r="QA311" s="11"/>
      <c r="QB311" s="11"/>
      <c r="QC311" s="11"/>
      <c r="QD311" s="11"/>
      <c r="QE311" s="11"/>
      <c r="QF311" s="11"/>
      <c r="QG311" s="11"/>
      <c r="QH311" s="11"/>
      <c r="QI311" s="11"/>
      <c r="QJ311" s="11"/>
      <c r="QK311" s="11"/>
      <c r="QL311" s="11"/>
      <c r="QM311" s="11"/>
      <c r="QN311" s="11"/>
      <c r="QO311" s="11"/>
      <c r="QP311" s="11"/>
      <c r="QQ311" s="11"/>
      <c r="QR311" s="11"/>
      <c r="QS311" s="11"/>
      <c r="QT311" s="11"/>
      <c r="QU311" s="11"/>
      <c r="QV311" s="11"/>
      <c r="QW311" s="11"/>
      <c r="QX311" s="11"/>
      <c r="QY311" s="11"/>
      <c r="QZ311" s="11"/>
      <c r="RA311" s="11"/>
      <c r="RB311" s="11"/>
      <c r="RC311" s="11"/>
      <c r="RD311" s="11"/>
      <c r="RE311" s="11"/>
      <c r="RF311" s="11"/>
      <c r="RG311" s="11"/>
      <c r="RH311" s="11"/>
      <c r="RI311" s="11"/>
      <c r="RJ311" s="11"/>
      <c r="RK311" s="11"/>
      <c r="RL311" s="11"/>
      <c r="RM311" s="11"/>
      <c r="RN311" s="11"/>
      <c r="RO311" s="11"/>
      <c r="RP311" s="11"/>
      <c r="RQ311" s="11"/>
      <c r="RR311" s="11"/>
      <c r="RS311" s="11"/>
      <c r="RT311" s="11"/>
      <c r="RU311" s="11"/>
      <c r="RV311" s="11"/>
      <c r="RW311" s="11"/>
      <c r="RX311" s="11"/>
      <c r="RY311" s="11"/>
      <c r="RZ311" s="11"/>
      <c r="SA311" s="11"/>
      <c r="SB311" s="11"/>
      <c r="SC311" s="11"/>
      <c r="SD311" s="11"/>
      <c r="SE311" s="11"/>
      <c r="SF311" s="11"/>
      <c r="SG311" s="11"/>
      <c r="SH311" s="11">
        <v>1</v>
      </c>
    </row>
    <row r="312" spans="1:502" x14ac:dyDescent="0.2">
      <c r="A312" s="10">
        <v>3.2374863466385892E-2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>
        <v>1</v>
      </c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  <c r="OM312" s="11"/>
      <c r="ON312" s="11"/>
      <c r="OO312" s="11"/>
      <c r="OP312" s="11"/>
      <c r="OQ312" s="11"/>
      <c r="OR312" s="11"/>
      <c r="OS312" s="11"/>
      <c r="OT312" s="11"/>
      <c r="OU312" s="11"/>
      <c r="OV312" s="11"/>
      <c r="OW312" s="11"/>
      <c r="OX312" s="11"/>
      <c r="OY312" s="11"/>
      <c r="OZ312" s="11"/>
      <c r="PA312" s="11"/>
      <c r="PB312" s="11"/>
      <c r="PC312" s="11"/>
      <c r="PD312" s="11"/>
      <c r="PE312" s="11"/>
      <c r="PF312" s="11"/>
      <c r="PG312" s="11"/>
      <c r="PH312" s="11"/>
      <c r="PI312" s="11"/>
      <c r="PJ312" s="11"/>
      <c r="PK312" s="11"/>
      <c r="PL312" s="11"/>
      <c r="PM312" s="11"/>
      <c r="PN312" s="11"/>
      <c r="PO312" s="11"/>
      <c r="PP312" s="11"/>
      <c r="PQ312" s="11"/>
      <c r="PR312" s="11"/>
      <c r="PS312" s="11"/>
      <c r="PT312" s="11"/>
      <c r="PU312" s="11"/>
      <c r="PV312" s="11"/>
      <c r="PW312" s="11"/>
      <c r="PX312" s="11"/>
      <c r="PY312" s="11"/>
      <c r="PZ312" s="11"/>
      <c r="QA312" s="11"/>
      <c r="QB312" s="11"/>
      <c r="QC312" s="11"/>
      <c r="QD312" s="11"/>
      <c r="QE312" s="11"/>
      <c r="QF312" s="11"/>
      <c r="QG312" s="11"/>
      <c r="QH312" s="11"/>
      <c r="QI312" s="11"/>
      <c r="QJ312" s="11"/>
      <c r="QK312" s="11"/>
      <c r="QL312" s="11"/>
      <c r="QM312" s="11"/>
      <c r="QN312" s="11"/>
      <c r="QO312" s="11"/>
      <c r="QP312" s="11"/>
      <c r="QQ312" s="11"/>
      <c r="QR312" s="11"/>
      <c r="QS312" s="11"/>
      <c r="QT312" s="11"/>
      <c r="QU312" s="11"/>
      <c r="QV312" s="11"/>
      <c r="QW312" s="11"/>
      <c r="QX312" s="11"/>
      <c r="QY312" s="11"/>
      <c r="QZ312" s="11"/>
      <c r="RA312" s="11"/>
      <c r="RB312" s="11"/>
      <c r="RC312" s="11"/>
      <c r="RD312" s="11"/>
      <c r="RE312" s="11"/>
      <c r="RF312" s="11"/>
      <c r="RG312" s="11"/>
      <c r="RH312" s="11"/>
      <c r="RI312" s="11"/>
      <c r="RJ312" s="11"/>
      <c r="RK312" s="11"/>
      <c r="RL312" s="11"/>
      <c r="RM312" s="11"/>
      <c r="RN312" s="11"/>
      <c r="RO312" s="11"/>
      <c r="RP312" s="11"/>
      <c r="RQ312" s="11"/>
      <c r="RR312" s="11"/>
      <c r="RS312" s="11"/>
      <c r="RT312" s="11"/>
      <c r="RU312" s="11"/>
      <c r="RV312" s="11"/>
      <c r="RW312" s="11"/>
      <c r="RX312" s="11"/>
      <c r="RY312" s="11"/>
      <c r="RZ312" s="11"/>
      <c r="SA312" s="11"/>
      <c r="SB312" s="11"/>
      <c r="SC312" s="11"/>
      <c r="SD312" s="11"/>
      <c r="SE312" s="11"/>
      <c r="SF312" s="11"/>
      <c r="SG312" s="11"/>
      <c r="SH312" s="11">
        <v>1</v>
      </c>
    </row>
    <row r="313" spans="1:502" x14ac:dyDescent="0.2">
      <c r="A313" s="10">
        <v>3.2466815557541544E-2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>
        <v>1</v>
      </c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  <c r="OM313" s="11"/>
      <c r="ON313" s="11"/>
      <c r="OO313" s="11"/>
      <c r="OP313" s="11"/>
      <c r="OQ313" s="11"/>
      <c r="OR313" s="11"/>
      <c r="OS313" s="11"/>
      <c r="OT313" s="11"/>
      <c r="OU313" s="11"/>
      <c r="OV313" s="11"/>
      <c r="OW313" s="11"/>
      <c r="OX313" s="11"/>
      <c r="OY313" s="11"/>
      <c r="OZ313" s="11"/>
      <c r="PA313" s="11"/>
      <c r="PB313" s="11"/>
      <c r="PC313" s="11"/>
      <c r="PD313" s="11"/>
      <c r="PE313" s="11"/>
      <c r="PF313" s="11"/>
      <c r="PG313" s="11"/>
      <c r="PH313" s="11"/>
      <c r="PI313" s="11"/>
      <c r="PJ313" s="11"/>
      <c r="PK313" s="11"/>
      <c r="PL313" s="11"/>
      <c r="PM313" s="11"/>
      <c r="PN313" s="11"/>
      <c r="PO313" s="11"/>
      <c r="PP313" s="11"/>
      <c r="PQ313" s="11"/>
      <c r="PR313" s="11"/>
      <c r="PS313" s="11"/>
      <c r="PT313" s="11"/>
      <c r="PU313" s="11"/>
      <c r="PV313" s="11"/>
      <c r="PW313" s="11"/>
      <c r="PX313" s="11"/>
      <c r="PY313" s="11"/>
      <c r="PZ313" s="11"/>
      <c r="QA313" s="11"/>
      <c r="QB313" s="11"/>
      <c r="QC313" s="11"/>
      <c r="QD313" s="11"/>
      <c r="QE313" s="11"/>
      <c r="QF313" s="11"/>
      <c r="QG313" s="11"/>
      <c r="QH313" s="11"/>
      <c r="QI313" s="11"/>
      <c r="QJ313" s="11"/>
      <c r="QK313" s="11"/>
      <c r="QL313" s="11"/>
      <c r="QM313" s="11"/>
      <c r="QN313" s="11"/>
      <c r="QO313" s="11"/>
      <c r="QP313" s="11"/>
      <c r="QQ313" s="11"/>
      <c r="QR313" s="11"/>
      <c r="QS313" s="11"/>
      <c r="QT313" s="11"/>
      <c r="QU313" s="11"/>
      <c r="QV313" s="11"/>
      <c r="QW313" s="11"/>
      <c r="QX313" s="11"/>
      <c r="QY313" s="11"/>
      <c r="QZ313" s="11"/>
      <c r="RA313" s="11"/>
      <c r="RB313" s="11"/>
      <c r="RC313" s="11"/>
      <c r="RD313" s="11"/>
      <c r="RE313" s="11"/>
      <c r="RF313" s="11"/>
      <c r="RG313" s="11"/>
      <c r="RH313" s="11"/>
      <c r="RI313" s="11"/>
      <c r="RJ313" s="11"/>
      <c r="RK313" s="11"/>
      <c r="RL313" s="11"/>
      <c r="RM313" s="11"/>
      <c r="RN313" s="11"/>
      <c r="RO313" s="11"/>
      <c r="RP313" s="11"/>
      <c r="RQ313" s="11"/>
      <c r="RR313" s="11"/>
      <c r="RS313" s="11"/>
      <c r="RT313" s="11"/>
      <c r="RU313" s="11"/>
      <c r="RV313" s="11"/>
      <c r="RW313" s="11"/>
      <c r="RX313" s="11"/>
      <c r="RY313" s="11"/>
      <c r="RZ313" s="11"/>
      <c r="SA313" s="11"/>
      <c r="SB313" s="11"/>
      <c r="SC313" s="11"/>
      <c r="SD313" s="11"/>
      <c r="SE313" s="11"/>
      <c r="SF313" s="11"/>
      <c r="SG313" s="11"/>
      <c r="SH313" s="11">
        <v>1</v>
      </c>
    </row>
    <row r="314" spans="1:502" x14ac:dyDescent="0.2">
      <c r="A314" s="10">
        <v>3.2636194044837724E-2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>
        <v>1</v>
      </c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  <c r="OM314" s="11"/>
      <c r="ON314" s="11"/>
      <c r="OO314" s="11"/>
      <c r="OP314" s="11"/>
      <c r="OQ314" s="11"/>
      <c r="OR314" s="11"/>
      <c r="OS314" s="11"/>
      <c r="OT314" s="11"/>
      <c r="OU314" s="11"/>
      <c r="OV314" s="11"/>
      <c r="OW314" s="11"/>
      <c r="OX314" s="11"/>
      <c r="OY314" s="11"/>
      <c r="OZ314" s="11"/>
      <c r="PA314" s="11"/>
      <c r="PB314" s="11"/>
      <c r="PC314" s="11"/>
      <c r="PD314" s="11"/>
      <c r="PE314" s="11"/>
      <c r="PF314" s="11"/>
      <c r="PG314" s="11"/>
      <c r="PH314" s="11"/>
      <c r="PI314" s="11"/>
      <c r="PJ314" s="11"/>
      <c r="PK314" s="11"/>
      <c r="PL314" s="11"/>
      <c r="PM314" s="11"/>
      <c r="PN314" s="11"/>
      <c r="PO314" s="11"/>
      <c r="PP314" s="11"/>
      <c r="PQ314" s="11"/>
      <c r="PR314" s="11"/>
      <c r="PS314" s="11"/>
      <c r="PT314" s="11"/>
      <c r="PU314" s="11"/>
      <c r="PV314" s="11"/>
      <c r="PW314" s="11"/>
      <c r="PX314" s="11"/>
      <c r="PY314" s="11"/>
      <c r="PZ314" s="11"/>
      <c r="QA314" s="11"/>
      <c r="QB314" s="11"/>
      <c r="QC314" s="11"/>
      <c r="QD314" s="11"/>
      <c r="QE314" s="11"/>
      <c r="QF314" s="11"/>
      <c r="QG314" s="11"/>
      <c r="QH314" s="11"/>
      <c r="QI314" s="11"/>
      <c r="QJ314" s="11"/>
      <c r="QK314" s="11"/>
      <c r="QL314" s="11"/>
      <c r="QM314" s="11"/>
      <c r="QN314" s="11"/>
      <c r="QO314" s="11"/>
      <c r="QP314" s="11"/>
      <c r="QQ314" s="11"/>
      <c r="QR314" s="11"/>
      <c r="QS314" s="11"/>
      <c r="QT314" s="11"/>
      <c r="QU314" s="11"/>
      <c r="QV314" s="11"/>
      <c r="QW314" s="11"/>
      <c r="QX314" s="11"/>
      <c r="QY314" s="11"/>
      <c r="QZ314" s="11"/>
      <c r="RA314" s="11"/>
      <c r="RB314" s="11"/>
      <c r="RC314" s="11"/>
      <c r="RD314" s="11"/>
      <c r="RE314" s="11"/>
      <c r="RF314" s="11"/>
      <c r="RG314" s="11"/>
      <c r="RH314" s="11"/>
      <c r="RI314" s="11"/>
      <c r="RJ314" s="11"/>
      <c r="RK314" s="11"/>
      <c r="RL314" s="11"/>
      <c r="RM314" s="11"/>
      <c r="RN314" s="11"/>
      <c r="RO314" s="11"/>
      <c r="RP314" s="11"/>
      <c r="RQ314" s="11"/>
      <c r="RR314" s="11"/>
      <c r="RS314" s="11"/>
      <c r="RT314" s="11"/>
      <c r="RU314" s="11"/>
      <c r="RV314" s="11"/>
      <c r="RW314" s="11"/>
      <c r="RX314" s="11"/>
      <c r="RY314" s="11"/>
      <c r="RZ314" s="11"/>
      <c r="SA314" s="11"/>
      <c r="SB314" s="11"/>
      <c r="SC314" s="11"/>
      <c r="SD314" s="11"/>
      <c r="SE314" s="11"/>
      <c r="SF314" s="11"/>
      <c r="SG314" s="11"/>
      <c r="SH314" s="11">
        <v>1</v>
      </c>
    </row>
    <row r="315" spans="1:502" x14ac:dyDescent="0.2">
      <c r="A315" s="10">
        <v>3.2834984901075927E-2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>
        <v>1</v>
      </c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  <c r="OM315" s="11"/>
      <c r="ON315" s="11"/>
      <c r="OO315" s="11"/>
      <c r="OP315" s="11"/>
      <c r="OQ315" s="11"/>
      <c r="OR315" s="11"/>
      <c r="OS315" s="11"/>
      <c r="OT315" s="11"/>
      <c r="OU315" s="11"/>
      <c r="OV315" s="11"/>
      <c r="OW315" s="11"/>
      <c r="OX315" s="11"/>
      <c r="OY315" s="11"/>
      <c r="OZ315" s="11"/>
      <c r="PA315" s="11"/>
      <c r="PB315" s="11"/>
      <c r="PC315" s="11"/>
      <c r="PD315" s="11"/>
      <c r="PE315" s="11"/>
      <c r="PF315" s="11"/>
      <c r="PG315" s="11"/>
      <c r="PH315" s="11"/>
      <c r="PI315" s="11"/>
      <c r="PJ315" s="11"/>
      <c r="PK315" s="11"/>
      <c r="PL315" s="11"/>
      <c r="PM315" s="11"/>
      <c r="PN315" s="11"/>
      <c r="PO315" s="11"/>
      <c r="PP315" s="11"/>
      <c r="PQ315" s="11"/>
      <c r="PR315" s="11"/>
      <c r="PS315" s="11"/>
      <c r="PT315" s="11"/>
      <c r="PU315" s="11"/>
      <c r="PV315" s="11"/>
      <c r="PW315" s="11"/>
      <c r="PX315" s="11"/>
      <c r="PY315" s="11"/>
      <c r="PZ315" s="11"/>
      <c r="QA315" s="11"/>
      <c r="QB315" s="11"/>
      <c r="QC315" s="11"/>
      <c r="QD315" s="11"/>
      <c r="QE315" s="11"/>
      <c r="QF315" s="11"/>
      <c r="QG315" s="11"/>
      <c r="QH315" s="11"/>
      <c r="QI315" s="11"/>
      <c r="QJ315" s="11"/>
      <c r="QK315" s="11"/>
      <c r="QL315" s="11"/>
      <c r="QM315" s="11"/>
      <c r="QN315" s="11"/>
      <c r="QO315" s="11"/>
      <c r="QP315" s="11"/>
      <c r="QQ315" s="11"/>
      <c r="QR315" s="11"/>
      <c r="QS315" s="11"/>
      <c r="QT315" s="11"/>
      <c r="QU315" s="11"/>
      <c r="QV315" s="11"/>
      <c r="QW315" s="11"/>
      <c r="QX315" s="11"/>
      <c r="QY315" s="11"/>
      <c r="QZ315" s="11"/>
      <c r="RA315" s="11"/>
      <c r="RB315" s="11"/>
      <c r="RC315" s="11"/>
      <c r="RD315" s="11"/>
      <c r="RE315" s="11"/>
      <c r="RF315" s="11"/>
      <c r="RG315" s="11"/>
      <c r="RH315" s="11"/>
      <c r="RI315" s="11"/>
      <c r="RJ315" s="11"/>
      <c r="RK315" s="11"/>
      <c r="RL315" s="11"/>
      <c r="RM315" s="11"/>
      <c r="RN315" s="11"/>
      <c r="RO315" s="11"/>
      <c r="RP315" s="11"/>
      <c r="RQ315" s="11"/>
      <c r="RR315" s="11"/>
      <c r="RS315" s="11"/>
      <c r="RT315" s="11"/>
      <c r="RU315" s="11"/>
      <c r="RV315" s="11"/>
      <c r="RW315" s="11"/>
      <c r="RX315" s="11"/>
      <c r="RY315" s="11"/>
      <c r="RZ315" s="11"/>
      <c r="SA315" s="11"/>
      <c r="SB315" s="11"/>
      <c r="SC315" s="11"/>
      <c r="SD315" s="11"/>
      <c r="SE315" s="11"/>
      <c r="SF315" s="11"/>
      <c r="SG315" s="11"/>
      <c r="SH315" s="11">
        <v>1</v>
      </c>
    </row>
    <row r="316" spans="1:502" x14ac:dyDescent="0.2">
      <c r="A316" s="10">
        <v>3.2864444214666423E-2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>
        <v>1</v>
      </c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  <c r="OM316" s="11"/>
      <c r="ON316" s="11"/>
      <c r="OO316" s="11"/>
      <c r="OP316" s="11"/>
      <c r="OQ316" s="11"/>
      <c r="OR316" s="11"/>
      <c r="OS316" s="11"/>
      <c r="OT316" s="11"/>
      <c r="OU316" s="11"/>
      <c r="OV316" s="11"/>
      <c r="OW316" s="11"/>
      <c r="OX316" s="11"/>
      <c r="OY316" s="11"/>
      <c r="OZ316" s="11"/>
      <c r="PA316" s="11"/>
      <c r="PB316" s="11"/>
      <c r="PC316" s="11"/>
      <c r="PD316" s="11"/>
      <c r="PE316" s="11"/>
      <c r="PF316" s="11"/>
      <c r="PG316" s="11"/>
      <c r="PH316" s="11"/>
      <c r="PI316" s="11"/>
      <c r="PJ316" s="11"/>
      <c r="PK316" s="11"/>
      <c r="PL316" s="11"/>
      <c r="PM316" s="11"/>
      <c r="PN316" s="11"/>
      <c r="PO316" s="11"/>
      <c r="PP316" s="11"/>
      <c r="PQ316" s="11"/>
      <c r="PR316" s="11"/>
      <c r="PS316" s="11"/>
      <c r="PT316" s="11"/>
      <c r="PU316" s="11"/>
      <c r="PV316" s="11"/>
      <c r="PW316" s="11"/>
      <c r="PX316" s="11"/>
      <c r="PY316" s="11"/>
      <c r="PZ316" s="11"/>
      <c r="QA316" s="11"/>
      <c r="QB316" s="11"/>
      <c r="QC316" s="11"/>
      <c r="QD316" s="11"/>
      <c r="QE316" s="11"/>
      <c r="QF316" s="11"/>
      <c r="QG316" s="11"/>
      <c r="QH316" s="11"/>
      <c r="QI316" s="11"/>
      <c r="QJ316" s="11"/>
      <c r="QK316" s="11"/>
      <c r="QL316" s="11"/>
      <c r="QM316" s="11"/>
      <c r="QN316" s="11"/>
      <c r="QO316" s="11"/>
      <c r="QP316" s="11"/>
      <c r="QQ316" s="11"/>
      <c r="QR316" s="11"/>
      <c r="QS316" s="11"/>
      <c r="QT316" s="11"/>
      <c r="QU316" s="11"/>
      <c r="QV316" s="11"/>
      <c r="QW316" s="11"/>
      <c r="QX316" s="11"/>
      <c r="QY316" s="11"/>
      <c r="QZ316" s="11"/>
      <c r="RA316" s="11"/>
      <c r="RB316" s="11"/>
      <c r="RC316" s="11"/>
      <c r="RD316" s="11"/>
      <c r="RE316" s="11"/>
      <c r="RF316" s="11"/>
      <c r="RG316" s="11"/>
      <c r="RH316" s="11"/>
      <c r="RI316" s="11"/>
      <c r="RJ316" s="11"/>
      <c r="RK316" s="11"/>
      <c r="RL316" s="11"/>
      <c r="RM316" s="11"/>
      <c r="RN316" s="11"/>
      <c r="RO316" s="11"/>
      <c r="RP316" s="11"/>
      <c r="RQ316" s="11"/>
      <c r="RR316" s="11"/>
      <c r="RS316" s="11"/>
      <c r="RT316" s="11"/>
      <c r="RU316" s="11"/>
      <c r="RV316" s="11"/>
      <c r="RW316" s="11"/>
      <c r="RX316" s="11"/>
      <c r="RY316" s="11"/>
      <c r="RZ316" s="11"/>
      <c r="SA316" s="11"/>
      <c r="SB316" s="11"/>
      <c r="SC316" s="11"/>
      <c r="SD316" s="11"/>
      <c r="SE316" s="11"/>
      <c r="SF316" s="11"/>
      <c r="SG316" s="11"/>
      <c r="SH316" s="11">
        <v>1</v>
      </c>
    </row>
    <row r="317" spans="1:502" x14ac:dyDescent="0.2">
      <c r="A317" s="10">
        <v>3.291726408168355E-2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>
        <v>1</v>
      </c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  <c r="OM317" s="11"/>
      <c r="ON317" s="11"/>
      <c r="OO317" s="11"/>
      <c r="OP317" s="11"/>
      <c r="OQ317" s="11"/>
      <c r="OR317" s="11"/>
      <c r="OS317" s="11"/>
      <c r="OT317" s="11"/>
      <c r="OU317" s="11"/>
      <c r="OV317" s="11"/>
      <c r="OW317" s="11"/>
      <c r="OX317" s="11"/>
      <c r="OY317" s="11"/>
      <c r="OZ317" s="11"/>
      <c r="PA317" s="11"/>
      <c r="PB317" s="11"/>
      <c r="PC317" s="11"/>
      <c r="PD317" s="11"/>
      <c r="PE317" s="11"/>
      <c r="PF317" s="11"/>
      <c r="PG317" s="11"/>
      <c r="PH317" s="11"/>
      <c r="PI317" s="11"/>
      <c r="PJ317" s="11"/>
      <c r="PK317" s="11"/>
      <c r="PL317" s="11"/>
      <c r="PM317" s="11"/>
      <c r="PN317" s="11"/>
      <c r="PO317" s="11"/>
      <c r="PP317" s="11"/>
      <c r="PQ317" s="11"/>
      <c r="PR317" s="11"/>
      <c r="PS317" s="11"/>
      <c r="PT317" s="11"/>
      <c r="PU317" s="11"/>
      <c r="PV317" s="11"/>
      <c r="PW317" s="11"/>
      <c r="PX317" s="11"/>
      <c r="PY317" s="11"/>
      <c r="PZ317" s="11"/>
      <c r="QA317" s="11"/>
      <c r="QB317" s="11"/>
      <c r="QC317" s="11"/>
      <c r="QD317" s="11"/>
      <c r="QE317" s="11"/>
      <c r="QF317" s="11"/>
      <c r="QG317" s="11"/>
      <c r="QH317" s="11"/>
      <c r="QI317" s="11"/>
      <c r="QJ317" s="11"/>
      <c r="QK317" s="11"/>
      <c r="QL317" s="11"/>
      <c r="QM317" s="11"/>
      <c r="QN317" s="11"/>
      <c r="QO317" s="11"/>
      <c r="QP317" s="11"/>
      <c r="QQ317" s="11"/>
      <c r="QR317" s="11"/>
      <c r="QS317" s="11"/>
      <c r="QT317" s="11"/>
      <c r="QU317" s="11"/>
      <c r="QV317" s="11"/>
      <c r="QW317" s="11"/>
      <c r="QX317" s="11"/>
      <c r="QY317" s="11"/>
      <c r="QZ317" s="11"/>
      <c r="RA317" s="11"/>
      <c r="RB317" s="11"/>
      <c r="RC317" s="11"/>
      <c r="RD317" s="11"/>
      <c r="RE317" s="11"/>
      <c r="RF317" s="11"/>
      <c r="RG317" s="11"/>
      <c r="RH317" s="11"/>
      <c r="RI317" s="11"/>
      <c r="RJ317" s="11"/>
      <c r="RK317" s="11"/>
      <c r="RL317" s="11"/>
      <c r="RM317" s="11"/>
      <c r="RN317" s="11"/>
      <c r="RO317" s="11"/>
      <c r="RP317" s="11"/>
      <c r="RQ317" s="11"/>
      <c r="RR317" s="11"/>
      <c r="RS317" s="11"/>
      <c r="RT317" s="11"/>
      <c r="RU317" s="11"/>
      <c r="RV317" s="11"/>
      <c r="RW317" s="11"/>
      <c r="RX317" s="11"/>
      <c r="RY317" s="11"/>
      <c r="RZ317" s="11"/>
      <c r="SA317" s="11"/>
      <c r="SB317" s="11"/>
      <c r="SC317" s="11"/>
      <c r="SD317" s="11"/>
      <c r="SE317" s="11"/>
      <c r="SF317" s="11"/>
      <c r="SG317" s="11"/>
      <c r="SH317" s="11">
        <v>1</v>
      </c>
    </row>
    <row r="318" spans="1:502" x14ac:dyDescent="0.2">
      <c r="A318" s="10">
        <v>3.30051152646424E-2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>
        <v>1</v>
      </c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  <c r="OM318" s="11"/>
      <c r="ON318" s="11"/>
      <c r="OO318" s="11"/>
      <c r="OP318" s="11"/>
      <c r="OQ318" s="11"/>
      <c r="OR318" s="11"/>
      <c r="OS318" s="11"/>
      <c r="OT318" s="11"/>
      <c r="OU318" s="11"/>
      <c r="OV318" s="11"/>
      <c r="OW318" s="11"/>
      <c r="OX318" s="11"/>
      <c r="OY318" s="11"/>
      <c r="OZ318" s="11"/>
      <c r="PA318" s="11"/>
      <c r="PB318" s="11"/>
      <c r="PC318" s="11"/>
      <c r="PD318" s="11"/>
      <c r="PE318" s="11"/>
      <c r="PF318" s="11"/>
      <c r="PG318" s="11"/>
      <c r="PH318" s="11"/>
      <c r="PI318" s="11"/>
      <c r="PJ318" s="11"/>
      <c r="PK318" s="11"/>
      <c r="PL318" s="11"/>
      <c r="PM318" s="11"/>
      <c r="PN318" s="11"/>
      <c r="PO318" s="11"/>
      <c r="PP318" s="11"/>
      <c r="PQ318" s="11"/>
      <c r="PR318" s="11"/>
      <c r="PS318" s="11"/>
      <c r="PT318" s="11"/>
      <c r="PU318" s="11"/>
      <c r="PV318" s="11"/>
      <c r="PW318" s="11"/>
      <c r="PX318" s="11"/>
      <c r="PY318" s="11"/>
      <c r="PZ318" s="11"/>
      <c r="QA318" s="11"/>
      <c r="QB318" s="11"/>
      <c r="QC318" s="11"/>
      <c r="QD318" s="11"/>
      <c r="QE318" s="11"/>
      <c r="QF318" s="11"/>
      <c r="QG318" s="11"/>
      <c r="QH318" s="11"/>
      <c r="QI318" s="11"/>
      <c r="QJ318" s="11"/>
      <c r="QK318" s="11"/>
      <c r="QL318" s="11"/>
      <c r="QM318" s="11"/>
      <c r="QN318" s="11"/>
      <c r="QO318" s="11"/>
      <c r="QP318" s="11"/>
      <c r="QQ318" s="11"/>
      <c r="QR318" s="11"/>
      <c r="QS318" s="11"/>
      <c r="QT318" s="11"/>
      <c r="QU318" s="11"/>
      <c r="QV318" s="11"/>
      <c r="QW318" s="11"/>
      <c r="QX318" s="11"/>
      <c r="QY318" s="11"/>
      <c r="QZ318" s="11"/>
      <c r="RA318" s="11"/>
      <c r="RB318" s="11"/>
      <c r="RC318" s="11"/>
      <c r="RD318" s="11"/>
      <c r="RE318" s="11"/>
      <c r="RF318" s="11"/>
      <c r="RG318" s="11"/>
      <c r="RH318" s="11"/>
      <c r="RI318" s="11"/>
      <c r="RJ318" s="11"/>
      <c r="RK318" s="11"/>
      <c r="RL318" s="11"/>
      <c r="RM318" s="11"/>
      <c r="RN318" s="11"/>
      <c r="RO318" s="11"/>
      <c r="RP318" s="11"/>
      <c r="RQ318" s="11"/>
      <c r="RR318" s="11"/>
      <c r="RS318" s="11"/>
      <c r="RT318" s="11"/>
      <c r="RU318" s="11"/>
      <c r="RV318" s="11"/>
      <c r="RW318" s="11"/>
      <c r="RX318" s="11"/>
      <c r="RY318" s="11"/>
      <c r="RZ318" s="11"/>
      <c r="SA318" s="11"/>
      <c r="SB318" s="11"/>
      <c r="SC318" s="11"/>
      <c r="SD318" s="11"/>
      <c r="SE318" s="11"/>
      <c r="SF318" s="11"/>
      <c r="SG318" s="11"/>
      <c r="SH318" s="11">
        <v>1</v>
      </c>
    </row>
    <row r="319" spans="1:502" x14ac:dyDescent="0.2">
      <c r="A319" s="10">
        <v>3.33857739068677E-2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>
        <v>1</v>
      </c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  <c r="OM319" s="11"/>
      <c r="ON319" s="11"/>
      <c r="OO319" s="11"/>
      <c r="OP319" s="11"/>
      <c r="OQ319" s="11"/>
      <c r="OR319" s="11"/>
      <c r="OS319" s="11"/>
      <c r="OT319" s="11"/>
      <c r="OU319" s="11"/>
      <c r="OV319" s="11"/>
      <c r="OW319" s="11"/>
      <c r="OX319" s="11"/>
      <c r="OY319" s="11"/>
      <c r="OZ319" s="11"/>
      <c r="PA319" s="11"/>
      <c r="PB319" s="11"/>
      <c r="PC319" s="11"/>
      <c r="PD319" s="11"/>
      <c r="PE319" s="11"/>
      <c r="PF319" s="11"/>
      <c r="PG319" s="11"/>
      <c r="PH319" s="11"/>
      <c r="PI319" s="11"/>
      <c r="PJ319" s="11"/>
      <c r="PK319" s="11"/>
      <c r="PL319" s="11"/>
      <c r="PM319" s="11"/>
      <c r="PN319" s="11"/>
      <c r="PO319" s="11"/>
      <c r="PP319" s="11"/>
      <c r="PQ319" s="11"/>
      <c r="PR319" s="11"/>
      <c r="PS319" s="11"/>
      <c r="PT319" s="11"/>
      <c r="PU319" s="11"/>
      <c r="PV319" s="11"/>
      <c r="PW319" s="11"/>
      <c r="PX319" s="11"/>
      <c r="PY319" s="11"/>
      <c r="PZ319" s="11"/>
      <c r="QA319" s="11"/>
      <c r="QB319" s="11"/>
      <c r="QC319" s="11"/>
      <c r="QD319" s="11"/>
      <c r="QE319" s="11"/>
      <c r="QF319" s="11"/>
      <c r="QG319" s="11"/>
      <c r="QH319" s="11"/>
      <c r="QI319" s="11"/>
      <c r="QJ319" s="11"/>
      <c r="QK319" s="11"/>
      <c r="QL319" s="11"/>
      <c r="QM319" s="11"/>
      <c r="QN319" s="11"/>
      <c r="QO319" s="11"/>
      <c r="QP319" s="11"/>
      <c r="QQ319" s="11"/>
      <c r="QR319" s="11"/>
      <c r="QS319" s="11"/>
      <c r="QT319" s="11"/>
      <c r="QU319" s="11"/>
      <c r="QV319" s="11"/>
      <c r="QW319" s="11"/>
      <c r="QX319" s="11"/>
      <c r="QY319" s="11"/>
      <c r="QZ319" s="11"/>
      <c r="RA319" s="11"/>
      <c r="RB319" s="11"/>
      <c r="RC319" s="11"/>
      <c r="RD319" s="11"/>
      <c r="RE319" s="11"/>
      <c r="RF319" s="11"/>
      <c r="RG319" s="11"/>
      <c r="RH319" s="11"/>
      <c r="RI319" s="11"/>
      <c r="RJ319" s="11"/>
      <c r="RK319" s="11"/>
      <c r="RL319" s="11"/>
      <c r="RM319" s="11"/>
      <c r="RN319" s="11"/>
      <c r="RO319" s="11"/>
      <c r="RP319" s="11"/>
      <c r="RQ319" s="11"/>
      <c r="RR319" s="11"/>
      <c r="RS319" s="11"/>
      <c r="RT319" s="11"/>
      <c r="RU319" s="11"/>
      <c r="RV319" s="11"/>
      <c r="RW319" s="11"/>
      <c r="RX319" s="11"/>
      <c r="RY319" s="11"/>
      <c r="RZ319" s="11"/>
      <c r="SA319" s="11"/>
      <c r="SB319" s="11"/>
      <c r="SC319" s="11"/>
      <c r="SD319" s="11"/>
      <c r="SE319" s="11"/>
      <c r="SF319" s="11"/>
      <c r="SG319" s="11"/>
      <c r="SH319" s="11">
        <v>1</v>
      </c>
    </row>
    <row r="320" spans="1:502" x14ac:dyDescent="0.2">
      <c r="A320" s="10">
        <v>3.3460174811377176E-2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>
        <v>1</v>
      </c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  <c r="OM320" s="11"/>
      <c r="ON320" s="11"/>
      <c r="OO320" s="11"/>
      <c r="OP320" s="11"/>
      <c r="OQ320" s="11"/>
      <c r="OR320" s="11"/>
      <c r="OS320" s="11"/>
      <c r="OT320" s="11"/>
      <c r="OU320" s="11"/>
      <c r="OV320" s="11"/>
      <c r="OW320" s="11"/>
      <c r="OX320" s="11"/>
      <c r="OY320" s="11"/>
      <c r="OZ320" s="11"/>
      <c r="PA320" s="11"/>
      <c r="PB320" s="11"/>
      <c r="PC320" s="11"/>
      <c r="PD320" s="11"/>
      <c r="PE320" s="11"/>
      <c r="PF320" s="11"/>
      <c r="PG320" s="11"/>
      <c r="PH320" s="11"/>
      <c r="PI320" s="11"/>
      <c r="PJ320" s="11"/>
      <c r="PK320" s="11"/>
      <c r="PL320" s="11"/>
      <c r="PM320" s="11"/>
      <c r="PN320" s="11"/>
      <c r="PO320" s="11"/>
      <c r="PP320" s="11"/>
      <c r="PQ320" s="11"/>
      <c r="PR320" s="11"/>
      <c r="PS320" s="11"/>
      <c r="PT320" s="11"/>
      <c r="PU320" s="11"/>
      <c r="PV320" s="11"/>
      <c r="PW320" s="11"/>
      <c r="PX320" s="11"/>
      <c r="PY320" s="11"/>
      <c r="PZ320" s="11"/>
      <c r="QA320" s="11"/>
      <c r="QB320" s="11"/>
      <c r="QC320" s="11"/>
      <c r="QD320" s="11"/>
      <c r="QE320" s="11"/>
      <c r="QF320" s="11"/>
      <c r="QG320" s="11"/>
      <c r="QH320" s="11"/>
      <c r="QI320" s="11"/>
      <c r="QJ320" s="11"/>
      <c r="QK320" s="11"/>
      <c r="QL320" s="11"/>
      <c r="QM320" s="11"/>
      <c r="QN320" s="11"/>
      <c r="QO320" s="11"/>
      <c r="QP320" s="11"/>
      <c r="QQ320" s="11"/>
      <c r="QR320" s="11"/>
      <c r="QS320" s="11"/>
      <c r="QT320" s="11"/>
      <c r="QU320" s="11"/>
      <c r="QV320" s="11"/>
      <c r="QW320" s="11"/>
      <c r="QX320" s="11"/>
      <c r="QY320" s="11"/>
      <c r="QZ320" s="11"/>
      <c r="RA320" s="11"/>
      <c r="RB320" s="11"/>
      <c r="RC320" s="11"/>
      <c r="RD320" s="11"/>
      <c r="RE320" s="11"/>
      <c r="RF320" s="11"/>
      <c r="RG320" s="11"/>
      <c r="RH320" s="11"/>
      <c r="RI320" s="11"/>
      <c r="RJ320" s="11"/>
      <c r="RK320" s="11"/>
      <c r="RL320" s="11"/>
      <c r="RM320" s="11"/>
      <c r="RN320" s="11"/>
      <c r="RO320" s="11"/>
      <c r="RP320" s="11"/>
      <c r="RQ320" s="11"/>
      <c r="RR320" s="11"/>
      <c r="RS320" s="11"/>
      <c r="RT320" s="11"/>
      <c r="RU320" s="11"/>
      <c r="RV320" s="11"/>
      <c r="RW320" s="11"/>
      <c r="RX320" s="11"/>
      <c r="RY320" s="11"/>
      <c r="RZ320" s="11"/>
      <c r="SA320" s="11"/>
      <c r="SB320" s="11"/>
      <c r="SC320" s="11"/>
      <c r="SD320" s="11"/>
      <c r="SE320" s="11"/>
      <c r="SF320" s="11"/>
      <c r="SG320" s="11"/>
      <c r="SH320" s="11">
        <v>1</v>
      </c>
    </row>
    <row r="321" spans="1:502" x14ac:dyDescent="0.2">
      <c r="A321" s="10">
        <v>3.3621376621376646E-2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>
        <v>1</v>
      </c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  <c r="OM321" s="11"/>
      <c r="ON321" s="11"/>
      <c r="OO321" s="11"/>
      <c r="OP321" s="11"/>
      <c r="OQ321" s="11"/>
      <c r="OR321" s="11"/>
      <c r="OS321" s="11"/>
      <c r="OT321" s="11"/>
      <c r="OU321" s="11"/>
      <c r="OV321" s="11"/>
      <c r="OW321" s="11"/>
      <c r="OX321" s="11"/>
      <c r="OY321" s="11"/>
      <c r="OZ321" s="11"/>
      <c r="PA321" s="11"/>
      <c r="PB321" s="11"/>
      <c r="PC321" s="11"/>
      <c r="PD321" s="11"/>
      <c r="PE321" s="11"/>
      <c r="PF321" s="11"/>
      <c r="PG321" s="11"/>
      <c r="PH321" s="11"/>
      <c r="PI321" s="11"/>
      <c r="PJ321" s="11"/>
      <c r="PK321" s="11"/>
      <c r="PL321" s="11"/>
      <c r="PM321" s="11"/>
      <c r="PN321" s="11"/>
      <c r="PO321" s="11"/>
      <c r="PP321" s="11"/>
      <c r="PQ321" s="11"/>
      <c r="PR321" s="11"/>
      <c r="PS321" s="11"/>
      <c r="PT321" s="11"/>
      <c r="PU321" s="11"/>
      <c r="PV321" s="11"/>
      <c r="PW321" s="11"/>
      <c r="PX321" s="11"/>
      <c r="PY321" s="11"/>
      <c r="PZ321" s="11"/>
      <c r="QA321" s="11"/>
      <c r="QB321" s="11"/>
      <c r="QC321" s="11"/>
      <c r="QD321" s="11"/>
      <c r="QE321" s="11"/>
      <c r="QF321" s="11"/>
      <c r="QG321" s="11"/>
      <c r="QH321" s="11"/>
      <c r="QI321" s="11"/>
      <c r="QJ321" s="11"/>
      <c r="QK321" s="11"/>
      <c r="QL321" s="11"/>
      <c r="QM321" s="11"/>
      <c r="QN321" s="11"/>
      <c r="QO321" s="11"/>
      <c r="QP321" s="11"/>
      <c r="QQ321" s="11"/>
      <c r="QR321" s="11"/>
      <c r="QS321" s="11"/>
      <c r="QT321" s="11"/>
      <c r="QU321" s="11"/>
      <c r="QV321" s="11"/>
      <c r="QW321" s="11"/>
      <c r="QX321" s="11"/>
      <c r="QY321" s="11"/>
      <c r="QZ321" s="11"/>
      <c r="RA321" s="11"/>
      <c r="RB321" s="11"/>
      <c r="RC321" s="11"/>
      <c r="RD321" s="11"/>
      <c r="RE321" s="11"/>
      <c r="RF321" s="11"/>
      <c r="RG321" s="11"/>
      <c r="RH321" s="11"/>
      <c r="RI321" s="11"/>
      <c r="RJ321" s="11"/>
      <c r="RK321" s="11"/>
      <c r="RL321" s="11"/>
      <c r="RM321" s="11"/>
      <c r="RN321" s="11"/>
      <c r="RO321" s="11"/>
      <c r="RP321" s="11"/>
      <c r="RQ321" s="11"/>
      <c r="RR321" s="11"/>
      <c r="RS321" s="11"/>
      <c r="RT321" s="11"/>
      <c r="RU321" s="11"/>
      <c r="RV321" s="11"/>
      <c r="RW321" s="11"/>
      <c r="RX321" s="11"/>
      <c r="RY321" s="11"/>
      <c r="RZ321" s="11"/>
      <c r="SA321" s="11"/>
      <c r="SB321" s="11"/>
      <c r="SC321" s="11"/>
      <c r="SD321" s="11"/>
      <c r="SE321" s="11"/>
      <c r="SF321" s="11"/>
      <c r="SG321" s="11"/>
      <c r="SH321" s="11">
        <v>1</v>
      </c>
    </row>
    <row r="322" spans="1:502" x14ac:dyDescent="0.2">
      <c r="A322" s="10">
        <v>3.3753084529912346E-2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>
        <v>1</v>
      </c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  <c r="OM322" s="11"/>
      <c r="ON322" s="11"/>
      <c r="OO322" s="11"/>
      <c r="OP322" s="11"/>
      <c r="OQ322" s="11"/>
      <c r="OR322" s="11"/>
      <c r="OS322" s="11"/>
      <c r="OT322" s="11"/>
      <c r="OU322" s="11"/>
      <c r="OV322" s="11"/>
      <c r="OW322" s="11"/>
      <c r="OX322" s="11"/>
      <c r="OY322" s="11"/>
      <c r="OZ322" s="11"/>
      <c r="PA322" s="11"/>
      <c r="PB322" s="11"/>
      <c r="PC322" s="11"/>
      <c r="PD322" s="11"/>
      <c r="PE322" s="11"/>
      <c r="PF322" s="11"/>
      <c r="PG322" s="11"/>
      <c r="PH322" s="11"/>
      <c r="PI322" s="11"/>
      <c r="PJ322" s="11"/>
      <c r="PK322" s="11"/>
      <c r="PL322" s="11"/>
      <c r="PM322" s="11"/>
      <c r="PN322" s="11"/>
      <c r="PO322" s="11"/>
      <c r="PP322" s="11"/>
      <c r="PQ322" s="11"/>
      <c r="PR322" s="11"/>
      <c r="PS322" s="11"/>
      <c r="PT322" s="11"/>
      <c r="PU322" s="11"/>
      <c r="PV322" s="11"/>
      <c r="PW322" s="11"/>
      <c r="PX322" s="11"/>
      <c r="PY322" s="11"/>
      <c r="PZ322" s="11"/>
      <c r="QA322" s="11"/>
      <c r="QB322" s="11"/>
      <c r="QC322" s="11"/>
      <c r="QD322" s="11"/>
      <c r="QE322" s="11"/>
      <c r="QF322" s="11"/>
      <c r="QG322" s="11"/>
      <c r="QH322" s="11"/>
      <c r="QI322" s="11"/>
      <c r="QJ322" s="11"/>
      <c r="QK322" s="11"/>
      <c r="QL322" s="11"/>
      <c r="QM322" s="11"/>
      <c r="QN322" s="11"/>
      <c r="QO322" s="11"/>
      <c r="QP322" s="11"/>
      <c r="QQ322" s="11"/>
      <c r="QR322" s="11"/>
      <c r="QS322" s="11"/>
      <c r="QT322" s="11"/>
      <c r="QU322" s="11"/>
      <c r="QV322" s="11"/>
      <c r="QW322" s="11"/>
      <c r="QX322" s="11"/>
      <c r="QY322" s="11"/>
      <c r="QZ322" s="11"/>
      <c r="RA322" s="11"/>
      <c r="RB322" s="11"/>
      <c r="RC322" s="11"/>
      <c r="RD322" s="11"/>
      <c r="RE322" s="11"/>
      <c r="RF322" s="11"/>
      <c r="RG322" s="11"/>
      <c r="RH322" s="11"/>
      <c r="RI322" s="11"/>
      <c r="RJ322" s="11"/>
      <c r="RK322" s="11"/>
      <c r="RL322" s="11"/>
      <c r="RM322" s="11"/>
      <c r="RN322" s="11"/>
      <c r="RO322" s="11"/>
      <c r="RP322" s="11"/>
      <c r="RQ322" s="11"/>
      <c r="RR322" s="11"/>
      <c r="RS322" s="11"/>
      <c r="RT322" s="11"/>
      <c r="RU322" s="11"/>
      <c r="RV322" s="11"/>
      <c r="RW322" s="11"/>
      <c r="RX322" s="11"/>
      <c r="RY322" s="11"/>
      <c r="RZ322" s="11"/>
      <c r="SA322" s="11"/>
      <c r="SB322" s="11"/>
      <c r="SC322" s="11"/>
      <c r="SD322" s="11"/>
      <c r="SE322" s="11"/>
      <c r="SF322" s="11"/>
      <c r="SG322" s="11"/>
      <c r="SH322" s="11">
        <v>1</v>
      </c>
    </row>
    <row r="323" spans="1:502" x14ac:dyDescent="0.2">
      <c r="A323" s="10">
        <v>3.3771323716562003E-2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>
        <v>1</v>
      </c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  <c r="OM323" s="11"/>
      <c r="ON323" s="11"/>
      <c r="OO323" s="11"/>
      <c r="OP323" s="11"/>
      <c r="OQ323" s="11"/>
      <c r="OR323" s="11"/>
      <c r="OS323" s="11"/>
      <c r="OT323" s="11"/>
      <c r="OU323" s="11"/>
      <c r="OV323" s="11"/>
      <c r="OW323" s="11"/>
      <c r="OX323" s="11"/>
      <c r="OY323" s="11"/>
      <c r="OZ323" s="11"/>
      <c r="PA323" s="11"/>
      <c r="PB323" s="11"/>
      <c r="PC323" s="11"/>
      <c r="PD323" s="11"/>
      <c r="PE323" s="11"/>
      <c r="PF323" s="11"/>
      <c r="PG323" s="11"/>
      <c r="PH323" s="11"/>
      <c r="PI323" s="11"/>
      <c r="PJ323" s="11"/>
      <c r="PK323" s="11"/>
      <c r="PL323" s="11"/>
      <c r="PM323" s="11"/>
      <c r="PN323" s="11"/>
      <c r="PO323" s="11"/>
      <c r="PP323" s="11"/>
      <c r="PQ323" s="11"/>
      <c r="PR323" s="11"/>
      <c r="PS323" s="11"/>
      <c r="PT323" s="11"/>
      <c r="PU323" s="11"/>
      <c r="PV323" s="11"/>
      <c r="PW323" s="11"/>
      <c r="PX323" s="11"/>
      <c r="PY323" s="11"/>
      <c r="PZ323" s="11"/>
      <c r="QA323" s="11"/>
      <c r="QB323" s="11"/>
      <c r="QC323" s="11"/>
      <c r="QD323" s="11"/>
      <c r="QE323" s="11"/>
      <c r="QF323" s="11"/>
      <c r="QG323" s="11"/>
      <c r="QH323" s="11"/>
      <c r="QI323" s="11"/>
      <c r="QJ323" s="11"/>
      <c r="QK323" s="11"/>
      <c r="QL323" s="11"/>
      <c r="QM323" s="11"/>
      <c r="QN323" s="11"/>
      <c r="QO323" s="11"/>
      <c r="QP323" s="11"/>
      <c r="QQ323" s="11"/>
      <c r="QR323" s="11"/>
      <c r="QS323" s="11"/>
      <c r="QT323" s="11"/>
      <c r="QU323" s="11"/>
      <c r="QV323" s="11"/>
      <c r="QW323" s="11"/>
      <c r="QX323" s="11"/>
      <c r="QY323" s="11"/>
      <c r="QZ323" s="11"/>
      <c r="RA323" s="11"/>
      <c r="RB323" s="11"/>
      <c r="RC323" s="11"/>
      <c r="RD323" s="11"/>
      <c r="RE323" s="11"/>
      <c r="RF323" s="11"/>
      <c r="RG323" s="11"/>
      <c r="RH323" s="11"/>
      <c r="RI323" s="11"/>
      <c r="RJ323" s="11"/>
      <c r="RK323" s="11"/>
      <c r="RL323" s="11"/>
      <c r="RM323" s="11"/>
      <c r="RN323" s="11"/>
      <c r="RO323" s="11"/>
      <c r="RP323" s="11"/>
      <c r="RQ323" s="11"/>
      <c r="RR323" s="11"/>
      <c r="RS323" s="11"/>
      <c r="RT323" s="11"/>
      <c r="RU323" s="11"/>
      <c r="RV323" s="11"/>
      <c r="RW323" s="11"/>
      <c r="RX323" s="11"/>
      <c r="RY323" s="11"/>
      <c r="RZ323" s="11"/>
      <c r="SA323" s="11"/>
      <c r="SB323" s="11"/>
      <c r="SC323" s="11"/>
      <c r="SD323" s="11"/>
      <c r="SE323" s="11"/>
      <c r="SF323" s="11"/>
      <c r="SG323" s="11"/>
      <c r="SH323" s="11">
        <v>1</v>
      </c>
    </row>
    <row r="324" spans="1:502" x14ac:dyDescent="0.2">
      <c r="A324" s="10">
        <v>3.3796635668100164E-2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>
        <v>1</v>
      </c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  <c r="OM324" s="11"/>
      <c r="ON324" s="11"/>
      <c r="OO324" s="11"/>
      <c r="OP324" s="11"/>
      <c r="OQ324" s="11"/>
      <c r="OR324" s="11"/>
      <c r="OS324" s="11"/>
      <c r="OT324" s="11"/>
      <c r="OU324" s="11"/>
      <c r="OV324" s="11"/>
      <c r="OW324" s="11"/>
      <c r="OX324" s="11"/>
      <c r="OY324" s="11"/>
      <c r="OZ324" s="11"/>
      <c r="PA324" s="11"/>
      <c r="PB324" s="11"/>
      <c r="PC324" s="11"/>
      <c r="PD324" s="11"/>
      <c r="PE324" s="11"/>
      <c r="PF324" s="11"/>
      <c r="PG324" s="11"/>
      <c r="PH324" s="11"/>
      <c r="PI324" s="11"/>
      <c r="PJ324" s="11"/>
      <c r="PK324" s="11"/>
      <c r="PL324" s="11"/>
      <c r="PM324" s="11"/>
      <c r="PN324" s="11"/>
      <c r="PO324" s="11"/>
      <c r="PP324" s="11"/>
      <c r="PQ324" s="11"/>
      <c r="PR324" s="11"/>
      <c r="PS324" s="11"/>
      <c r="PT324" s="11"/>
      <c r="PU324" s="11"/>
      <c r="PV324" s="11"/>
      <c r="PW324" s="11"/>
      <c r="PX324" s="11"/>
      <c r="PY324" s="11"/>
      <c r="PZ324" s="11"/>
      <c r="QA324" s="11"/>
      <c r="QB324" s="11"/>
      <c r="QC324" s="11"/>
      <c r="QD324" s="11"/>
      <c r="QE324" s="11"/>
      <c r="QF324" s="11"/>
      <c r="QG324" s="11"/>
      <c r="QH324" s="11"/>
      <c r="QI324" s="11"/>
      <c r="QJ324" s="11"/>
      <c r="QK324" s="11"/>
      <c r="QL324" s="11"/>
      <c r="QM324" s="11"/>
      <c r="QN324" s="11"/>
      <c r="QO324" s="11"/>
      <c r="QP324" s="11"/>
      <c r="QQ324" s="11"/>
      <c r="QR324" s="11"/>
      <c r="QS324" s="11"/>
      <c r="QT324" s="11"/>
      <c r="QU324" s="11"/>
      <c r="QV324" s="11"/>
      <c r="QW324" s="11"/>
      <c r="QX324" s="11"/>
      <c r="QY324" s="11"/>
      <c r="QZ324" s="11"/>
      <c r="RA324" s="11"/>
      <c r="RB324" s="11"/>
      <c r="RC324" s="11"/>
      <c r="RD324" s="11"/>
      <c r="RE324" s="11"/>
      <c r="RF324" s="11"/>
      <c r="RG324" s="11"/>
      <c r="RH324" s="11"/>
      <c r="RI324" s="11"/>
      <c r="RJ324" s="11"/>
      <c r="RK324" s="11"/>
      <c r="RL324" s="11"/>
      <c r="RM324" s="11"/>
      <c r="RN324" s="11"/>
      <c r="RO324" s="11"/>
      <c r="RP324" s="11"/>
      <c r="RQ324" s="11"/>
      <c r="RR324" s="11"/>
      <c r="RS324" s="11"/>
      <c r="RT324" s="11"/>
      <c r="RU324" s="11"/>
      <c r="RV324" s="11"/>
      <c r="RW324" s="11"/>
      <c r="RX324" s="11"/>
      <c r="RY324" s="11"/>
      <c r="RZ324" s="11"/>
      <c r="SA324" s="11"/>
      <c r="SB324" s="11"/>
      <c r="SC324" s="11"/>
      <c r="SD324" s="11"/>
      <c r="SE324" s="11"/>
      <c r="SF324" s="11"/>
      <c r="SG324" s="11"/>
      <c r="SH324" s="11">
        <v>1</v>
      </c>
    </row>
    <row r="325" spans="1:502" x14ac:dyDescent="0.2">
      <c r="A325" s="10">
        <v>3.3817983498910839E-2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>
        <v>1</v>
      </c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  <c r="OM325" s="11"/>
      <c r="ON325" s="11"/>
      <c r="OO325" s="11"/>
      <c r="OP325" s="11"/>
      <c r="OQ325" s="11"/>
      <c r="OR325" s="11"/>
      <c r="OS325" s="11"/>
      <c r="OT325" s="11"/>
      <c r="OU325" s="11"/>
      <c r="OV325" s="11"/>
      <c r="OW325" s="11"/>
      <c r="OX325" s="11"/>
      <c r="OY325" s="11"/>
      <c r="OZ325" s="11"/>
      <c r="PA325" s="11"/>
      <c r="PB325" s="11"/>
      <c r="PC325" s="11"/>
      <c r="PD325" s="11"/>
      <c r="PE325" s="11"/>
      <c r="PF325" s="11"/>
      <c r="PG325" s="11"/>
      <c r="PH325" s="11"/>
      <c r="PI325" s="11"/>
      <c r="PJ325" s="11"/>
      <c r="PK325" s="11"/>
      <c r="PL325" s="11"/>
      <c r="PM325" s="11"/>
      <c r="PN325" s="11"/>
      <c r="PO325" s="11"/>
      <c r="PP325" s="11"/>
      <c r="PQ325" s="11"/>
      <c r="PR325" s="11"/>
      <c r="PS325" s="11"/>
      <c r="PT325" s="11"/>
      <c r="PU325" s="11"/>
      <c r="PV325" s="11"/>
      <c r="PW325" s="11"/>
      <c r="PX325" s="11"/>
      <c r="PY325" s="11"/>
      <c r="PZ325" s="11"/>
      <c r="QA325" s="11"/>
      <c r="QB325" s="11"/>
      <c r="QC325" s="11"/>
      <c r="QD325" s="11"/>
      <c r="QE325" s="11"/>
      <c r="QF325" s="11"/>
      <c r="QG325" s="11"/>
      <c r="QH325" s="11"/>
      <c r="QI325" s="11"/>
      <c r="QJ325" s="11"/>
      <c r="QK325" s="11"/>
      <c r="QL325" s="11"/>
      <c r="QM325" s="11"/>
      <c r="QN325" s="11"/>
      <c r="QO325" s="11"/>
      <c r="QP325" s="11"/>
      <c r="QQ325" s="11"/>
      <c r="QR325" s="11"/>
      <c r="QS325" s="11"/>
      <c r="QT325" s="11"/>
      <c r="QU325" s="11"/>
      <c r="QV325" s="11"/>
      <c r="QW325" s="11"/>
      <c r="QX325" s="11"/>
      <c r="QY325" s="11"/>
      <c r="QZ325" s="11"/>
      <c r="RA325" s="11"/>
      <c r="RB325" s="11"/>
      <c r="RC325" s="11"/>
      <c r="RD325" s="11"/>
      <c r="RE325" s="11"/>
      <c r="RF325" s="11"/>
      <c r="RG325" s="11"/>
      <c r="RH325" s="11"/>
      <c r="RI325" s="11"/>
      <c r="RJ325" s="11"/>
      <c r="RK325" s="11"/>
      <c r="RL325" s="11"/>
      <c r="RM325" s="11"/>
      <c r="RN325" s="11"/>
      <c r="RO325" s="11"/>
      <c r="RP325" s="11"/>
      <c r="RQ325" s="11"/>
      <c r="RR325" s="11"/>
      <c r="RS325" s="11"/>
      <c r="RT325" s="11"/>
      <c r="RU325" s="11"/>
      <c r="RV325" s="11"/>
      <c r="RW325" s="11"/>
      <c r="RX325" s="11"/>
      <c r="RY325" s="11"/>
      <c r="RZ325" s="11"/>
      <c r="SA325" s="11"/>
      <c r="SB325" s="11"/>
      <c r="SC325" s="11"/>
      <c r="SD325" s="11"/>
      <c r="SE325" s="11"/>
      <c r="SF325" s="11"/>
      <c r="SG325" s="11"/>
      <c r="SH325" s="11">
        <v>1</v>
      </c>
    </row>
    <row r="326" spans="1:502" x14ac:dyDescent="0.2">
      <c r="A326" s="10">
        <v>3.4033016353938614E-2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>
        <v>1</v>
      </c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  <c r="OM326" s="11"/>
      <c r="ON326" s="11"/>
      <c r="OO326" s="11"/>
      <c r="OP326" s="11"/>
      <c r="OQ326" s="11"/>
      <c r="OR326" s="11"/>
      <c r="OS326" s="11"/>
      <c r="OT326" s="11"/>
      <c r="OU326" s="11"/>
      <c r="OV326" s="11"/>
      <c r="OW326" s="11"/>
      <c r="OX326" s="11"/>
      <c r="OY326" s="11"/>
      <c r="OZ326" s="11"/>
      <c r="PA326" s="11"/>
      <c r="PB326" s="11"/>
      <c r="PC326" s="11"/>
      <c r="PD326" s="11"/>
      <c r="PE326" s="11"/>
      <c r="PF326" s="11"/>
      <c r="PG326" s="11"/>
      <c r="PH326" s="11"/>
      <c r="PI326" s="11"/>
      <c r="PJ326" s="11"/>
      <c r="PK326" s="11"/>
      <c r="PL326" s="11"/>
      <c r="PM326" s="11"/>
      <c r="PN326" s="11"/>
      <c r="PO326" s="11"/>
      <c r="PP326" s="11"/>
      <c r="PQ326" s="11"/>
      <c r="PR326" s="11"/>
      <c r="PS326" s="11"/>
      <c r="PT326" s="11"/>
      <c r="PU326" s="11"/>
      <c r="PV326" s="11"/>
      <c r="PW326" s="11"/>
      <c r="PX326" s="11"/>
      <c r="PY326" s="11"/>
      <c r="PZ326" s="11"/>
      <c r="QA326" s="11"/>
      <c r="QB326" s="11"/>
      <c r="QC326" s="11"/>
      <c r="QD326" s="11"/>
      <c r="QE326" s="11"/>
      <c r="QF326" s="11"/>
      <c r="QG326" s="11"/>
      <c r="QH326" s="11"/>
      <c r="QI326" s="11"/>
      <c r="QJ326" s="11"/>
      <c r="QK326" s="11"/>
      <c r="QL326" s="11"/>
      <c r="QM326" s="11"/>
      <c r="QN326" s="11"/>
      <c r="QO326" s="11"/>
      <c r="QP326" s="11"/>
      <c r="QQ326" s="11"/>
      <c r="QR326" s="11"/>
      <c r="QS326" s="11"/>
      <c r="QT326" s="11"/>
      <c r="QU326" s="11"/>
      <c r="QV326" s="11"/>
      <c r="QW326" s="11"/>
      <c r="QX326" s="11"/>
      <c r="QY326" s="11"/>
      <c r="QZ326" s="11"/>
      <c r="RA326" s="11"/>
      <c r="RB326" s="11"/>
      <c r="RC326" s="11"/>
      <c r="RD326" s="11"/>
      <c r="RE326" s="11"/>
      <c r="RF326" s="11"/>
      <c r="RG326" s="11"/>
      <c r="RH326" s="11"/>
      <c r="RI326" s="11"/>
      <c r="RJ326" s="11"/>
      <c r="RK326" s="11"/>
      <c r="RL326" s="11"/>
      <c r="RM326" s="11"/>
      <c r="RN326" s="11"/>
      <c r="RO326" s="11"/>
      <c r="RP326" s="11"/>
      <c r="RQ326" s="11"/>
      <c r="RR326" s="11"/>
      <c r="RS326" s="11"/>
      <c r="RT326" s="11"/>
      <c r="RU326" s="11"/>
      <c r="RV326" s="11"/>
      <c r="RW326" s="11"/>
      <c r="RX326" s="11"/>
      <c r="RY326" s="11"/>
      <c r="RZ326" s="11"/>
      <c r="SA326" s="11"/>
      <c r="SB326" s="11"/>
      <c r="SC326" s="11"/>
      <c r="SD326" s="11"/>
      <c r="SE326" s="11"/>
      <c r="SF326" s="11"/>
      <c r="SG326" s="11"/>
      <c r="SH326" s="11">
        <v>1</v>
      </c>
    </row>
    <row r="327" spans="1:502" x14ac:dyDescent="0.2">
      <c r="A327" s="10">
        <v>3.4067594830938956E-2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>
        <v>1</v>
      </c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  <c r="OM327" s="11"/>
      <c r="ON327" s="11"/>
      <c r="OO327" s="11"/>
      <c r="OP327" s="11"/>
      <c r="OQ327" s="11"/>
      <c r="OR327" s="11"/>
      <c r="OS327" s="11"/>
      <c r="OT327" s="11"/>
      <c r="OU327" s="11"/>
      <c r="OV327" s="11"/>
      <c r="OW327" s="11"/>
      <c r="OX327" s="11"/>
      <c r="OY327" s="11"/>
      <c r="OZ327" s="11"/>
      <c r="PA327" s="11"/>
      <c r="PB327" s="11"/>
      <c r="PC327" s="11"/>
      <c r="PD327" s="11"/>
      <c r="PE327" s="11"/>
      <c r="PF327" s="11"/>
      <c r="PG327" s="11"/>
      <c r="PH327" s="11"/>
      <c r="PI327" s="11"/>
      <c r="PJ327" s="11"/>
      <c r="PK327" s="11"/>
      <c r="PL327" s="11"/>
      <c r="PM327" s="11"/>
      <c r="PN327" s="11"/>
      <c r="PO327" s="11"/>
      <c r="PP327" s="11"/>
      <c r="PQ327" s="11"/>
      <c r="PR327" s="11"/>
      <c r="PS327" s="11"/>
      <c r="PT327" s="11"/>
      <c r="PU327" s="11"/>
      <c r="PV327" s="11"/>
      <c r="PW327" s="11"/>
      <c r="PX327" s="11"/>
      <c r="PY327" s="11"/>
      <c r="PZ327" s="11"/>
      <c r="QA327" s="11"/>
      <c r="QB327" s="11"/>
      <c r="QC327" s="11"/>
      <c r="QD327" s="11"/>
      <c r="QE327" s="11"/>
      <c r="QF327" s="11"/>
      <c r="QG327" s="11"/>
      <c r="QH327" s="11"/>
      <c r="QI327" s="11"/>
      <c r="QJ327" s="11"/>
      <c r="QK327" s="11"/>
      <c r="QL327" s="11"/>
      <c r="QM327" s="11"/>
      <c r="QN327" s="11"/>
      <c r="QO327" s="11"/>
      <c r="QP327" s="11"/>
      <c r="QQ327" s="11"/>
      <c r="QR327" s="11"/>
      <c r="QS327" s="11"/>
      <c r="QT327" s="11"/>
      <c r="QU327" s="11"/>
      <c r="QV327" s="11"/>
      <c r="QW327" s="11"/>
      <c r="QX327" s="11"/>
      <c r="QY327" s="11"/>
      <c r="QZ327" s="11"/>
      <c r="RA327" s="11"/>
      <c r="RB327" s="11"/>
      <c r="RC327" s="11"/>
      <c r="RD327" s="11"/>
      <c r="RE327" s="11"/>
      <c r="RF327" s="11"/>
      <c r="RG327" s="11"/>
      <c r="RH327" s="11"/>
      <c r="RI327" s="11"/>
      <c r="RJ327" s="11"/>
      <c r="RK327" s="11"/>
      <c r="RL327" s="11"/>
      <c r="RM327" s="11"/>
      <c r="RN327" s="11"/>
      <c r="RO327" s="11"/>
      <c r="RP327" s="11"/>
      <c r="RQ327" s="11"/>
      <c r="RR327" s="11"/>
      <c r="RS327" s="11"/>
      <c r="RT327" s="11"/>
      <c r="RU327" s="11"/>
      <c r="RV327" s="11"/>
      <c r="RW327" s="11"/>
      <c r="RX327" s="11"/>
      <c r="RY327" s="11"/>
      <c r="RZ327" s="11"/>
      <c r="SA327" s="11"/>
      <c r="SB327" s="11"/>
      <c r="SC327" s="11"/>
      <c r="SD327" s="11"/>
      <c r="SE327" s="11"/>
      <c r="SF327" s="11"/>
      <c r="SG327" s="11"/>
      <c r="SH327" s="11">
        <v>1</v>
      </c>
    </row>
    <row r="328" spans="1:502" x14ac:dyDescent="0.2">
      <c r="A328" s="10">
        <v>3.4119263353501857E-2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>
        <v>1</v>
      </c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  <c r="OM328" s="11"/>
      <c r="ON328" s="11"/>
      <c r="OO328" s="11"/>
      <c r="OP328" s="11"/>
      <c r="OQ328" s="11"/>
      <c r="OR328" s="11"/>
      <c r="OS328" s="11"/>
      <c r="OT328" s="11"/>
      <c r="OU328" s="11"/>
      <c r="OV328" s="11"/>
      <c r="OW328" s="11"/>
      <c r="OX328" s="11"/>
      <c r="OY328" s="11"/>
      <c r="OZ328" s="11"/>
      <c r="PA328" s="11"/>
      <c r="PB328" s="11"/>
      <c r="PC328" s="11"/>
      <c r="PD328" s="11"/>
      <c r="PE328" s="11"/>
      <c r="PF328" s="11"/>
      <c r="PG328" s="11"/>
      <c r="PH328" s="11"/>
      <c r="PI328" s="11"/>
      <c r="PJ328" s="11"/>
      <c r="PK328" s="11"/>
      <c r="PL328" s="11"/>
      <c r="PM328" s="11"/>
      <c r="PN328" s="11"/>
      <c r="PO328" s="11"/>
      <c r="PP328" s="11"/>
      <c r="PQ328" s="11"/>
      <c r="PR328" s="11"/>
      <c r="PS328" s="11"/>
      <c r="PT328" s="11"/>
      <c r="PU328" s="11"/>
      <c r="PV328" s="11"/>
      <c r="PW328" s="11"/>
      <c r="PX328" s="11"/>
      <c r="PY328" s="11"/>
      <c r="PZ328" s="11"/>
      <c r="QA328" s="11"/>
      <c r="QB328" s="11"/>
      <c r="QC328" s="11"/>
      <c r="QD328" s="11"/>
      <c r="QE328" s="11"/>
      <c r="QF328" s="11"/>
      <c r="QG328" s="11"/>
      <c r="QH328" s="11"/>
      <c r="QI328" s="11"/>
      <c r="QJ328" s="11"/>
      <c r="QK328" s="11"/>
      <c r="QL328" s="11"/>
      <c r="QM328" s="11"/>
      <c r="QN328" s="11"/>
      <c r="QO328" s="11"/>
      <c r="QP328" s="11"/>
      <c r="QQ328" s="11"/>
      <c r="QR328" s="11"/>
      <c r="QS328" s="11"/>
      <c r="QT328" s="11"/>
      <c r="QU328" s="11"/>
      <c r="QV328" s="11"/>
      <c r="QW328" s="11"/>
      <c r="QX328" s="11"/>
      <c r="QY328" s="11"/>
      <c r="QZ328" s="11"/>
      <c r="RA328" s="11"/>
      <c r="RB328" s="11"/>
      <c r="RC328" s="11"/>
      <c r="RD328" s="11"/>
      <c r="RE328" s="11"/>
      <c r="RF328" s="11"/>
      <c r="RG328" s="11"/>
      <c r="RH328" s="11"/>
      <c r="RI328" s="11"/>
      <c r="RJ328" s="11"/>
      <c r="RK328" s="11"/>
      <c r="RL328" s="11"/>
      <c r="RM328" s="11"/>
      <c r="RN328" s="11"/>
      <c r="RO328" s="11"/>
      <c r="RP328" s="11"/>
      <c r="RQ328" s="11"/>
      <c r="RR328" s="11"/>
      <c r="RS328" s="11"/>
      <c r="RT328" s="11"/>
      <c r="RU328" s="11"/>
      <c r="RV328" s="11"/>
      <c r="RW328" s="11"/>
      <c r="RX328" s="11"/>
      <c r="RY328" s="11"/>
      <c r="RZ328" s="11"/>
      <c r="SA328" s="11"/>
      <c r="SB328" s="11"/>
      <c r="SC328" s="11"/>
      <c r="SD328" s="11"/>
      <c r="SE328" s="11"/>
      <c r="SF328" s="11"/>
      <c r="SG328" s="11"/>
      <c r="SH328" s="11">
        <v>1</v>
      </c>
    </row>
    <row r="329" spans="1:502" x14ac:dyDescent="0.2">
      <c r="A329" s="10">
        <v>3.4151887158921666E-2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>
        <v>1</v>
      </c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  <c r="OM329" s="11"/>
      <c r="ON329" s="11"/>
      <c r="OO329" s="11"/>
      <c r="OP329" s="11"/>
      <c r="OQ329" s="11"/>
      <c r="OR329" s="11"/>
      <c r="OS329" s="11"/>
      <c r="OT329" s="11"/>
      <c r="OU329" s="11"/>
      <c r="OV329" s="11"/>
      <c r="OW329" s="11"/>
      <c r="OX329" s="11"/>
      <c r="OY329" s="11"/>
      <c r="OZ329" s="11"/>
      <c r="PA329" s="11"/>
      <c r="PB329" s="11"/>
      <c r="PC329" s="11"/>
      <c r="PD329" s="11"/>
      <c r="PE329" s="11"/>
      <c r="PF329" s="11"/>
      <c r="PG329" s="11"/>
      <c r="PH329" s="11"/>
      <c r="PI329" s="11"/>
      <c r="PJ329" s="11"/>
      <c r="PK329" s="11"/>
      <c r="PL329" s="11"/>
      <c r="PM329" s="11"/>
      <c r="PN329" s="11"/>
      <c r="PO329" s="11"/>
      <c r="PP329" s="11"/>
      <c r="PQ329" s="11"/>
      <c r="PR329" s="11"/>
      <c r="PS329" s="11"/>
      <c r="PT329" s="11"/>
      <c r="PU329" s="11"/>
      <c r="PV329" s="11"/>
      <c r="PW329" s="11"/>
      <c r="PX329" s="11"/>
      <c r="PY329" s="11"/>
      <c r="PZ329" s="11"/>
      <c r="QA329" s="11"/>
      <c r="QB329" s="11"/>
      <c r="QC329" s="11"/>
      <c r="QD329" s="11"/>
      <c r="QE329" s="11"/>
      <c r="QF329" s="11"/>
      <c r="QG329" s="11"/>
      <c r="QH329" s="11"/>
      <c r="QI329" s="11"/>
      <c r="QJ329" s="11"/>
      <c r="QK329" s="11"/>
      <c r="QL329" s="11"/>
      <c r="QM329" s="11"/>
      <c r="QN329" s="11"/>
      <c r="QO329" s="11"/>
      <c r="QP329" s="11"/>
      <c r="QQ329" s="11"/>
      <c r="QR329" s="11"/>
      <c r="QS329" s="11"/>
      <c r="QT329" s="11"/>
      <c r="QU329" s="11"/>
      <c r="QV329" s="11"/>
      <c r="QW329" s="11"/>
      <c r="QX329" s="11"/>
      <c r="QY329" s="11"/>
      <c r="QZ329" s="11"/>
      <c r="RA329" s="11"/>
      <c r="RB329" s="11"/>
      <c r="RC329" s="11"/>
      <c r="RD329" s="11"/>
      <c r="RE329" s="11"/>
      <c r="RF329" s="11"/>
      <c r="RG329" s="11"/>
      <c r="RH329" s="11"/>
      <c r="RI329" s="11"/>
      <c r="RJ329" s="11"/>
      <c r="RK329" s="11"/>
      <c r="RL329" s="11"/>
      <c r="RM329" s="11"/>
      <c r="RN329" s="11"/>
      <c r="RO329" s="11"/>
      <c r="RP329" s="11"/>
      <c r="RQ329" s="11"/>
      <c r="RR329" s="11"/>
      <c r="RS329" s="11"/>
      <c r="RT329" s="11"/>
      <c r="RU329" s="11"/>
      <c r="RV329" s="11"/>
      <c r="RW329" s="11"/>
      <c r="RX329" s="11"/>
      <c r="RY329" s="11"/>
      <c r="RZ329" s="11"/>
      <c r="SA329" s="11"/>
      <c r="SB329" s="11"/>
      <c r="SC329" s="11"/>
      <c r="SD329" s="11"/>
      <c r="SE329" s="11"/>
      <c r="SF329" s="11"/>
      <c r="SG329" s="11"/>
      <c r="SH329" s="11">
        <v>1</v>
      </c>
    </row>
    <row r="330" spans="1:502" x14ac:dyDescent="0.2">
      <c r="A330" s="10">
        <v>3.419082460755464E-2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  <c r="OM330" s="11"/>
      <c r="ON330" s="11"/>
      <c r="OO330" s="11"/>
      <c r="OP330" s="11"/>
      <c r="OQ330" s="11"/>
      <c r="OR330" s="11"/>
      <c r="OS330" s="11"/>
      <c r="OT330" s="11"/>
      <c r="OU330" s="11"/>
      <c r="OV330" s="11"/>
      <c r="OW330" s="11"/>
      <c r="OX330" s="11">
        <v>1</v>
      </c>
      <c r="OY330" s="11"/>
      <c r="OZ330" s="11"/>
      <c r="PA330" s="11"/>
      <c r="PB330" s="11"/>
      <c r="PC330" s="11"/>
      <c r="PD330" s="11"/>
      <c r="PE330" s="11"/>
      <c r="PF330" s="11"/>
      <c r="PG330" s="11"/>
      <c r="PH330" s="11"/>
      <c r="PI330" s="11"/>
      <c r="PJ330" s="11"/>
      <c r="PK330" s="11"/>
      <c r="PL330" s="11"/>
      <c r="PM330" s="11"/>
      <c r="PN330" s="11"/>
      <c r="PO330" s="11"/>
      <c r="PP330" s="11"/>
      <c r="PQ330" s="11"/>
      <c r="PR330" s="11"/>
      <c r="PS330" s="11"/>
      <c r="PT330" s="11"/>
      <c r="PU330" s="11"/>
      <c r="PV330" s="11"/>
      <c r="PW330" s="11"/>
      <c r="PX330" s="11"/>
      <c r="PY330" s="11"/>
      <c r="PZ330" s="11"/>
      <c r="QA330" s="11"/>
      <c r="QB330" s="11"/>
      <c r="QC330" s="11"/>
      <c r="QD330" s="11"/>
      <c r="QE330" s="11"/>
      <c r="QF330" s="11"/>
      <c r="QG330" s="11"/>
      <c r="QH330" s="11"/>
      <c r="QI330" s="11"/>
      <c r="QJ330" s="11"/>
      <c r="QK330" s="11"/>
      <c r="QL330" s="11"/>
      <c r="QM330" s="11"/>
      <c r="QN330" s="11"/>
      <c r="QO330" s="11"/>
      <c r="QP330" s="11"/>
      <c r="QQ330" s="11"/>
      <c r="QR330" s="11"/>
      <c r="QS330" s="11"/>
      <c r="QT330" s="11"/>
      <c r="QU330" s="11"/>
      <c r="QV330" s="11"/>
      <c r="QW330" s="11"/>
      <c r="QX330" s="11"/>
      <c r="QY330" s="11"/>
      <c r="QZ330" s="11"/>
      <c r="RA330" s="11"/>
      <c r="RB330" s="11"/>
      <c r="RC330" s="11"/>
      <c r="RD330" s="11"/>
      <c r="RE330" s="11"/>
      <c r="RF330" s="11"/>
      <c r="RG330" s="11"/>
      <c r="RH330" s="11"/>
      <c r="RI330" s="11"/>
      <c r="RJ330" s="11"/>
      <c r="RK330" s="11"/>
      <c r="RL330" s="11"/>
      <c r="RM330" s="11"/>
      <c r="RN330" s="11"/>
      <c r="RO330" s="11"/>
      <c r="RP330" s="11"/>
      <c r="RQ330" s="11"/>
      <c r="RR330" s="11"/>
      <c r="RS330" s="11"/>
      <c r="RT330" s="11"/>
      <c r="RU330" s="11"/>
      <c r="RV330" s="11"/>
      <c r="RW330" s="11"/>
      <c r="RX330" s="11"/>
      <c r="RY330" s="11"/>
      <c r="RZ330" s="11"/>
      <c r="SA330" s="11"/>
      <c r="SB330" s="11"/>
      <c r="SC330" s="11"/>
      <c r="SD330" s="11"/>
      <c r="SE330" s="11"/>
      <c r="SF330" s="11"/>
      <c r="SG330" s="11"/>
      <c r="SH330" s="11">
        <v>1</v>
      </c>
    </row>
    <row r="331" spans="1:502" x14ac:dyDescent="0.2">
      <c r="A331" s="10">
        <v>3.428788466896171E-2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>
        <v>1</v>
      </c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  <c r="OM331" s="11"/>
      <c r="ON331" s="11"/>
      <c r="OO331" s="11"/>
      <c r="OP331" s="11"/>
      <c r="OQ331" s="11"/>
      <c r="OR331" s="11"/>
      <c r="OS331" s="11"/>
      <c r="OT331" s="11"/>
      <c r="OU331" s="11"/>
      <c r="OV331" s="11"/>
      <c r="OW331" s="11"/>
      <c r="OX331" s="11"/>
      <c r="OY331" s="11"/>
      <c r="OZ331" s="11"/>
      <c r="PA331" s="11"/>
      <c r="PB331" s="11"/>
      <c r="PC331" s="11"/>
      <c r="PD331" s="11"/>
      <c r="PE331" s="11"/>
      <c r="PF331" s="11"/>
      <c r="PG331" s="11"/>
      <c r="PH331" s="11"/>
      <c r="PI331" s="11"/>
      <c r="PJ331" s="11"/>
      <c r="PK331" s="11"/>
      <c r="PL331" s="11"/>
      <c r="PM331" s="11"/>
      <c r="PN331" s="11"/>
      <c r="PO331" s="11"/>
      <c r="PP331" s="11"/>
      <c r="PQ331" s="11"/>
      <c r="PR331" s="11"/>
      <c r="PS331" s="11"/>
      <c r="PT331" s="11"/>
      <c r="PU331" s="11"/>
      <c r="PV331" s="11"/>
      <c r="PW331" s="11"/>
      <c r="PX331" s="11"/>
      <c r="PY331" s="11"/>
      <c r="PZ331" s="11"/>
      <c r="QA331" s="11"/>
      <c r="QB331" s="11"/>
      <c r="QC331" s="11"/>
      <c r="QD331" s="11"/>
      <c r="QE331" s="11"/>
      <c r="QF331" s="11"/>
      <c r="QG331" s="11"/>
      <c r="QH331" s="11"/>
      <c r="QI331" s="11"/>
      <c r="QJ331" s="11"/>
      <c r="QK331" s="11"/>
      <c r="QL331" s="11"/>
      <c r="QM331" s="11"/>
      <c r="QN331" s="11"/>
      <c r="QO331" s="11"/>
      <c r="QP331" s="11"/>
      <c r="QQ331" s="11"/>
      <c r="QR331" s="11"/>
      <c r="QS331" s="11"/>
      <c r="QT331" s="11"/>
      <c r="QU331" s="11"/>
      <c r="QV331" s="11"/>
      <c r="QW331" s="11"/>
      <c r="QX331" s="11"/>
      <c r="QY331" s="11"/>
      <c r="QZ331" s="11"/>
      <c r="RA331" s="11"/>
      <c r="RB331" s="11"/>
      <c r="RC331" s="11"/>
      <c r="RD331" s="11"/>
      <c r="RE331" s="11"/>
      <c r="RF331" s="11"/>
      <c r="RG331" s="11"/>
      <c r="RH331" s="11"/>
      <c r="RI331" s="11"/>
      <c r="RJ331" s="11"/>
      <c r="RK331" s="11"/>
      <c r="RL331" s="11"/>
      <c r="RM331" s="11"/>
      <c r="RN331" s="11"/>
      <c r="RO331" s="11"/>
      <c r="RP331" s="11"/>
      <c r="RQ331" s="11"/>
      <c r="RR331" s="11"/>
      <c r="RS331" s="11"/>
      <c r="RT331" s="11"/>
      <c r="RU331" s="11"/>
      <c r="RV331" s="11"/>
      <c r="RW331" s="11"/>
      <c r="RX331" s="11"/>
      <c r="RY331" s="11"/>
      <c r="RZ331" s="11"/>
      <c r="SA331" s="11"/>
      <c r="SB331" s="11"/>
      <c r="SC331" s="11"/>
      <c r="SD331" s="11"/>
      <c r="SE331" s="11"/>
      <c r="SF331" s="11"/>
      <c r="SG331" s="11"/>
      <c r="SH331" s="11">
        <v>1</v>
      </c>
    </row>
    <row r="332" spans="1:502" x14ac:dyDescent="0.2">
      <c r="A332" s="10">
        <v>3.4332167991368547E-2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>
        <v>1</v>
      </c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  <c r="OM332" s="11"/>
      <c r="ON332" s="11"/>
      <c r="OO332" s="11"/>
      <c r="OP332" s="11"/>
      <c r="OQ332" s="11"/>
      <c r="OR332" s="11"/>
      <c r="OS332" s="11"/>
      <c r="OT332" s="11"/>
      <c r="OU332" s="11"/>
      <c r="OV332" s="11"/>
      <c r="OW332" s="11"/>
      <c r="OX332" s="11"/>
      <c r="OY332" s="11"/>
      <c r="OZ332" s="11"/>
      <c r="PA332" s="11"/>
      <c r="PB332" s="11"/>
      <c r="PC332" s="11"/>
      <c r="PD332" s="11"/>
      <c r="PE332" s="11"/>
      <c r="PF332" s="11"/>
      <c r="PG332" s="11"/>
      <c r="PH332" s="11"/>
      <c r="PI332" s="11"/>
      <c r="PJ332" s="11"/>
      <c r="PK332" s="11"/>
      <c r="PL332" s="11"/>
      <c r="PM332" s="11"/>
      <c r="PN332" s="11"/>
      <c r="PO332" s="11"/>
      <c r="PP332" s="11"/>
      <c r="PQ332" s="11"/>
      <c r="PR332" s="11"/>
      <c r="PS332" s="11"/>
      <c r="PT332" s="11"/>
      <c r="PU332" s="11"/>
      <c r="PV332" s="11"/>
      <c r="PW332" s="11"/>
      <c r="PX332" s="11"/>
      <c r="PY332" s="11"/>
      <c r="PZ332" s="11"/>
      <c r="QA332" s="11"/>
      <c r="QB332" s="11"/>
      <c r="QC332" s="11"/>
      <c r="QD332" s="11"/>
      <c r="QE332" s="11"/>
      <c r="QF332" s="11"/>
      <c r="QG332" s="11"/>
      <c r="QH332" s="11"/>
      <c r="QI332" s="11"/>
      <c r="QJ332" s="11"/>
      <c r="QK332" s="11"/>
      <c r="QL332" s="11"/>
      <c r="QM332" s="11"/>
      <c r="QN332" s="11"/>
      <c r="QO332" s="11"/>
      <c r="QP332" s="11"/>
      <c r="QQ332" s="11"/>
      <c r="QR332" s="11"/>
      <c r="QS332" s="11"/>
      <c r="QT332" s="11"/>
      <c r="QU332" s="11"/>
      <c r="QV332" s="11"/>
      <c r="QW332" s="11"/>
      <c r="QX332" s="11"/>
      <c r="QY332" s="11"/>
      <c r="QZ332" s="11"/>
      <c r="RA332" s="11"/>
      <c r="RB332" s="11"/>
      <c r="RC332" s="11"/>
      <c r="RD332" s="11"/>
      <c r="RE332" s="11"/>
      <c r="RF332" s="11"/>
      <c r="RG332" s="11"/>
      <c r="RH332" s="11"/>
      <c r="RI332" s="11"/>
      <c r="RJ332" s="11"/>
      <c r="RK332" s="11"/>
      <c r="RL332" s="11"/>
      <c r="RM332" s="11"/>
      <c r="RN332" s="11"/>
      <c r="RO332" s="11"/>
      <c r="RP332" s="11"/>
      <c r="RQ332" s="11"/>
      <c r="RR332" s="11"/>
      <c r="RS332" s="11"/>
      <c r="RT332" s="11"/>
      <c r="RU332" s="11"/>
      <c r="RV332" s="11"/>
      <c r="RW332" s="11"/>
      <c r="RX332" s="11"/>
      <c r="RY332" s="11"/>
      <c r="RZ332" s="11"/>
      <c r="SA332" s="11"/>
      <c r="SB332" s="11"/>
      <c r="SC332" s="11"/>
      <c r="SD332" s="11"/>
      <c r="SE332" s="11"/>
      <c r="SF332" s="11"/>
      <c r="SG332" s="11"/>
      <c r="SH332" s="11">
        <v>1</v>
      </c>
    </row>
    <row r="333" spans="1:502" x14ac:dyDescent="0.2">
      <c r="A333" s="10">
        <v>3.4348750765657021E-2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>
        <v>1</v>
      </c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  <c r="OM333" s="11"/>
      <c r="ON333" s="11"/>
      <c r="OO333" s="11"/>
      <c r="OP333" s="11"/>
      <c r="OQ333" s="11"/>
      <c r="OR333" s="11"/>
      <c r="OS333" s="11"/>
      <c r="OT333" s="11"/>
      <c r="OU333" s="11"/>
      <c r="OV333" s="11"/>
      <c r="OW333" s="11"/>
      <c r="OX333" s="11"/>
      <c r="OY333" s="11"/>
      <c r="OZ333" s="11"/>
      <c r="PA333" s="11"/>
      <c r="PB333" s="11"/>
      <c r="PC333" s="11"/>
      <c r="PD333" s="11"/>
      <c r="PE333" s="11"/>
      <c r="PF333" s="11"/>
      <c r="PG333" s="11"/>
      <c r="PH333" s="11"/>
      <c r="PI333" s="11"/>
      <c r="PJ333" s="11"/>
      <c r="PK333" s="11"/>
      <c r="PL333" s="11"/>
      <c r="PM333" s="11"/>
      <c r="PN333" s="11"/>
      <c r="PO333" s="11"/>
      <c r="PP333" s="11"/>
      <c r="PQ333" s="11"/>
      <c r="PR333" s="11"/>
      <c r="PS333" s="11"/>
      <c r="PT333" s="11"/>
      <c r="PU333" s="11"/>
      <c r="PV333" s="11"/>
      <c r="PW333" s="11"/>
      <c r="PX333" s="11"/>
      <c r="PY333" s="11"/>
      <c r="PZ333" s="11"/>
      <c r="QA333" s="11"/>
      <c r="QB333" s="11"/>
      <c r="QC333" s="11"/>
      <c r="QD333" s="11"/>
      <c r="QE333" s="11"/>
      <c r="QF333" s="11"/>
      <c r="QG333" s="11"/>
      <c r="QH333" s="11"/>
      <c r="QI333" s="11"/>
      <c r="QJ333" s="11"/>
      <c r="QK333" s="11"/>
      <c r="QL333" s="11"/>
      <c r="QM333" s="11"/>
      <c r="QN333" s="11"/>
      <c r="QO333" s="11"/>
      <c r="QP333" s="11"/>
      <c r="QQ333" s="11"/>
      <c r="QR333" s="11"/>
      <c r="QS333" s="11"/>
      <c r="QT333" s="11"/>
      <c r="QU333" s="11"/>
      <c r="QV333" s="11"/>
      <c r="QW333" s="11"/>
      <c r="QX333" s="11"/>
      <c r="QY333" s="11"/>
      <c r="QZ333" s="11"/>
      <c r="RA333" s="11"/>
      <c r="RB333" s="11"/>
      <c r="RC333" s="11"/>
      <c r="RD333" s="11"/>
      <c r="RE333" s="11"/>
      <c r="RF333" s="11"/>
      <c r="RG333" s="11"/>
      <c r="RH333" s="11"/>
      <c r="RI333" s="11"/>
      <c r="RJ333" s="11"/>
      <c r="RK333" s="11"/>
      <c r="RL333" s="11"/>
      <c r="RM333" s="11"/>
      <c r="RN333" s="11"/>
      <c r="RO333" s="11"/>
      <c r="RP333" s="11"/>
      <c r="RQ333" s="11"/>
      <c r="RR333" s="11"/>
      <c r="RS333" s="11"/>
      <c r="RT333" s="11"/>
      <c r="RU333" s="11"/>
      <c r="RV333" s="11"/>
      <c r="RW333" s="11"/>
      <c r="RX333" s="11"/>
      <c r="RY333" s="11"/>
      <c r="RZ333" s="11"/>
      <c r="SA333" s="11"/>
      <c r="SB333" s="11"/>
      <c r="SC333" s="11"/>
      <c r="SD333" s="11"/>
      <c r="SE333" s="11"/>
      <c r="SF333" s="11"/>
      <c r="SG333" s="11"/>
      <c r="SH333" s="11">
        <v>1</v>
      </c>
    </row>
    <row r="334" spans="1:502" x14ac:dyDescent="0.2">
      <c r="A334" s="10">
        <v>3.4390627027005745E-2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>
        <v>1</v>
      </c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  <c r="OM334" s="11"/>
      <c r="ON334" s="11"/>
      <c r="OO334" s="11"/>
      <c r="OP334" s="11"/>
      <c r="OQ334" s="11"/>
      <c r="OR334" s="11"/>
      <c r="OS334" s="11"/>
      <c r="OT334" s="11"/>
      <c r="OU334" s="11"/>
      <c r="OV334" s="11"/>
      <c r="OW334" s="11"/>
      <c r="OX334" s="11"/>
      <c r="OY334" s="11"/>
      <c r="OZ334" s="11"/>
      <c r="PA334" s="11"/>
      <c r="PB334" s="11"/>
      <c r="PC334" s="11"/>
      <c r="PD334" s="11"/>
      <c r="PE334" s="11"/>
      <c r="PF334" s="11"/>
      <c r="PG334" s="11"/>
      <c r="PH334" s="11"/>
      <c r="PI334" s="11"/>
      <c r="PJ334" s="11"/>
      <c r="PK334" s="11"/>
      <c r="PL334" s="11"/>
      <c r="PM334" s="11"/>
      <c r="PN334" s="11"/>
      <c r="PO334" s="11"/>
      <c r="PP334" s="11"/>
      <c r="PQ334" s="11"/>
      <c r="PR334" s="11"/>
      <c r="PS334" s="11"/>
      <c r="PT334" s="11"/>
      <c r="PU334" s="11"/>
      <c r="PV334" s="11"/>
      <c r="PW334" s="11"/>
      <c r="PX334" s="11"/>
      <c r="PY334" s="11"/>
      <c r="PZ334" s="11"/>
      <c r="QA334" s="11"/>
      <c r="QB334" s="11"/>
      <c r="QC334" s="11"/>
      <c r="QD334" s="11"/>
      <c r="QE334" s="11"/>
      <c r="QF334" s="11"/>
      <c r="QG334" s="11"/>
      <c r="QH334" s="11"/>
      <c r="QI334" s="11"/>
      <c r="QJ334" s="11"/>
      <c r="QK334" s="11"/>
      <c r="QL334" s="11"/>
      <c r="QM334" s="11"/>
      <c r="QN334" s="11"/>
      <c r="QO334" s="11"/>
      <c r="QP334" s="11"/>
      <c r="QQ334" s="11"/>
      <c r="QR334" s="11"/>
      <c r="QS334" s="11"/>
      <c r="QT334" s="11"/>
      <c r="QU334" s="11"/>
      <c r="QV334" s="11"/>
      <c r="QW334" s="11"/>
      <c r="QX334" s="11"/>
      <c r="QY334" s="11"/>
      <c r="QZ334" s="11"/>
      <c r="RA334" s="11"/>
      <c r="RB334" s="11"/>
      <c r="RC334" s="11"/>
      <c r="RD334" s="11"/>
      <c r="RE334" s="11"/>
      <c r="RF334" s="11"/>
      <c r="RG334" s="11"/>
      <c r="RH334" s="11"/>
      <c r="RI334" s="11"/>
      <c r="RJ334" s="11"/>
      <c r="RK334" s="11"/>
      <c r="RL334" s="11"/>
      <c r="RM334" s="11"/>
      <c r="RN334" s="11"/>
      <c r="RO334" s="11"/>
      <c r="RP334" s="11"/>
      <c r="RQ334" s="11"/>
      <c r="RR334" s="11"/>
      <c r="RS334" s="11"/>
      <c r="RT334" s="11"/>
      <c r="RU334" s="11"/>
      <c r="RV334" s="11"/>
      <c r="RW334" s="11"/>
      <c r="RX334" s="11"/>
      <c r="RY334" s="11"/>
      <c r="RZ334" s="11"/>
      <c r="SA334" s="11"/>
      <c r="SB334" s="11"/>
      <c r="SC334" s="11"/>
      <c r="SD334" s="11"/>
      <c r="SE334" s="11"/>
      <c r="SF334" s="11"/>
      <c r="SG334" s="11"/>
      <c r="SH334" s="11">
        <v>1</v>
      </c>
    </row>
    <row r="335" spans="1:502" x14ac:dyDescent="0.2">
      <c r="A335" s="10">
        <v>3.4392939891533185E-2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>
        <v>1</v>
      </c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  <c r="OM335" s="11"/>
      <c r="ON335" s="11"/>
      <c r="OO335" s="11"/>
      <c r="OP335" s="11"/>
      <c r="OQ335" s="11"/>
      <c r="OR335" s="11"/>
      <c r="OS335" s="11"/>
      <c r="OT335" s="11"/>
      <c r="OU335" s="11"/>
      <c r="OV335" s="11"/>
      <c r="OW335" s="11"/>
      <c r="OX335" s="11"/>
      <c r="OY335" s="11"/>
      <c r="OZ335" s="11"/>
      <c r="PA335" s="11"/>
      <c r="PB335" s="11"/>
      <c r="PC335" s="11"/>
      <c r="PD335" s="11"/>
      <c r="PE335" s="11"/>
      <c r="PF335" s="11"/>
      <c r="PG335" s="11"/>
      <c r="PH335" s="11"/>
      <c r="PI335" s="11"/>
      <c r="PJ335" s="11"/>
      <c r="PK335" s="11"/>
      <c r="PL335" s="11"/>
      <c r="PM335" s="11"/>
      <c r="PN335" s="11"/>
      <c r="PO335" s="11"/>
      <c r="PP335" s="11"/>
      <c r="PQ335" s="11"/>
      <c r="PR335" s="11"/>
      <c r="PS335" s="11"/>
      <c r="PT335" s="11"/>
      <c r="PU335" s="11"/>
      <c r="PV335" s="11"/>
      <c r="PW335" s="11"/>
      <c r="PX335" s="11"/>
      <c r="PY335" s="11"/>
      <c r="PZ335" s="11"/>
      <c r="QA335" s="11"/>
      <c r="QB335" s="11"/>
      <c r="QC335" s="11"/>
      <c r="QD335" s="11"/>
      <c r="QE335" s="11"/>
      <c r="QF335" s="11"/>
      <c r="QG335" s="11"/>
      <c r="QH335" s="11"/>
      <c r="QI335" s="11"/>
      <c r="QJ335" s="11"/>
      <c r="QK335" s="11"/>
      <c r="QL335" s="11"/>
      <c r="QM335" s="11"/>
      <c r="QN335" s="11"/>
      <c r="QO335" s="11"/>
      <c r="QP335" s="11"/>
      <c r="QQ335" s="11"/>
      <c r="QR335" s="11"/>
      <c r="QS335" s="11"/>
      <c r="QT335" s="11"/>
      <c r="QU335" s="11"/>
      <c r="QV335" s="11"/>
      <c r="QW335" s="11"/>
      <c r="QX335" s="11"/>
      <c r="QY335" s="11"/>
      <c r="QZ335" s="11"/>
      <c r="RA335" s="11"/>
      <c r="RB335" s="11"/>
      <c r="RC335" s="11"/>
      <c r="RD335" s="11"/>
      <c r="RE335" s="11"/>
      <c r="RF335" s="11"/>
      <c r="RG335" s="11"/>
      <c r="RH335" s="11"/>
      <c r="RI335" s="11"/>
      <c r="RJ335" s="11"/>
      <c r="RK335" s="11"/>
      <c r="RL335" s="11"/>
      <c r="RM335" s="11"/>
      <c r="RN335" s="11"/>
      <c r="RO335" s="11"/>
      <c r="RP335" s="11"/>
      <c r="RQ335" s="11"/>
      <c r="RR335" s="11"/>
      <c r="RS335" s="11"/>
      <c r="RT335" s="11"/>
      <c r="RU335" s="11"/>
      <c r="RV335" s="11"/>
      <c r="RW335" s="11"/>
      <c r="RX335" s="11"/>
      <c r="RY335" s="11"/>
      <c r="RZ335" s="11"/>
      <c r="SA335" s="11"/>
      <c r="SB335" s="11"/>
      <c r="SC335" s="11"/>
      <c r="SD335" s="11"/>
      <c r="SE335" s="11"/>
      <c r="SF335" s="11"/>
      <c r="SG335" s="11"/>
      <c r="SH335" s="11">
        <v>1</v>
      </c>
    </row>
    <row r="336" spans="1:502" x14ac:dyDescent="0.2">
      <c r="A336" s="10">
        <v>3.4710748818081283E-2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>
        <v>1</v>
      </c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  <c r="OM336" s="11"/>
      <c r="ON336" s="11"/>
      <c r="OO336" s="11"/>
      <c r="OP336" s="11"/>
      <c r="OQ336" s="11"/>
      <c r="OR336" s="11"/>
      <c r="OS336" s="11"/>
      <c r="OT336" s="11"/>
      <c r="OU336" s="11"/>
      <c r="OV336" s="11"/>
      <c r="OW336" s="11"/>
      <c r="OX336" s="11"/>
      <c r="OY336" s="11"/>
      <c r="OZ336" s="11"/>
      <c r="PA336" s="11"/>
      <c r="PB336" s="11"/>
      <c r="PC336" s="11"/>
      <c r="PD336" s="11"/>
      <c r="PE336" s="11"/>
      <c r="PF336" s="11"/>
      <c r="PG336" s="11"/>
      <c r="PH336" s="11"/>
      <c r="PI336" s="11"/>
      <c r="PJ336" s="11"/>
      <c r="PK336" s="11"/>
      <c r="PL336" s="11"/>
      <c r="PM336" s="11"/>
      <c r="PN336" s="11"/>
      <c r="PO336" s="11"/>
      <c r="PP336" s="11"/>
      <c r="PQ336" s="11"/>
      <c r="PR336" s="11"/>
      <c r="PS336" s="11"/>
      <c r="PT336" s="11"/>
      <c r="PU336" s="11"/>
      <c r="PV336" s="11"/>
      <c r="PW336" s="11"/>
      <c r="PX336" s="11"/>
      <c r="PY336" s="11"/>
      <c r="PZ336" s="11"/>
      <c r="QA336" s="11"/>
      <c r="QB336" s="11"/>
      <c r="QC336" s="11"/>
      <c r="QD336" s="11"/>
      <c r="QE336" s="11"/>
      <c r="QF336" s="11"/>
      <c r="QG336" s="11"/>
      <c r="QH336" s="11"/>
      <c r="QI336" s="11"/>
      <c r="QJ336" s="11"/>
      <c r="QK336" s="11"/>
      <c r="QL336" s="11"/>
      <c r="QM336" s="11"/>
      <c r="QN336" s="11"/>
      <c r="QO336" s="11"/>
      <c r="QP336" s="11"/>
      <c r="QQ336" s="11"/>
      <c r="QR336" s="11"/>
      <c r="QS336" s="11"/>
      <c r="QT336" s="11"/>
      <c r="QU336" s="11"/>
      <c r="QV336" s="11"/>
      <c r="QW336" s="11"/>
      <c r="QX336" s="11"/>
      <c r="QY336" s="11"/>
      <c r="QZ336" s="11"/>
      <c r="RA336" s="11"/>
      <c r="RB336" s="11"/>
      <c r="RC336" s="11"/>
      <c r="RD336" s="11"/>
      <c r="RE336" s="11"/>
      <c r="RF336" s="11"/>
      <c r="RG336" s="11"/>
      <c r="RH336" s="11"/>
      <c r="RI336" s="11"/>
      <c r="RJ336" s="11"/>
      <c r="RK336" s="11"/>
      <c r="RL336" s="11"/>
      <c r="RM336" s="11"/>
      <c r="RN336" s="11"/>
      <c r="RO336" s="11"/>
      <c r="RP336" s="11"/>
      <c r="RQ336" s="11"/>
      <c r="RR336" s="11"/>
      <c r="RS336" s="11"/>
      <c r="RT336" s="11"/>
      <c r="RU336" s="11"/>
      <c r="RV336" s="11"/>
      <c r="RW336" s="11"/>
      <c r="RX336" s="11"/>
      <c r="RY336" s="11"/>
      <c r="RZ336" s="11"/>
      <c r="SA336" s="11"/>
      <c r="SB336" s="11"/>
      <c r="SC336" s="11"/>
      <c r="SD336" s="11"/>
      <c r="SE336" s="11"/>
      <c r="SF336" s="11"/>
      <c r="SG336" s="11"/>
      <c r="SH336" s="11">
        <v>1</v>
      </c>
    </row>
    <row r="337" spans="1:502" x14ac:dyDescent="0.2">
      <c r="A337" s="10">
        <v>3.473694492823319E-2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>
        <v>1</v>
      </c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  <c r="OM337" s="11"/>
      <c r="ON337" s="11"/>
      <c r="OO337" s="11"/>
      <c r="OP337" s="11"/>
      <c r="OQ337" s="11"/>
      <c r="OR337" s="11"/>
      <c r="OS337" s="11"/>
      <c r="OT337" s="11"/>
      <c r="OU337" s="11"/>
      <c r="OV337" s="11"/>
      <c r="OW337" s="11"/>
      <c r="OX337" s="11"/>
      <c r="OY337" s="11"/>
      <c r="OZ337" s="11"/>
      <c r="PA337" s="11"/>
      <c r="PB337" s="11"/>
      <c r="PC337" s="11"/>
      <c r="PD337" s="11"/>
      <c r="PE337" s="11"/>
      <c r="PF337" s="11"/>
      <c r="PG337" s="11"/>
      <c r="PH337" s="11"/>
      <c r="PI337" s="11"/>
      <c r="PJ337" s="11"/>
      <c r="PK337" s="11"/>
      <c r="PL337" s="11"/>
      <c r="PM337" s="11"/>
      <c r="PN337" s="11"/>
      <c r="PO337" s="11"/>
      <c r="PP337" s="11"/>
      <c r="PQ337" s="11"/>
      <c r="PR337" s="11"/>
      <c r="PS337" s="11"/>
      <c r="PT337" s="11"/>
      <c r="PU337" s="11"/>
      <c r="PV337" s="11"/>
      <c r="PW337" s="11"/>
      <c r="PX337" s="11"/>
      <c r="PY337" s="11"/>
      <c r="PZ337" s="11"/>
      <c r="QA337" s="11"/>
      <c r="QB337" s="11"/>
      <c r="QC337" s="11"/>
      <c r="QD337" s="11"/>
      <c r="QE337" s="11"/>
      <c r="QF337" s="11"/>
      <c r="QG337" s="11"/>
      <c r="QH337" s="11"/>
      <c r="QI337" s="11"/>
      <c r="QJ337" s="11"/>
      <c r="QK337" s="11"/>
      <c r="QL337" s="11"/>
      <c r="QM337" s="11"/>
      <c r="QN337" s="11"/>
      <c r="QO337" s="11"/>
      <c r="QP337" s="11"/>
      <c r="QQ337" s="11"/>
      <c r="QR337" s="11"/>
      <c r="QS337" s="11"/>
      <c r="QT337" s="11"/>
      <c r="QU337" s="11"/>
      <c r="QV337" s="11"/>
      <c r="QW337" s="11"/>
      <c r="QX337" s="11"/>
      <c r="QY337" s="11"/>
      <c r="QZ337" s="11"/>
      <c r="RA337" s="11"/>
      <c r="RB337" s="11"/>
      <c r="RC337" s="11"/>
      <c r="RD337" s="11"/>
      <c r="RE337" s="11"/>
      <c r="RF337" s="11"/>
      <c r="RG337" s="11"/>
      <c r="RH337" s="11"/>
      <c r="RI337" s="11"/>
      <c r="RJ337" s="11"/>
      <c r="RK337" s="11"/>
      <c r="RL337" s="11"/>
      <c r="RM337" s="11"/>
      <c r="RN337" s="11"/>
      <c r="RO337" s="11"/>
      <c r="RP337" s="11"/>
      <c r="RQ337" s="11"/>
      <c r="RR337" s="11"/>
      <c r="RS337" s="11"/>
      <c r="RT337" s="11"/>
      <c r="RU337" s="11"/>
      <c r="RV337" s="11"/>
      <c r="RW337" s="11"/>
      <c r="RX337" s="11"/>
      <c r="RY337" s="11"/>
      <c r="RZ337" s="11"/>
      <c r="SA337" s="11"/>
      <c r="SB337" s="11"/>
      <c r="SC337" s="11"/>
      <c r="SD337" s="11"/>
      <c r="SE337" s="11"/>
      <c r="SF337" s="11"/>
      <c r="SG337" s="11"/>
      <c r="SH337" s="11">
        <v>1</v>
      </c>
    </row>
    <row r="338" spans="1:502" x14ac:dyDescent="0.2">
      <c r="A338" s="10">
        <v>3.4842897735820715E-2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>
        <v>1</v>
      </c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  <c r="OM338" s="11"/>
      <c r="ON338" s="11"/>
      <c r="OO338" s="11"/>
      <c r="OP338" s="11"/>
      <c r="OQ338" s="11"/>
      <c r="OR338" s="11"/>
      <c r="OS338" s="11"/>
      <c r="OT338" s="11"/>
      <c r="OU338" s="11"/>
      <c r="OV338" s="11"/>
      <c r="OW338" s="11"/>
      <c r="OX338" s="11"/>
      <c r="OY338" s="11"/>
      <c r="OZ338" s="11"/>
      <c r="PA338" s="11"/>
      <c r="PB338" s="11"/>
      <c r="PC338" s="11"/>
      <c r="PD338" s="11"/>
      <c r="PE338" s="11"/>
      <c r="PF338" s="11"/>
      <c r="PG338" s="11"/>
      <c r="PH338" s="11"/>
      <c r="PI338" s="11"/>
      <c r="PJ338" s="11"/>
      <c r="PK338" s="11"/>
      <c r="PL338" s="11"/>
      <c r="PM338" s="11"/>
      <c r="PN338" s="11"/>
      <c r="PO338" s="11"/>
      <c r="PP338" s="11"/>
      <c r="PQ338" s="11"/>
      <c r="PR338" s="11"/>
      <c r="PS338" s="11"/>
      <c r="PT338" s="11"/>
      <c r="PU338" s="11"/>
      <c r="PV338" s="11"/>
      <c r="PW338" s="11"/>
      <c r="PX338" s="11"/>
      <c r="PY338" s="11"/>
      <c r="PZ338" s="11"/>
      <c r="QA338" s="11"/>
      <c r="QB338" s="11"/>
      <c r="QC338" s="11"/>
      <c r="QD338" s="11"/>
      <c r="QE338" s="11"/>
      <c r="QF338" s="11"/>
      <c r="QG338" s="11"/>
      <c r="QH338" s="11"/>
      <c r="QI338" s="11"/>
      <c r="QJ338" s="11"/>
      <c r="QK338" s="11"/>
      <c r="QL338" s="11"/>
      <c r="QM338" s="11"/>
      <c r="QN338" s="11"/>
      <c r="QO338" s="11"/>
      <c r="QP338" s="11"/>
      <c r="QQ338" s="11"/>
      <c r="QR338" s="11"/>
      <c r="QS338" s="11"/>
      <c r="QT338" s="11"/>
      <c r="QU338" s="11"/>
      <c r="QV338" s="11"/>
      <c r="QW338" s="11"/>
      <c r="QX338" s="11"/>
      <c r="QY338" s="11"/>
      <c r="QZ338" s="11"/>
      <c r="RA338" s="11"/>
      <c r="RB338" s="11"/>
      <c r="RC338" s="11"/>
      <c r="RD338" s="11"/>
      <c r="RE338" s="11"/>
      <c r="RF338" s="11"/>
      <c r="RG338" s="11"/>
      <c r="RH338" s="11"/>
      <c r="RI338" s="11"/>
      <c r="RJ338" s="11"/>
      <c r="RK338" s="11"/>
      <c r="RL338" s="11"/>
      <c r="RM338" s="11"/>
      <c r="RN338" s="11"/>
      <c r="RO338" s="11"/>
      <c r="RP338" s="11"/>
      <c r="RQ338" s="11"/>
      <c r="RR338" s="11"/>
      <c r="RS338" s="11"/>
      <c r="RT338" s="11"/>
      <c r="RU338" s="11"/>
      <c r="RV338" s="11"/>
      <c r="RW338" s="11"/>
      <c r="RX338" s="11"/>
      <c r="RY338" s="11"/>
      <c r="RZ338" s="11"/>
      <c r="SA338" s="11"/>
      <c r="SB338" s="11"/>
      <c r="SC338" s="11"/>
      <c r="SD338" s="11"/>
      <c r="SE338" s="11"/>
      <c r="SF338" s="11"/>
      <c r="SG338" s="11"/>
      <c r="SH338" s="11">
        <v>1</v>
      </c>
    </row>
    <row r="339" spans="1:502" x14ac:dyDescent="0.2">
      <c r="A339" s="10">
        <v>3.5033793799596334E-2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  <c r="OM339" s="11"/>
      <c r="ON339" s="11"/>
      <c r="OO339" s="11"/>
      <c r="OP339" s="11"/>
      <c r="OQ339" s="11"/>
      <c r="OR339" s="11"/>
      <c r="OS339" s="11"/>
      <c r="OT339" s="11">
        <v>1</v>
      </c>
      <c r="OU339" s="11"/>
      <c r="OV339" s="11"/>
      <c r="OW339" s="11"/>
      <c r="OX339" s="11"/>
      <c r="OY339" s="11"/>
      <c r="OZ339" s="11"/>
      <c r="PA339" s="11"/>
      <c r="PB339" s="11"/>
      <c r="PC339" s="11"/>
      <c r="PD339" s="11"/>
      <c r="PE339" s="11"/>
      <c r="PF339" s="11"/>
      <c r="PG339" s="11"/>
      <c r="PH339" s="11"/>
      <c r="PI339" s="11"/>
      <c r="PJ339" s="11"/>
      <c r="PK339" s="11"/>
      <c r="PL339" s="11"/>
      <c r="PM339" s="11"/>
      <c r="PN339" s="11"/>
      <c r="PO339" s="11"/>
      <c r="PP339" s="11"/>
      <c r="PQ339" s="11"/>
      <c r="PR339" s="11"/>
      <c r="PS339" s="11"/>
      <c r="PT339" s="11"/>
      <c r="PU339" s="11"/>
      <c r="PV339" s="11"/>
      <c r="PW339" s="11"/>
      <c r="PX339" s="11"/>
      <c r="PY339" s="11"/>
      <c r="PZ339" s="11"/>
      <c r="QA339" s="11"/>
      <c r="QB339" s="11"/>
      <c r="QC339" s="11"/>
      <c r="QD339" s="11"/>
      <c r="QE339" s="11"/>
      <c r="QF339" s="11"/>
      <c r="QG339" s="11"/>
      <c r="QH339" s="11"/>
      <c r="QI339" s="11"/>
      <c r="QJ339" s="11"/>
      <c r="QK339" s="11"/>
      <c r="QL339" s="11"/>
      <c r="QM339" s="11"/>
      <c r="QN339" s="11"/>
      <c r="QO339" s="11"/>
      <c r="QP339" s="11"/>
      <c r="QQ339" s="11"/>
      <c r="QR339" s="11"/>
      <c r="QS339" s="11"/>
      <c r="QT339" s="11"/>
      <c r="QU339" s="11"/>
      <c r="QV339" s="11"/>
      <c r="QW339" s="11"/>
      <c r="QX339" s="11"/>
      <c r="QY339" s="11"/>
      <c r="QZ339" s="11"/>
      <c r="RA339" s="11"/>
      <c r="RB339" s="11"/>
      <c r="RC339" s="11"/>
      <c r="RD339" s="11"/>
      <c r="RE339" s="11"/>
      <c r="RF339" s="11"/>
      <c r="RG339" s="11"/>
      <c r="RH339" s="11"/>
      <c r="RI339" s="11"/>
      <c r="RJ339" s="11"/>
      <c r="RK339" s="11"/>
      <c r="RL339" s="11"/>
      <c r="RM339" s="11"/>
      <c r="RN339" s="11"/>
      <c r="RO339" s="11"/>
      <c r="RP339" s="11"/>
      <c r="RQ339" s="11"/>
      <c r="RR339" s="11"/>
      <c r="RS339" s="11"/>
      <c r="RT339" s="11"/>
      <c r="RU339" s="11"/>
      <c r="RV339" s="11"/>
      <c r="RW339" s="11"/>
      <c r="RX339" s="11"/>
      <c r="RY339" s="11"/>
      <c r="RZ339" s="11"/>
      <c r="SA339" s="11"/>
      <c r="SB339" s="11"/>
      <c r="SC339" s="11"/>
      <c r="SD339" s="11"/>
      <c r="SE339" s="11"/>
      <c r="SF339" s="11"/>
      <c r="SG339" s="11"/>
      <c r="SH339" s="11">
        <v>1</v>
      </c>
    </row>
    <row r="340" spans="1:502" x14ac:dyDescent="0.2">
      <c r="A340" s="10">
        <v>3.5089382592775845E-2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>
        <v>1</v>
      </c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  <c r="OM340" s="11"/>
      <c r="ON340" s="11"/>
      <c r="OO340" s="11"/>
      <c r="OP340" s="11"/>
      <c r="OQ340" s="11"/>
      <c r="OR340" s="11"/>
      <c r="OS340" s="11"/>
      <c r="OT340" s="11"/>
      <c r="OU340" s="11"/>
      <c r="OV340" s="11"/>
      <c r="OW340" s="11"/>
      <c r="OX340" s="11"/>
      <c r="OY340" s="11"/>
      <c r="OZ340" s="11"/>
      <c r="PA340" s="11"/>
      <c r="PB340" s="11"/>
      <c r="PC340" s="11"/>
      <c r="PD340" s="11"/>
      <c r="PE340" s="11"/>
      <c r="PF340" s="11"/>
      <c r="PG340" s="11"/>
      <c r="PH340" s="11"/>
      <c r="PI340" s="11"/>
      <c r="PJ340" s="11"/>
      <c r="PK340" s="11"/>
      <c r="PL340" s="11"/>
      <c r="PM340" s="11"/>
      <c r="PN340" s="11"/>
      <c r="PO340" s="11"/>
      <c r="PP340" s="11"/>
      <c r="PQ340" s="11"/>
      <c r="PR340" s="11"/>
      <c r="PS340" s="11"/>
      <c r="PT340" s="11"/>
      <c r="PU340" s="11"/>
      <c r="PV340" s="11"/>
      <c r="PW340" s="11"/>
      <c r="PX340" s="11"/>
      <c r="PY340" s="11"/>
      <c r="PZ340" s="11"/>
      <c r="QA340" s="11"/>
      <c r="QB340" s="11"/>
      <c r="QC340" s="11"/>
      <c r="QD340" s="11"/>
      <c r="QE340" s="11"/>
      <c r="QF340" s="11"/>
      <c r="QG340" s="11"/>
      <c r="QH340" s="11"/>
      <c r="QI340" s="11"/>
      <c r="QJ340" s="11"/>
      <c r="QK340" s="11"/>
      <c r="QL340" s="11"/>
      <c r="QM340" s="11"/>
      <c r="QN340" s="11"/>
      <c r="QO340" s="11"/>
      <c r="QP340" s="11"/>
      <c r="QQ340" s="11"/>
      <c r="QR340" s="11"/>
      <c r="QS340" s="11"/>
      <c r="QT340" s="11"/>
      <c r="QU340" s="11"/>
      <c r="QV340" s="11"/>
      <c r="QW340" s="11"/>
      <c r="QX340" s="11"/>
      <c r="QY340" s="11"/>
      <c r="QZ340" s="11"/>
      <c r="RA340" s="11"/>
      <c r="RB340" s="11"/>
      <c r="RC340" s="11"/>
      <c r="RD340" s="11"/>
      <c r="RE340" s="11"/>
      <c r="RF340" s="11"/>
      <c r="RG340" s="11"/>
      <c r="RH340" s="11"/>
      <c r="RI340" s="11"/>
      <c r="RJ340" s="11"/>
      <c r="RK340" s="11"/>
      <c r="RL340" s="11"/>
      <c r="RM340" s="11"/>
      <c r="RN340" s="11"/>
      <c r="RO340" s="11"/>
      <c r="RP340" s="11"/>
      <c r="RQ340" s="11"/>
      <c r="RR340" s="11"/>
      <c r="RS340" s="11"/>
      <c r="RT340" s="11"/>
      <c r="RU340" s="11"/>
      <c r="RV340" s="11"/>
      <c r="RW340" s="11"/>
      <c r="RX340" s="11"/>
      <c r="RY340" s="11"/>
      <c r="RZ340" s="11"/>
      <c r="SA340" s="11"/>
      <c r="SB340" s="11"/>
      <c r="SC340" s="11"/>
      <c r="SD340" s="11"/>
      <c r="SE340" s="11"/>
      <c r="SF340" s="11"/>
      <c r="SG340" s="11"/>
      <c r="SH340" s="11">
        <v>1</v>
      </c>
    </row>
    <row r="341" spans="1:502" x14ac:dyDescent="0.2">
      <c r="A341" s="10">
        <v>3.5142838455980215E-2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>
        <v>1</v>
      </c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  <c r="OM341" s="11"/>
      <c r="ON341" s="11"/>
      <c r="OO341" s="11"/>
      <c r="OP341" s="11"/>
      <c r="OQ341" s="11"/>
      <c r="OR341" s="11"/>
      <c r="OS341" s="11"/>
      <c r="OT341" s="11"/>
      <c r="OU341" s="11"/>
      <c r="OV341" s="11"/>
      <c r="OW341" s="11"/>
      <c r="OX341" s="11"/>
      <c r="OY341" s="11"/>
      <c r="OZ341" s="11"/>
      <c r="PA341" s="11"/>
      <c r="PB341" s="11"/>
      <c r="PC341" s="11"/>
      <c r="PD341" s="11"/>
      <c r="PE341" s="11"/>
      <c r="PF341" s="11"/>
      <c r="PG341" s="11"/>
      <c r="PH341" s="11"/>
      <c r="PI341" s="11"/>
      <c r="PJ341" s="11"/>
      <c r="PK341" s="11"/>
      <c r="PL341" s="11"/>
      <c r="PM341" s="11"/>
      <c r="PN341" s="11"/>
      <c r="PO341" s="11"/>
      <c r="PP341" s="11"/>
      <c r="PQ341" s="11"/>
      <c r="PR341" s="11"/>
      <c r="PS341" s="11"/>
      <c r="PT341" s="11"/>
      <c r="PU341" s="11"/>
      <c r="PV341" s="11"/>
      <c r="PW341" s="11"/>
      <c r="PX341" s="11"/>
      <c r="PY341" s="11"/>
      <c r="PZ341" s="11"/>
      <c r="QA341" s="11"/>
      <c r="QB341" s="11"/>
      <c r="QC341" s="11"/>
      <c r="QD341" s="11"/>
      <c r="QE341" s="11"/>
      <c r="QF341" s="11"/>
      <c r="QG341" s="11"/>
      <c r="QH341" s="11"/>
      <c r="QI341" s="11"/>
      <c r="QJ341" s="11"/>
      <c r="QK341" s="11"/>
      <c r="QL341" s="11"/>
      <c r="QM341" s="11"/>
      <c r="QN341" s="11"/>
      <c r="QO341" s="11"/>
      <c r="QP341" s="11"/>
      <c r="QQ341" s="11"/>
      <c r="QR341" s="11"/>
      <c r="QS341" s="11"/>
      <c r="QT341" s="11"/>
      <c r="QU341" s="11"/>
      <c r="QV341" s="11"/>
      <c r="QW341" s="11"/>
      <c r="QX341" s="11"/>
      <c r="QY341" s="11"/>
      <c r="QZ341" s="11"/>
      <c r="RA341" s="11"/>
      <c r="RB341" s="11"/>
      <c r="RC341" s="11"/>
      <c r="RD341" s="11"/>
      <c r="RE341" s="11"/>
      <c r="RF341" s="11"/>
      <c r="RG341" s="11"/>
      <c r="RH341" s="11"/>
      <c r="RI341" s="11"/>
      <c r="RJ341" s="11"/>
      <c r="RK341" s="11"/>
      <c r="RL341" s="11"/>
      <c r="RM341" s="11"/>
      <c r="RN341" s="11"/>
      <c r="RO341" s="11"/>
      <c r="RP341" s="11"/>
      <c r="RQ341" s="11"/>
      <c r="RR341" s="11"/>
      <c r="RS341" s="11"/>
      <c r="RT341" s="11"/>
      <c r="RU341" s="11"/>
      <c r="RV341" s="11"/>
      <c r="RW341" s="11"/>
      <c r="RX341" s="11"/>
      <c r="RY341" s="11"/>
      <c r="RZ341" s="11"/>
      <c r="SA341" s="11"/>
      <c r="SB341" s="11"/>
      <c r="SC341" s="11"/>
      <c r="SD341" s="11"/>
      <c r="SE341" s="11"/>
      <c r="SF341" s="11"/>
      <c r="SG341" s="11"/>
      <c r="SH341" s="11">
        <v>1</v>
      </c>
    </row>
    <row r="342" spans="1:502" x14ac:dyDescent="0.2">
      <c r="A342" s="10">
        <v>3.5301752292534849E-2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>
        <v>1</v>
      </c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  <c r="OM342" s="11"/>
      <c r="ON342" s="11"/>
      <c r="OO342" s="11"/>
      <c r="OP342" s="11"/>
      <c r="OQ342" s="11"/>
      <c r="OR342" s="11"/>
      <c r="OS342" s="11"/>
      <c r="OT342" s="11"/>
      <c r="OU342" s="11"/>
      <c r="OV342" s="11"/>
      <c r="OW342" s="11"/>
      <c r="OX342" s="11"/>
      <c r="OY342" s="11"/>
      <c r="OZ342" s="11"/>
      <c r="PA342" s="11"/>
      <c r="PB342" s="11"/>
      <c r="PC342" s="11"/>
      <c r="PD342" s="11"/>
      <c r="PE342" s="11"/>
      <c r="PF342" s="11"/>
      <c r="PG342" s="11"/>
      <c r="PH342" s="11"/>
      <c r="PI342" s="11"/>
      <c r="PJ342" s="11"/>
      <c r="PK342" s="11"/>
      <c r="PL342" s="11"/>
      <c r="PM342" s="11"/>
      <c r="PN342" s="11"/>
      <c r="PO342" s="11"/>
      <c r="PP342" s="11"/>
      <c r="PQ342" s="11"/>
      <c r="PR342" s="11"/>
      <c r="PS342" s="11"/>
      <c r="PT342" s="11"/>
      <c r="PU342" s="11"/>
      <c r="PV342" s="11"/>
      <c r="PW342" s="11"/>
      <c r="PX342" s="11"/>
      <c r="PY342" s="11"/>
      <c r="PZ342" s="11"/>
      <c r="QA342" s="11"/>
      <c r="QB342" s="11"/>
      <c r="QC342" s="11"/>
      <c r="QD342" s="11"/>
      <c r="QE342" s="11"/>
      <c r="QF342" s="11"/>
      <c r="QG342" s="11"/>
      <c r="QH342" s="11"/>
      <c r="QI342" s="11"/>
      <c r="QJ342" s="11"/>
      <c r="QK342" s="11"/>
      <c r="QL342" s="11"/>
      <c r="QM342" s="11"/>
      <c r="QN342" s="11"/>
      <c r="QO342" s="11"/>
      <c r="QP342" s="11"/>
      <c r="QQ342" s="11"/>
      <c r="QR342" s="11"/>
      <c r="QS342" s="11"/>
      <c r="QT342" s="11"/>
      <c r="QU342" s="11"/>
      <c r="QV342" s="11"/>
      <c r="QW342" s="11"/>
      <c r="QX342" s="11"/>
      <c r="QY342" s="11"/>
      <c r="QZ342" s="11"/>
      <c r="RA342" s="11"/>
      <c r="RB342" s="11"/>
      <c r="RC342" s="11"/>
      <c r="RD342" s="11"/>
      <c r="RE342" s="11"/>
      <c r="RF342" s="11"/>
      <c r="RG342" s="11"/>
      <c r="RH342" s="11"/>
      <c r="RI342" s="11"/>
      <c r="RJ342" s="11"/>
      <c r="RK342" s="11"/>
      <c r="RL342" s="11"/>
      <c r="RM342" s="11"/>
      <c r="RN342" s="11"/>
      <c r="RO342" s="11"/>
      <c r="RP342" s="11"/>
      <c r="RQ342" s="11"/>
      <c r="RR342" s="11"/>
      <c r="RS342" s="11"/>
      <c r="RT342" s="11"/>
      <c r="RU342" s="11"/>
      <c r="RV342" s="11"/>
      <c r="RW342" s="11"/>
      <c r="RX342" s="11"/>
      <c r="RY342" s="11"/>
      <c r="RZ342" s="11"/>
      <c r="SA342" s="11"/>
      <c r="SB342" s="11"/>
      <c r="SC342" s="11"/>
      <c r="SD342" s="11"/>
      <c r="SE342" s="11"/>
      <c r="SF342" s="11"/>
      <c r="SG342" s="11"/>
      <c r="SH342" s="11">
        <v>1</v>
      </c>
    </row>
    <row r="343" spans="1:502" x14ac:dyDescent="0.2">
      <c r="A343" s="10">
        <v>3.531382713339859E-2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>
        <v>1</v>
      </c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  <c r="OM343" s="11"/>
      <c r="ON343" s="11"/>
      <c r="OO343" s="11"/>
      <c r="OP343" s="11"/>
      <c r="OQ343" s="11"/>
      <c r="OR343" s="11"/>
      <c r="OS343" s="11"/>
      <c r="OT343" s="11"/>
      <c r="OU343" s="11"/>
      <c r="OV343" s="11"/>
      <c r="OW343" s="11"/>
      <c r="OX343" s="11"/>
      <c r="OY343" s="11"/>
      <c r="OZ343" s="11"/>
      <c r="PA343" s="11"/>
      <c r="PB343" s="11"/>
      <c r="PC343" s="11"/>
      <c r="PD343" s="11"/>
      <c r="PE343" s="11"/>
      <c r="PF343" s="11"/>
      <c r="PG343" s="11"/>
      <c r="PH343" s="11"/>
      <c r="PI343" s="11"/>
      <c r="PJ343" s="11"/>
      <c r="PK343" s="11"/>
      <c r="PL343" s="11"/>
      <c r="PM343" s="11"/>
      <c r="PN343" s="11"/>
      <c r="PO343" s="11"/>
      <c r="PP343" s="11"/>
      <c r="PQ343" s="11"/>
      <c r="PR343" s="11"/>
      <c r="PS343" s="11"/>
      <c r="PT343" s="11"/>
      <c r="PU343" s="11"/>
      <c r="PV343" s="11"/>
      <c r="PW343" s="11"/>
      <c r="PX343" s="11"/>
      <c r="PY343" s="11"/>
      <c r="PZ343" s="11"/>
      <c r="QA343" s="11"/>
      <c r="QB343" s="11"/>
      <c r="QC343" s="11"/>
      <c r="QD343" s="11"/>
      <c r="QE343" s="11"/>
      <c r="QF343" s="11"/>
      <c r="QG343" s="11"/>
      <c r="QH343" s="11"/>
      <c r="QI343" s="11"/>
      <c r="QJ343" s="11"/>
      <c r="QK343" s="11"/>
      <c r="QL343" s="11"/>
      <c r="QM343" s="11"/>
      <c r="QN343" s="11"/>
      <c r="QO343" s="11"/>
      <c r="QP343" s="11"/>
      <c r="QQ343" s="11"/>
      <c r="QR343" s="11"/>
      <c r="QS343" s="11"/>
      <c r="QT343" s="11"/>
      <c r="QU343" s="11"/>
      <c r="QV343" s="11"/>
      <c r="QW343" s="11"/>
      <c r="QX343" s="11"/>
      <c r="QY343" s="11"/>
      <c r="QZ343" s="11"/>
      <c r="RA343" s="11"/>
      <c r="RB343" s="11"/>
      <c r="RC343" s="11"/>
      <c r="RD343" s="11"/>
      <c r="RE343" s="11"/>
      <c r="RF343" s="11"/>
      <c r="RG343" s="11"/>
      <c r="RH343" s="11"/>
      <c r="RI343" s="11"/>
      <c r="RJ343" s="11"/>
      <c r="RK343" s="11"/>
      <c r="RL343" s="11"/>
      <c r="RM343" s="11"/>
      <c r="RN343" s="11"/>
      <c r="RO343" s="11"/>
      <c r="RP343" s="11"/>
      <c r="RQ343" s="11"/>
      <c r="RR343" s="11"/>
      <c r="RS343" s="11"/>
      <c r="RT343" s="11"/>
      <c r="RU343" s="11"/>
      <c r="RV343" s="11"/>
      <c r="RW343" s="11"/>
      <c r="RX343" s="11"/>
      <c r="RY343" s="11"/>
      <c r="RZ343" s="11"/>
      <c r="SA343" s="11"/>
      <c r="SB343" s="11"/>
      <c r="SC343" s="11"/>
      <c r="SD343" s="11"/>
      <c r="SE343" s="11"/>
      <c r="SF343" s="11"/>
      <c r="SG343" s="11"/>
      <c r="SH343" s="11">
        <v>1</v>
      </c>
    </row>
    <row r="344" spans="1:502" x14ac:dyDescent="0.2">
      <c r="A344" s="10">
        <v>3.5485448563865048E-2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>
        <v>1</v>
      </c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  <c r="OM344" s="11"/>
      <c r="ON344" s="11"/>
      <c r="OO344" s="11"/>
      <c r="OP344" s="11"/>
      <c r="OQ344" s="11"/>
      <c r="OR344" s="11"/>
      <c r="OS344" s="11"/>
      <c r="OT344" s="11"/>
      <c r="OU344" s="11"/>
      <c r="OV344" s="11"/>
      <c r="OW344" s="11"/>
      <c r="OX344" s="11"/>
      <c r="OY344" s="11"/>
      <c r="OZ344" s="11"/>
      <c r="PA344" s="11"/>
      <c r="PB344" s="11"/>
      <c r="PC344" s="11"/>
      <c r="PD344" s="11"/>
      <c r="PE344" s="11"/>
      <c r="PF344" s="11"/>
      <c r="PG344" s="11"/>
      <c r="PH344" s="11"/>
      <c r="PI344" s="11"/>
      <c r="PJ344" s="11"/>
      <c r="PK344" s="11"/>
      <c r="PL344" s="11"/>
      <c r="PM344" s="11"/>
      <c r="PN344" s="11"/>
      <c r="PO344" s="11"/>
      <c r="PP344" s="11"/>
      <c r="PQ344" s="11"/>
      <c r="PR344" s="11"/>
      <c r="PS344" s="11"/>
      <c r="PT344" s="11"/>
      <c r="PU344" s="11"/>
      <c r="PV344" s="11"/>
      <c r="PW344" s="11"/>
      <c r="PX344" s="11"/>
      <c r="PY344" s="11"/>
      <c r="PZ344" s="11"/>
      <c r="QA344" s="11"/>
      <c r="QB344" s="11"/>
      <c r="QC344" s="11"/>
      <c r="QD344" s="11"/>
      <c r="QE344" s="11"/>
      <c r="QF344" s="11"/>
      <c r="QG344" s="11"/>
      <c r="QH344" s="11"/>
      <c r="QI344" s="11"/>
      <c r="QJ344" s="11"/>
      <c r="QK344" s="11"/>
      <c r="QL344" s="11"/>
      <c r="QM344" s="11"/>
      <c r="QN344" s="11"/>
      <c r="QO344" s="11"/>
      <c r="QP344" s="11"/>
      <c r="QQ344" s="11"/>
      <c r="QR344" s="11"/>
      <c r="QS344" s="11"/>
      <c r="QT344" s="11"/>
      <c r="QU344" s="11"/>
      <c r="QV344" s="11"/>
      <c r="QW344" s="11"/>
      <c r="QX344" s="11"/>
      <c r="QY344" s="11"/>
      <c r="QZ344" s="11"/>
      <c r="RA344" s="11"/>
      <c r="RB344" s="11"/>
      <c r="RC344" s="11"/>
      <c r="RD344" s="11"/>
      <c r="RE344" s="11"/>
      <c r="RF344" s="11"/>
      <c r="RG344" s="11"/>
      <c r="RH344" s="11"/>
      <c r="RI344" s="11"/>
      <c r="RJ344" s="11"/>
      <c r="RK344" s="11"/>
      <c r="RL344" s="11"/>
      <c r="RM344" s="11"/>
      <c r="RN344" s="11"/>
      <c r="RO344" s="11"/>
      <c r="RP344" s="11"/>
      <c r="RQ344" s="11"/>
      <c r="RR344" s="11"/>
      <c r="RS344" s="11"/>
      <c r="RT344" s="11"/>
      <c r="RU344" s="11"/>
      <c r="RV344" s="11"/>
      <c r="RW344" s="11"/>
      <c r="RX344" s="11"/>
      <c r="RY344" s="11"/>
      <c r="RZ344" s="11"/>
      <c r="SA344" s="11"/>
      <c r="SB344" s="11"/>
      <c r="SC344" s="11"/>
      <c r="SD344" s="11"/>
      <c r="SE344" s="11"/>
      <c r="SF344" s="11"/>
      <c r="SG344" s="11"/>
      <c r="SH344" s="11">
        <v>1</v>
      </c>
    </row>
    <row r="345" spans="1:502" x14ac:dyDescent="0.2">
      <c r="A345" s="10">
        <v>3.5575141716660673E-2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>
        <v>1</v>
      </c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  <c r="OM345" s="11"/>
      <c r="ON345" s="11"/>
      <c r="OO345" s="11"/>
      <c r="OP345" s="11"/>
      <c r="OQ345" s="11"/>
      <c r="OR345" s="11"/>
      <c r="OS345" s="11"/>
      <c r="OT345" s="11"/>
      <c r="OU345" s="11"/>
      <c r="OV345" s="11"/>
      <c r="OW345" s="11"/>
      <c r="OX345" s="11"/>
      <c r="OY345" s="11"/>
      <c r="OZ345" s="11"/>
      <c r="PA345" s="11"/>
      <c r="PB345" s="11"/>
      <c r="PC345" s="11"/>
      <c r="PD345" s="11"/>
      <c r="PE345" s="11"/>
      <c r="PF345" s="11"/>
      <c r="PG345" s="11"/>
      <c r="PH345" s="11"/>
      <c r="PI345" s="11"/>
      <c r="PJ345" s="11"/>
      <c r="PK345" s="11"/>
      <c r="PL345" s="11"/>
      <c r="PM345" s="11"/>
      <c r="PN345" s="11"/>
      <c r="PO345" s="11"/>
      <c r="PP345" s="11"/>
      <c r="PQ345" s="11"/>
      <c r="PR345" s="11"/>
      <c r="PS345" s="11"/>
      <c r="PT345" s="11"/>
      <c r="PU345" s="11"/>
      <c r="PV345" s="11"/>
      <c r="PW345" s="11"/>
      <c r="PX345" s="11"/>
      <c r="PY345" s="11"/>
      <c r="PZ345" s="11"/>
      <c r="QA345" s="11"/>
      <c r="QB345" s="11"/>
      <c r="QC345" s="11"/>
      <c r="QD345" s="11"/>
      <c r="QE345" s="11"/>
      <c r="QF345" s="11"/>
      <c r="QG345" s="11"/>
      <c r="QH345" s="11"/>
      <c r="QI345" s="11"/>
      <c r="QJ345" s="11"/>
      <c r="QK345" s="11"/>
      <c r="QL345" s="11"/>
      <c r="QM345" s="11"/>
      <c r="QN345" s="11"/>
      <c r="QO345" s="11"/>
      <c r="QP345" s="11"/>
      <c r="QQ345" s="11"/>
      <c r="QR345" s="11"/>
      <c r="QS345" s="11"/>
      <c r="QT345" s="11"/>
      <c r="QU345" s="11"/>
      <c r="QV345" s="11"/>
      <c r="QW345" s="11"/>
      <c r="QX345" s="11"/>
      <c r="QY345" s="11"/>
      <c r="QZ345" s="11"/>
      <c r="RA345" s="11"/>
      <c r="RB345" s="11"/>
      <c r="RC345" s="11"/>
      <c r="RD345" s="11"/>
      <c r="RE345" s="11"/>
      <c r="RF345" s="11"/>
      <c r="RG345" s="11"/>
      <c r="RH345" s="11"/>
      <c r="RI345" s="11"/>
      <c r="RJ345" s="11"/>
      <c r="RK345" s="11"/>
      <c r="RL345" s="11"/>
      <c r="RM345" s="11"/>
      <c r="RN345" s="11"/>
      <c r="RO345" s="11"/>
      <c r="RP345" s="11"/>
      <c r="RQ345" s="11"/>
      <c r="RR345" s="11"/>
      <c r="RS345" s="11"/>
      <c r="RT345" s="11"/>
      <c r="RU345" s="11"/>
      <c r="RV345" s="11"/>
      <c r="RW345" s="11"/>
      <c r="RX345" s="11"/>
      <c r="RY345" s="11"/>
      <c r="RZ345" s="11"/>
      <c r="SA345" s="11"/>
      <c r="SB345" s="11"/>
      <c r="SC345" s="11"/>
      <c r="SD345" s="11"/>
      <c r="SE345" s="11"/>
      <c r="SF345" s="11"/>
      <c r="SG345" s="11"/>
      <c r="SH345" s="11">
        <v>1</v>
      </c>
    </row>
    <row r="346" spans="1:502" x14ac:dyDescent="0.2">
      <c r="A346" s="10">
        <v>3.5680058324025266E-2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>
        <v>1</v>
      </c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  <c r="OM346" s="11"/>
      <c r="ON346" s="11"/>
      <c r="OO346" s="11"/>
      <c r="OP346" s="11"/>
      <c r="OQ346" s="11"/>
      <c r="OR346" s="11"/>
      <c r="OS346" s="11"/>
      <c r="OT346" s="11"/>
      <c r="OU346" s="11"/>
      <c r="OV346" s="11"/>
      <c r="OW346" s="11"/>
      <c r="OX346" s="11"/>
      <c r="OY346" s="11"/>
      <c r="OZ346" s="11"/>
      <c r="PA346" s="11"/>
      <c r="PB346" s="11"/>
      <c r="PC346" s="11"/>
      <c r="PD346" s="11"/>
      <c r="PE346" s="11"/>
      <c r="PF346" s="11"/>
      <c r="PG346" s="11"/>
      <c r="PH346" s="11"/>
      <c r="PI346" s="11"/>
      <c r="PJ346" s="11"/>
      <c r="PK346" s="11"/>
      <c r="PL346" s="11"/>
      <c r="PM346" s="11"/>
      <c r="PN346" s="11"/>
      <c r="PO346" s="11"/>
      <c r="PP346" s="11"/>
      <c r="PQ346" s="11"/>
      <c r="PR346" s="11"/>
      <c r="PS346" s="11"/>
      <c r="PT346" s="11"/>
      <c r="PU346" s="11"/>
      <c r="PV346" s="11"/>
      <c r="PW346" s="11"/>
      <c r="PX346" s="11"/>
      <c r="PY346" s="11"/>
      <c r="PZ346" s="11"/>
      <c r="QA346" s="11"/>
      <c r="QB346" s="11"/>
      <c r="QC346" s="11"/>
      <c r="QD346" s="11"/>
      <c r="QE346" s="11"/>
      <c r="QF346" s="11"/>
      <c r="QG346" s="11"/>
      <c r="QH346" s="11"/>
      <c r="QI346" s="11"/>
      <c r="QJ346" s="11"/>
      <c r="QK346" s="11"/>
      <c r="QL346" s="11"/>
      <c r="QM346" s="11"/>
      <c r="QN346" s="11"/>
      <c r="QO346" s="11"/>
      <c r="QP346" s="11"/>
      <c r="QQ346" s="11"/>
      <c r="QR346" s="11"/>
      <c r="QS346" s="11"/>
      <c r="QT346" s="11"/>
      <c r="QU346" s="11"/>
      <c r="QV346" s="11"/>
      <c r="QW346" s="11"/>
      <c r="QX346" s="11"/>
      <c r="QY346" s="11"/>
      <c r="QZ346" s="11"/>
      <c r="RA346" s="11"/>
      <c r="RB346" s="11"/>
      <c r="RC346" s="11"/>
      <c r="RD346" s="11"/>
      <c r="RE346" s="11"/>
      <c r="RF346" s="11"/>
      <c r="RG346" s="11"/>
      <c r="RH346" s="11"/>
      <c r="RI346" s="11"/>
      <c r="RJ346" s="11"/>
      <c r="RK346" s="11"/>
      <c r="RL346" s="11"/>
      <c r="RM346" s="11"/>
      <c r="RN346" s="11"/>
      <c r="RO346" s="11"/>
      <c r="RP346" s="11"/>
      <c r="RQ346" s="11"/>
      <c r="RR346" s="11"/>
      <c r="RS346" s="11"/>
      <c r="RT346" s="11"/>
      <c r="RU346" s="11"/>
      <c r="RV346" s="11"/>
      <c r="RW346" s="11"/>
      <c r="RX346" s="11"/>
      <c r="RY346" s="11"/>
      <c r="RZ346" s="11"/>
      <c r="SA346" s="11"/>
      <c r="SB346" s="11"/>
      <c r="SC346" s="11"/>
      <c r="SD346" s="11"/>
      <c r="SE346" s="11"/>
      <c r="SF346" s="11"/>
      <c r="SG346" s="11"/>
      <c r="SH346" s="11">
        <v>1</v>
      </c>
    </row>
    <row r="347" spans="1:502" x14ac:dyDescent="0.2">
      <c r="A347" s="10">
        <v>3.5889766676554739E-2</v>
      </c>
      <c r="B347" s="11"/>
      <c r="C347" s="11"/>
      <c r="D347" s="11"/>
      <c r="E347" s="11"/>
      <c r="F347" s="11"/>
      <c r="G347" s="11"/>
      <c r="H347" s="11"/>
      <c r="I347" s="11"/>
      <c r="J347" s="11">
        <v>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  <c r="OM347" s="11"/>
      <c r="ON347" s="11"/>
      <c r="OO347" s="11"/>
      <c r="OP347" s="11"/>
      <c r="OQ347" s="11"/>
      <c r="OR347" s="11"/>
      <c r="OS347" s="11"/>
      <c r="OT347" s="11"/>
      <c r="OU347" s="11"/>
      <c r="OV347" s="11"/>
      <c r="OW347" s="11"/>
      <c r="OX347" s="11"/>
      <c r="OY347" s="11"/>
      <c r="OZ347" s="11"/>
      <c r="PA347" s="11"/>
      <c r="PB347" s="11"/>
      <c r="PC347" s="11"/>
      <c r="PD347" s="11"/>
      <c r="PE347" s="11"/>
      <c r="PF347" s="11"/>
      <c r="PG347" s="11"/>
      <c r="PH347" s="11"/>
      <c r="PI347" s="11"/>
      <c r="PJ347" s="11"/>
      <c r="PK347" s="11"/>
      <c r="PL347" s="11"/>
      <c r="PM347" s="11"/>
      <c r="PN347" s="11"/>
      <c r="PO347" s="11"/>
      <c r="PP347" s="11"/>
      <c r="PQ347" s="11"/>
      <c r="PR347" s="11"/>
      <c r="PS347" s="11"/>
      <c r="PT347" s="11"/>
      <c r="PU347" s="11"/>
      <c r="PV347" s="11"/>
      <c r="PW347" s="11"/>
      <c r="PX347" s="11"/>
      <c r="PY347" s="11"/>
      <c r="PZ347" s="11"/>
      <c r="QA347" s="11"/>
      <c r="QB347" s="11"/>
      <c r="QC347" s="11"/>
      <c r="QD347" s="11"/>
      <c r="QE347" s="11"/>
      <c r="QF347" s="11"/>
      <c r="QG347" s="11"/>
      <c r="QH347" s="11"/>
      <c r="QI347" s="11"/>
      <c r="QJ347" s="11"/>
      <c r="QK347" s="11"/>
      <c r="QL347" s="11"/>
      <c r="QM347" s="11"/>
      <c r="QN347" s="11"/>
      <c r="QO347" s="11"/>
      <c r="QP347" s="11"/>
      <c r="QQ347" s="11"/>
      <c r="QR347" s="11"/>
      <c r="QS347" s="11"/>
      <c r="QT347" s="11"/>
      <c r="QU347" s="11"/>
      <c r="QV347" s="11"/>
      <c r="QW347" s="11"/>
      <c r="QX347" s="11"/>
      <c r="QY347" s="11"/>
      <c r="QZ347" s="11"/>
      <c r="RA347" s="11"/>
      <c r="RB347" s="11"/>
      <c r="RC347" s="11"/>
      <c r="RD347" s="11"/>
      <c r="RE347" s="11"/>
      <c r="RF347" s="11"/>
      <c r="RG347" s="11"/>
      <c r="RH347" s="11"/>
      <c r="RI347" s="11"/>
      <c r="RJ347" s="11"/>
      <c r="RK347" s="11"/>
      <c r="RL347" s="11"/>
      <c r="RM347" s="11"/>
      <c r="RN347" s="11"/>
      <c r="RO347" s="11"/>
      <c r="RP347" s="11"/>
      <c r="RQ347" s="11"/>
      <c r="RR347" s="11"/>
      <c r="RS347" s="11"/>
      <c r="RT347" s="11"/>
      <c r="RU347" s="11"/>
      <c r="RV347" s="11"/>
      <c r="RW347" s="11"/>
      <c r="RX347" s="11"/>
      <c r="RY347" s="11"/>
      <c r="RZ347" s="11"/>
      <c r="SA347" s="11"/>
      <c r="SB347" s="11"/>
      <c r="SC347" s="11"/>
      <c r="SD347" s="11"/>
      <c r="SE347" s="11"/>
      <c r="SF347" s="11"/>
      <c r="SG347" s="11"/>
      <c r="SH347" s="11">
        <v>1</v>
      </c>
    </row>
    <row r="348" spans="1:502" x14ac:dyDescent="0.2">
      <c r="A348" s="10">
        <v>3.5897561494637409E-2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>
        <v>1</v>
      </c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  <c r="OM348" s="11"/>
      <c r="ON348" s="11"/>
      <c r="OO348" s="11"/>
      <c r="OP348" s="11"/>
      <c r="OQ348" s="11"/>
      <c r="OR348" s="11"/>
      <c r="OS348" s="11"/>
      <c r="OT348" s="11"/>
      <c r="OU348" s="11"/>
      <c r="OV348" s="11"/>
      <c r="OW348" s="11"/>
      <c r="OX348" s="11"/>
      <c r="OY348" s="11"/>
      <c r="OZ348" s="11"/>
      <c r="PA348" s="11"/>
      <c r="PB348" s="11"/>
      <c r="PC348" s="11"/>
      <c r="PD348" s="11"/>
      <c r="PE348" s="11"/>
      <c r="PF348" s="11"/>
      <c r="PG348" s="11"/>
      <c r="PH348" s="11"/>
      <c r="PI348" s="11"/>
      <c r="PJ348" s="11"/>
      <c r="PK348" s="11"/>
      <c r="PL348" s="11"/>
      <c r="PM348" s="11"/>
      <c r="PN348" s="11"/>
      <c r="PO348" s="11"/>
      <c r="PP348" s="11"/>
      <c r="PQ348" s="11"/>
      <c r="PR348" s="11"/>
      <c r="PS348" s="11"/>
      <c r="PT348" s="11"/>
      <c r="PU348" s="11"/>
      <c r="PV348" s="11"/>
      <c r="PW348" s="11"/>
      <c r="PX348" s="11"/>
      <c r="PY348" s="11"/>
      <c r="PZ348" s="11"/>
      <c r="QA348" s="11"/>
      <c r="QB348" s="11"/>
      <c r="QC348" s="11"/>
      <c r="QD348" s="11"/>
      <c r="QE348" s="11"/>
      <c r="QF348" s="11"/>
      <c r="QG348" s="11"/>
      <c r="QH348" s="11"/>
      <c r="QI348" s="11"/>
      <c r="QJ348" s="11"/>
      <c r="QK348" s="11"/>
      <c r="QL348" s="11"/>
      <c r="QM348" s="11"/>
      <c r="QN348" s="11"/>
      <c r="QO348" s="11"/>
      <c r="QP348" s="11"/>
      <c r="QQ348" s="11"/>
      <c r="QR348" s="11"/>
      <c r="QS348" s="11"/>
      <c r="QT348" s="11"/>
      <c r="QU348" s="11"/>
      <c r="QV348" s="11"/>
      <c r="QW348" s="11"/>
      <c r="QX348" s="11"/>
      <c r="QY348" s="11"/>
      <c r="QZ348" s="11"/>
      <c r="RA348" s="11"/>
      <c r="RB348" s="11"/>
      <c r="RC348" s="11"/>
      <c r="RD348" s="11"/>
      <c r="RE348" s="11"/>
      <c r="RF348" s="11"/>
      <c r="RG348" s="11"/>
      <c r="RH348" s="11"/>
      <c r="RI348" s="11"/>
      <c r="RJ348" s="11"/>
      <c r="RK348" s="11"/>
      <c r="RL348" s="11"/>
      <c r="RM348" s="11"/>
      <c r="RN348" s="11"/>
      <c r="RO348" s="11"/>
      <c r="RP348" s="11"/>
      <c r="RQ348" s="11"/>
      <c r="RR348" s="11"/>
      <c r="RS348" s="11"/>
      <c r="RT348" s="11"/>
      <c r="RU348" s="11"/>
      <c r="RV348" s="11"/>
      <c r="RW348" s="11"/>
      <c r="RX348" s="11"/>
      <c r="RY348" s="11"/>
      <c r="RZ348" s="11"/>
      <c r="SA348" s="11"/>
      <c r="SB348" s="11"/>
      <c r="SC348" s="11"/>
      <c r="SD348" s="11"/>
      <c r="SE348" s="11"/>
      <c r="SF348" s="11"/>
      <c r="SG348" s="11"/>
      <c r="SH348" s="11">
        <v>1</v>
      </c>
    </row>
    <row r="349" spans="1:502" x14ac:dyDescent="0.2">
      <c r="A349" s="10">
        <v>3.5955466489624693E-2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>
        <v>1</v>
      </c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  <c r="OM349" s="11"/>
      <c r="ON349" s="11"/>
      <c r="OO349" s="11"/>
      <c r="OP349" s="11"/>
      <c r="OQ349" s="11"/>
      <c r="OR349" s="11"/>
      <c r="OS349" s="11"/>
      <c r="OT349" s="11"/>
      <c r="OU349" s="11"/>
      <c r="OV349" s="11"/>
      <c r="OW349" s="11"/>
      <c r="OX349" s="11"/>
      <c r="OY349" s="11"/>
      <c r="OZ349" s="11"/>
      <c r="PA349" s="11"/>
      <c r="PB349" s="11"/>
      <c r="PC349" s="11"/>
      <c r="PD349" s="11"/>
      <c r="PE349" s="11"/>
      <c r="PF349" s="11"/>
      <c r="PG349" s="11"/>
      <c r="PH349" s="11"/>
      <c r="PI349" s="11"/>
      <c r="PJ349" s="11"/>
      <c r="PK349" s="11"/>
      <c r="PL349" s="11"/>
      <c r="PM349" s="11"/>
      <c r="PN349" s="11"/>
      <c r="PO349" s="11"/>
      <c r="PP349" s="11"/>
      <c r="PQ349" s="11"/>
      <c r="PR349" s="11"/>
      <c r="PS349" s="11"/>
      <c r="PT349" s="11"/>
      <c r="PU349" s="11"/>
      <c r="PV349" s="11"/>
      <c r="PW349" s="11"/>
      <c r="PX349" s="11"/>
      <c r="PY349" s="11"/>
      <c r="PZ349" s="11"/>
      <c r="QA349" s="11"/>
      <c r="QB349" s="11"/>
      <c r="QC349" s="11"/>
      <c r="QD349" s="11"/>
      <c r="QE349" s="11"/>
      <c r="QF349" s="11"/>
      <c r="QG349" s="11"/>
      <c r="QH349" s="11"/>
      <c r="QI349" s="11"/>
      <c r="QJ349" s="11"/>
      <c r="QK349" s="11"/>
      <c r="QL349" s="11"/>
      <c r="QM349" s="11"/>
      <c r="QN349" s="11"/>
      <c r="QO349" s="11"/>
      <c r="QP349" s="11"/>
      <c r="QQ349" s="11"/>
      <c r="QR349" s="11"/>
      <c r="QS349" s="11"/>
      <c r="QT349" s="11"/>
      <c r="QU349" s="11"/>
      <c r="QV349" s="11"/>
      <c r="QW349" s="11"/>
      <c r="QX349" s="11"/>
      <c r="QY349" s="11"/>
      <c r="QZ349" s="11"/>
      <c r="RA349" s="11"/>
      <c r="RB349" s="11"/>
      <c r="RC349" s="11"/>
      <c r="RD349" s="11"/>
      <c r="RE349" s="11"/>
      <c r="RF349" s="11"/>
      <c r="RG349" s="11"/>
      <c r="RH349" s="11"/>
      <c r="RI349" s="11"/>
      <c r="RJ349" s="11"/>
      <c r="RK349" s="11"/>
      <c r="RL349" s="11"/>
      <c r="RM349" s="11"/>
      <c r="RN349" s="11"/>
      <c r="RO349" s="11"/>
      <c r="RP349" s="11"/>
      <c r="RQ349" s="11"/>
      <c r="RR349" s="11"/>
      <c r="RS349" s="11"/>
      <c r="RT349" s="11"/>
      <c r="RU349" s="11"/>
      <c r="RV349" s="11"/>
      <c r="RW349" s="11"/>
      <c r="RX349" s="11"/>
      <c r="RY349" s="11"/>
      <c r="RZ349" s="11"/>
      <c r="SA349" s="11"/>
      <c r="SB349" s="11"/>
      <c r="SC349" s="11"/>
      <c r="SD349" s="11"/>
      <c r="SE349" s="11"/>
      <c r="SF349" s="11"/>
      <c r="SG349" s="11"/>
      <c r="SH349" s="11">
        <v>1</v>
      </c>
    </row>
    <row r="350" spans="1:502" x14ac:dyDescent="0.2">
      <c r="A350" s="10">
        <v>3.6005286085594716E-2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>
        <v>1</v>
      </c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  <c r="OM350" s="11"/>
      <c r="ON350" s="11"/>
      <c r="OO350" s="11"/>
      <c r="OP350" s="11"/>
      <c r="OQ350" s="11"/>
      <c r="OR350" s="11"/>
      <c r="OS350" s="11"/>
      <c r="OT350" s="11"/>
      <c r="OU350" s="11"/>
      <c r="OV350" s="11"/>
      <c r="OW350" s="11"/>
      <c r="OX350" s="11"/>
      <c r="OY350" s="11"/>
      <c r="OZ350" s="11"/>
      <c r="PA350" s="11"/>
      <c r="PB350" s="11"/>
      <c r="PC350" s="11"/>
      <c r="PD350" s="11"/>
      <c r="PE350" s="11"/>
      <c r="PF350" s="11"/>
      <c r="PG350" s="11"/>
      <c r="PH350" s="11"/>
      <c r="PI350" s="11"/>
      <c r="PJ350" s="11"/>
      <c r="PK350" s="11"/>
      <c r="PL350" s="11"/>
      <c r="PM350" s="11"/>
      <c r="PN350" s="11"/>
      <c r="PO350" s="11"/>
      <c r="PP350" s="11"/>
      <c r="PQ350" s="11"/>
      <c r="PR350" s="11"/>
      <c r="PS350" s="11"/>
      <c r="PT350" s="11"/>
      <c r="PU350" s="11"/>
      <c r="PV350" s="11"/>
      <c r="PW350" s="11"/>
      <c r="PX350" s="11"/>
      <c r="PY350" s="11"/>
      <c r="PZ350" s="11"/>
      <c r="QA350" s="11"/>
      <c r="QB350" s="11"/>
      <c r="QC350" s="11"/>
      <c r="QD350" s="11"/>
      <c r="QE350" s="11"/>
      <c r="QF350" s="11"/>
      <c r="QG350" s="11"/>
      <c r="QH350" s="11"/>
      <c r="QI350" s="11"/>
      <c r="QJ350" s="11"/>
      <c r="QK350" s="11"/>
      <c r="QL350" s="11"/>
      <c r="QM350" s="11"/>
      <c r="QN350" s="11"/>
      <c r="QO350" s="11"/>
      <c r="QP350" s="11"/>
      <c r="QQ350" s="11"/>
      <c r="QR350" s="11"/>
      <c r="QS350" s="11"/>
      <c r="QT350" s="11"/>
      <c r="QU350" s="11"/>
      <c r="QV350" s="11"/>
      <c r="QW350" s="11"/>
      <c r="QX350" s="11"/>
      <c r="QY350" s="11"/>
      <c r="QZ350" s="11"/>
      <c r="RA350" s="11"/>
      <c r="RB350" s="11"/>
      <c r="RC350" s="11"/>
      <c r="RD350" s="11"/>
      <c r="RE350" s="11"/>
      <c r="RF350" s="11"/>
      <c r="RG350" s="11"/>
      <c r="RH350" s="11"/>
      <c r="RI350" s="11"/>
      <c r="RJ350" s="11"/>
      <c r="RK350" s="11"/>
      <c r="RL350" s="11"/>
      <c r="RM350" s="11"/>
      <c r="RN350" s="11"/>
      <c r="RO350" s="11"/>
      <c r="RP350" s="11"/>
      <c r="RQ350" s="11"/>
      <c r="RR350" s="11"/>
      <c r="RS350" s="11"/>
      <c r="RT350" s="11"/>
      <c r="RU350" s="11"/>
      <c r="RV350" s="11"/>
      <c r="RW350" s="11"/>
      <c r="RX350" s="11"/>
      <c r="RY350" s="11"/>
      <c r="RZ350" s="11"/>
      <c r="SA350" s="11"/>
      <c r="SB350" s="11"/>
      <c r="SC350" s="11"/>
      <c r="SD350" s="11"/>
      <c r="SE350" s="11"/>
      <c r="SF350" s="11"/>
      <c r="SG350" s="11"/>
      <c r="SH350" s="11">
        <v>1</v>
      </c>
    </row>
    <row r="351" spans="1:502" x14ac:dyDescent="0.2">
      <c r="A351" s="10">
        <v>3.6177805553132741E-2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>
        <v>1</v>
      </c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  <c r="OM351" s="11"/>
      <c r="ON351" s="11"/>
      <c r="OO351" s="11"/>
      <c r="OP351" s="11"/>
      <c r="OQ351" s="11"/>
      <c r="OR351" s="11"/>
      <c r="OS351" s="11"/>
      <c r="OT351" s="11"/>
      <c r="OU351" s="11"/>
      <c r="OV351" s="11"/>
      <c r="OW351" s="11"/>
      <c r="OX351" s="11"/>
      <c r="OY351" s="11"/>
      <c r="OZ351" s="11"/>
      <c r="PA351" s="11"/>
      <c r="PB351" s="11"/>
      <c r="PC351" s="11"/>
      <c r="PD351" s="11"/>
      <c r="PE351" s="11"/>
      <c r="PF351" s="11"/>
      <c r="PG351" s="11"/>
      <c r="PH351" s="11"/>
      <c r="PI351" s="11"/>
      <c r="PJ351" s="11"/>
      <c r="PK351" s="11"/>
      <c r="PL351" s="11"/>
      <c r="PM351" s="11"/>
      <c r="PN351" s="11"/>
      <c r="PO351" s="11"/>
      <c r="PP351" s="11"/>
      <c r="PQ351" s="11"/>
      <c r="PR351" s="11"/>
      <c r="PS351" s="11"/>
      <c r="PT351" s="11"/>
      <c r="PU351" s="11"/>
      <c r="PV351" s="11"/>
      <c r="PW351" s="11"/>
      <c r="PX351" s="11"/>
      <c r="PY351" s="11"/>
      <c r="PZ351" s="11"/>
      <c r="QA351" s="11"/>
      <c r="QB351" s="11"/>
      <c r="QC351" s="11"/>
      <c r="QD351" s="11"/>
      <c r="QE351" s="11"/>
      <c r="QF351" s="11"/>
      <c r="QG351" s="11"/>
      <c r="QH351" s="11"/>
      <c r="QI351" s="11"/>
      <c r="QJ351" s="11"/>
      <c r="QK351" s="11"/>
      <c r="QL351" s="11"/>
      <c r="QM351" s="11"/>
      <c r="QN351" s="11"/>
      <c r="QO351" s="11"/>
      <c r="QP351" s="11"/>
      <c r="QQ351" s="11"/>
      <c r="QR351" s="11"/>
      <c r="QS351" s="11"/>
      <c r="QT351" s="11"/>
      <c r="QU351" s="11"/>
      <c r="QV351" s="11"/>
      <c r="QW351" s="11"/>
      <c r="QX351" s="11"/>
      <c r="QY351" s="11"/>
      <c r="QZ351" s="11"/>
      <c r="RA351" s="11"/>
      <c r="RB351" s="11"/>
      <c r="RC351" s="11"/>
      <c r="RD351" s="11"/>
      <c r="RE351" s="11"/>
      <c r="RF351" s="11"/>
      <c r="RG351" s="11"/>
      <c r="RH351" s="11"/>
      <c r="RI351" s="11"/>
      <c r="RJ351" s="11"/>
      <c r="RK351" s="11"/>
      <c r="RL351" s="11"/>
      <c r="RM351" s="11"/>
      <c r="RN351" s="11"/>
      <c r="RO351" s="11"/>
      <c r="RP351" s="11"/>
      <c r="RQ351" s="11"/>
      <c r="RR351" s="11"/>
      <c r="RS351" s="11"/>
      <c r="RT351" s="11"/>
      <c r="RU351" s="11"/>
      <c r="RV351" s="11"/>
      <c r="RW351" s="11"/>
      <c r="RX351" s="11"/>
      <c r="RY351" s="11"/>
      <c r="RZ351" s="11"/>
      <c r="SA351" s="11"/>
      <c r="SB351" s="11"/>
      <c r="SC351" s="11"/>
      <c r="SD351" s="11"/>
      <c r="SE351" s="11"/>
      <c r="SF351" s="11"/>
      <c r="SG351" s="11"/>
      <c r="SH351" s="11">
        <v>1</v>
      </c>
    </row>
    <row r="352" spans="1:502" x14ac:dyDescent="0.2">
      <c r="A352" s="10">
        <v>3.6427695070677182E-2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  <c r="OM352" s="11"/>
      <c r="ON352" s="11"/>
      <c r="OO352" s="11"/>
      <c r="OP352" s="11"/>
      <c r="OQ352" s="11"/>
      <c r="OR352" s="11"/>
      <c r="OS352" s="11"/>
      <c r="OT352" s="11"/>
      <c r="OU352" s="11"/>
      <c r="OV352" s="11"/>
      <c r="OW352" s="11"/>
      <c r="OX352" s="11"/>
      <c r="OY352" s="11"/>
      <c r="OZ352" s="11"/>
      <c r="PA352" s="11"/>
      <c r="PB352" s="11"/>
      <c r="PC352" s="11"/>
      <c r="PD352" s="11"/>
      <c r="PE352" s="11"/>
      <c r="PF352" s="11"/>
      <c r="PG352" s="11"/>
      <c r="PH352" s="11"/>
      <c r="PI352" s="11"/>
      <c r="PJ352" s="11"/>
      <c r="PK352" s="11"/>
      <c r="PL352" s="11"/>
      <c r="PM352" s="11"/>
      <c r="PN352" s="11"/>
      <c r="PO352" s="11"/>
      <c r="PP352" s="11"/>
      <c r="PQ352" s="11"/>
      <c r="PR352" s="11"/>
      <c r="PS352" s="11"/>
      <c r="PT352" s="11"/>
      <c r="PU352" s="11"/>
      <c r="PV352" s="11"/>
      <c r="PW352" s="11"/>
      <c r="PX352" s="11"/>
      <c r="PY352" s="11"/>
      <c r="PZ352" s="11"/>
      <c r="QA352" s="11"/>
      <c r="QB352" s="11"/>
      <c r="QC352" s="11"/>
      <c r="QD352" s="11"/>
      <c r="QE352" s="11"/>
      <c r="QF352" s="11"/>
      <c r="QG352" s="11"/>
      <c r="QH352" s="11"/>
      <c r="QI352" s="11"/>
      <c r="QJ352" s="11"/>
      <c r="QK352" s="11"/>
      <c r="QL352" s="11"/>
      <c r="QM352" s="11"/>
      <c r="QN352" s="11"/>
      <c r="QO352" s="11"/>
      <c r="QP352" s="11"/>
      <c r="QQ352" s="11"/>
      <c r="QR352" s="11"/>
      <c r="QS352" s="11"/>
      <c r="QT352" s="11"/>
      <c r="QU352" s="11"/>
      <c r="QV352" s="11"/>
      <c r="QW352" s="11"/>
      <c r="QX352" s="11"/>
      <c r="QY352" s="11"/>
      <c r="QZ352" s="11"/>
      <c r="RA352" s="11">
        <v>1</v>
      </c>
      <c r="RB352" s="11"/>
      <c r="RC352" s="11"/>
      <c r="RD352" s="11"/>
      <c r="RE352" s="11"/>
      <c r="RF352" s="11"/>
      <c r="RG352" s="11"/>
      <c r="RH352" s="11"/>
      <c r="RI352" s="11"/>
      <c r="RJ352" s="11"/>
      <c r="RK352" s="11"/>
      <c r="RL352" s="11"/>
      <c r="RM352" s="11"/>
      <c r="RN352" s="11"/>
      <c r="RO352" s="11"/>
      <c r="RP352" s="11"/>
      <c r="RQ352" s="11"/>
      <c r="RR352" s="11"/>
      <c r="RS352" s="11"/>
      <c r="RT352" s="11"/>
      <c r="RU352" s="11"/>
      <c r="RV352" s="11"/>
      <c r="RW352" s="11"/>
      <c r="RX352" s="11"/>
      <c r="RY352" s="11"/>
      <c r="RZ352" s="11"/>
      <c r="SA352" s="11"/>
      <c r="SB352" s="11"/>
      <c r="SC352" s="11"/>
      <c r="SD352" s="11"/>
      <c r="SE352" s="11"/>
      <c r="SF352" s="11"/>
      <c r="SG352" s="11"/>
      <c r="SH352" s="11">
        <v>1</v>
      </c>
    </row>
    <row r="353" spans="1:502" x14ac:dyDescent="0.2">
      <c r="A353" s="10">
        <v>3.6432223365573106E-2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>
        <v>1</v>
      </c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  <c r="OM353" s="11"/>
      <c r="ON353" s="11"/>
      <c r="OO353" s="11"/>
      <c r="OP353" s="11"/>
      <c r="OQ353" s="11"/>
      <c r="OR353" s="11"/>
      <c r="OS353" s="11"/>
      <c r="OT353" s="11"/>
      <c r="OU353" s="11"/>
      <c r="OV353" s="11"/>
      <c r="OW353" s="11"/>
      <c r="OX353" s="11"/>
      <c r="OY353" s="11"/>
      <c r="OZ353" s="11"/>
      <c r="PA353" s="11"/>
      <c r="PB353" s="11"/>
      <c r="PC353" s="11"/>
      <c r="PD353" s="11"/>
      <c r="PE353" s="11"/>
      <c r="PF353" s="11"/>
      <c r="PG353" s="11"/>
      <c r="PH353" s="11"/>
      <c r="PI353" s="11"/>
      <c r="PJ353" s="11"/>
      <c r="PK353" s="11"/>
      <c r="PL353" s="11"/>
      <c r="PM353" s="11"/>
      <c r="PN353" s="11"/>
      <c r="PO353" s="11"/>
      <c r="PP353" s="11"/>
      <c r="PQ353" s="11"/>
      <c r="PR353" s="11"/>
      <c r="PS353" s="11"/>
      <c r="PT353" s="11"/>
      <c r="PU353" s="11"/>
      <c r="PV353" s="11"/>
      <c r="PW353" s="11"/>
      <c r="PX353" s="11"/>
      <c r="PY353" s="11"/>
      <c r="PZ353" s="11"/>
      <c r="QA353" s="11"/>
      <c r="QB353" s="11"/>
      <c r="QC353" s="11"/>
      <c r="QD353" s="11"/>
      <c r="QE353" s="11"/>
      <c r="QF353" s="11"/>
      <c r="QG353" s="11"/>
      <c r="QH353" s="11"/>
      <c r="QI353" s="11"/>
      <c r="QJ353" s="11"/>
      <c r="QK353" s="11"/>
      <c r="QL353" s="11"/>
      <c r="QM353" s="11"/>
      <c r="QN353" s="11"/>
      <c r="QO353" s="11"/>
      <c r="QP353" s="11"/>
      <c r="QQ353" s="11"/>
      <c r="QR353" s="11"/>
      <c r="QS353" s="11"/>
      <c r="QT353" s="11"/>
      <c r="QU353" s="11"/>
      <c r="QV353" s="11"/>
      <c r="QW353" s="11"/>
      <c r="QX353" s="11"/>
      <c r="QY353" s="11"/>
      <c r="QZ353" s="11"/>
      <c r="RA353" s="11"/>
      <c r="RB353" s="11"/>
      <c r="RC353" s="11"/>
      <c r="RD353" s="11"/>
      <c r="RE353" s="11"/>
      <c r="RF353" s="11"/>
      <c r="RG353" s="11"/>
      <c r="RH353" s="11"/>
      <c r="RI353" s="11"/>
      <c r="RJ353" s="11"/>
      <c r="RK353" s="11"/>
      <c r="RL353" s="11"/>
      <c r="RM353" s="11"/>
      <c r="RN353" s="11"/>
      <c r="RO353" s="11"/>
      <c r="RP353" s="11"/>
      <c r="RQ353" s="11"/>
      <c r="RR353" s="11"/>
      <c r="RS353" s="11"/>
      <c r="RT353" s="11"/>
      <c r="RU353" s="11"/>
      <c r="RV353" s="11"/>
      <c r="RW353" s="11"/>
      <c r="RX353" s="11"/>
      <c r="RY353" s="11"/>
      <c r="RZ353" s="11"/>
      <c r="SA353" s="11"/>
      <c r="SB353" s="11"/>
      <c r="SC353" s="11"/>
      <c r="SD353" s="11"/>
      <c r="SE353" s="11"/>
      <c r="SF353" s="11"/>
      <c r="SG353" s="11"/>
      <c r="SH353" s="11">
        <v>1</v>
      </c>
    </row>
    <row r="354" spans="1:502" x14ac:dyDescent="0.2">
      <c r="A354" s="10">
        <v>3.6443267640161287E-2</v>
      </c>
      <c r="B354" s="11"/>
      <c r="C354" s="11"/>
      <c r="D354" s="11"/>
      <c r="E354" s="11"/>
      <c r="F354" s="11">
        <v>1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  <c r="OM354" s="11"/>
      <c r="ON354" s="11"/>
      <c r="OO354" s="11"/>
      <c r="OP354" s="11"/>
      <c r="OQ354" s="11"/>
      <c r="OR354" s="11"/>
      <c r="OS354" s="11"/>
      <c r="OT354" s="11"/>
      <c r="OU354" s="11"/>
      <c r="OV354" s="11"/>
      <c r="OW354" s="11"/>
      <c r="OX354" s="11"/>
      <c r="OY354" s="11"/>
      <c r="OZ354" s="11"/>
      <c r="PA354" s="11"/>
      <c r="PB354" s="11"/>
      <c r="PC354" s="11"/>
      <c r="PD354" s="11"/>
      <c r="PE354" s="11"/>
      <c r="PF354" s="11"/>
      <c r="PG354" s="11"/>
      <c r="PH354" s="11"/>
      <c r="PI354" s="11"/>
      <c r="PJ354" s="11"/>
      <c r="PK354" s="11"/>
      <c r="PL354" s="11"/>
      <c r="PM354" s="11"/>
      <c r="PN354" s="11"/>
      <c r="PO354" s="11"/>
      <c r="PP354" s="11"/>
      <c r="PQ354" s="11"/>
      <c r="PR354" s="11"/>
      <c r="PS354" s="11"/>
      <c r="PT354" s="11"/>
      <c r="PU354" s="11"/>
      <c r="PV354" s="11"/>
      <c r="PW354" s="11"/>
      <c r="PX354" s="11"/>
      <c r="PY354" s="11"/>
      <c r="PZ354" s="11"/>
      <c r="QA354" s="11"/>
      <c r="QB354" s="11"/>
      <c r="QC354" s="11"/>
      <c r="QD354" s="11"/>
      <c r="QE354" s="11"/>
      <c r="QF354" s="11"/>
      <c r="QG354" s="11"/>
      <c r="QH354" s="11"/>
      <c r="QI354" s="11"/>
      <c r="QJ354" s="11"/>
      <c r="QK354" s="11"/>
      <c r="QL354" s="11"/>
      <c r="QM354" s="11"/>
      <c r="QN354" s="11"/>
      <c r="QO354" s="11"/>
      <c r="QP354" s="11"/>
      <c r="QQ354" s="11"/>
      <c r="QR354" s="11"/>
      <c r="QS354" s="11"/>
      <c r="QT354" s="11"/>
      <c r="QU354" s="11"/>
      <c r="QV354" s="11"/>
      <c r="QW354" s="11"/>
      <c r="QX354" s="11"/>
      <c r="QY354" s="11"/>
      <c r="QZ354" s="11"/>
      <c r="RA354" s="11"/>
      <c r="RB354" s="11"/>
      <c r="RC354" s="11"/>
      <c r="RD354" s="11"/>
      <c r="RE354" s="11"/>
      <c r="RF354" s="11"/>
      <c r="RG354" s="11"/>
      <c r="RH354" s="11"/>
      <c r="RI354" s="11"/>
      <c r="RJ354" s="11"/>
      <c r="RK354" s="11"/>
      <c r="RL354" s="11"/>
      <c r="RM354" s="11"/>
      <c r="RN354" s="11"/>
      <c r="RO354" s="11"/>
      <c r="RP354" s="11"/>
      <c r="RQ354" s="11"/>
      <c r="RR354" s="11"/>
      <c r="RS354" s="11"/>
      <c r="RT354" s="11"/>
      <c r="RU354" s="11"/>
      <c r="RV354" s="11"/>
      <c r="RW354" s="11"/>
      <c r="RX354" s="11"/>
      <c r="RY354" s="11"/>
      <c r="RZ354" s="11"/>
      <c r="SA354" s="11"/>
      <c r="SB354" s="11"/>
      <c r="SC354" s="11"/>
      <c r="SD354" s="11"/>
      <c r="SE354" s="11"/>
      <c r="SF354" s="11"/>
      <c r="SG354" s="11"/>
      <c r="SH354" s="11">
        <v>1</v>
      </c>
    </row>
    <row r="355" spans="1:502" x14ac:dyDescent="0.2">
      <c r="A355" s="10">
        <v>3.6458252694729909E-2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>
        <v>1</v>
      </c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  <c r="OM355" s="11"/>
      <c r="ON355" s="11"/>
      <c r="OO355" s="11"/>
      <c r="OP355" s="11"/>
      <c r="OQ355" s="11"/>
      <c r="OR355" s="11"/>
      <c r="OS355" s="11"/>
      <c r="OT355" s="11"/>
      <c r="OU355" s="11"/>
      <c r="OV355" s="11"/>
      <c r="OW355" s="11"/>
      <c r="OX355" s="11"/>
      <c r="OY355" s="11"/>
      <c r="OZ355" s="11"/>
      <c r="PA355" s="11"/>
      <c r="PB355" s="11"/>
      <c r="PC355" s="11"/>
      <c r="PD355" s="11"/>
      <c r="PE355" s="11"/>
      <c r="PF355" s="11"/>
      <c r="PG355" s="11"/>
      <c r="PH355" s="11"/>
      <c r="PI355" s="11"/>
      <c r="PJ355" s="11"/>
      <c r="PK355" s="11"/>
      <c r="PL355" s="11"/>
      <c r="PM355" s="11"/>
      <c r="PN355" s="11"/>
      <c r="PO355" s="11"/>
      <c r="PP355" s="11"/>
      <c r="PQ355" s="11"/>
      <c r="PR355" s="11"/>
      <c r="PS355" s="11"/>
      <c r="PT355" s="11"/>
      <c r="PU355" s="11"/>
      <c r="PV355" s="11"/>
      <c r="PW355" s="11"/>
      <c r="PX355" s="11"/>
      <c r="PY355" s="11"/>
      <c r="PZ355" s="11"/>
      <c r="QA355" s="11"/>
      <c r="QB355" s="11"/>
      <c r="QC355" s="11"/>
      <c r="QD355" s="11"/>
      <c r="QE355" s="11"/>
      <c r="QF355" s="11"/>
      <c r="QG355" s="11"/>
      <c r="QH355" s="11"/>
      <c r="QI355" s="11"/>
      <c r="QJ355" s="11"/>
      <c r="QK355" s="11"/>
      <c r="QL355" s="11"/>
      <c r="QM355" s="11"/>
      <c r="QN355" s="11"/>
      <c r="QO355" s="11"/>
      <c r="QP355" s="11"/>
      <c r="QQ355" s="11"/>
      <c r="QR355" s="11"/>
      <c r="QS355" s="11"/>
      <c r="QT355" s="11"/>
      <c r="QU355" s="11"/>
      <c r="QV355" s="11"/>
      <c r="QW355" s="11"/>
      <c r="QX355" s="11"/>
      <c r="QY355" s="11"/>
      <c r="QZ355" s="11"/>
      <c r="RA355" s="11"/>
      <c r="RB355" s="11"/>
      <c r="RC355" s="11"/>
      <c r="RD355" s="11"/>
      <c r="RE355" s="11"/>
      <c r="RF355" s="11"/>
      <c r="RG355" s="11"/>
      <c r="RH355" s="11"/>
      <c r="RI355" s="11"/>
      <c r="RJ355" s="11"/>
      <c r="RK355" s="11"/>
      <c r="RL355" s="11"/>
      <c r="RM355" s="11"/>
      <c r="RN355" s="11"/>
      <c r="RO355" s="11"/>
      <c r="RP355" s="11"/>
      <c r="RQ355" s="11"/>
      <c r="RR355" s="11"/>
      <c r="RS355" s="11"/>
      <c r="RT355" s="11"/>
      <c r="RU355" s="11"/>
      <c r="RV355" s="11"/>
      <c r="RW355" s="11"/>
      <c r="RX355" s="11"/>
      <c r="RY355" s="11"/>
      <c r="RZ355" s="11"/>
      <c r="SA355" s="11"/>
      <c r="SB355" s="11"/>
      <c r="SC355" s="11"/>
      <c r="SD355" s="11"/>
      <c r="SE355" s="11"/>
      <c r="SF355" s="11"/>
      <c r="SG355" s="11"/>
      <c r="SH355" s="11">
        <v>1</v>
      </c>
    </row>
    <row r="356" spans="1:502" x14ac:dyDescent="0.2">
      <c r="A356" s="10">
        <v>3.6531817015574709E-2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>
        <v>1</v>
      </c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  <c r="OM356" s="11"/>
      <c r="ON356" s="11"/>
      <c r="OO356" s="11"/>
      <c r="OP356" s="11"/>
      <c r="OQ356" s="11"/>
      <c r="OR356" s="11"/>
      <c r="OS356" s="11"/>
      <c r="OT356" s="11"/>
      <c r="OU356" s="11"/>
      <c r="OV356" s="11"/>
      <c r="OW356" s="11"/>
      <c r="OX356" s="11"/>
      <c r="OY356" s="11"/>
      <c r="OZ356" s="11"/>
      <c r="PA356" s="11"/>
      <c r="PB356" s="11"/>
      <c r="PC356" s="11"/>
      <c r="PD356" s="11"/>
      <c r="PE356" s="11"/>
      <c r="PF356" s="11"/>
      <c r="PG356" s="11"/>
      <c r="PH356" s="11"/>
      <c r="PI356" s="11"/>
      <c r="PJ356" s="11"/>
      <c r="PK356" s="11"/>
      <c r="PL356" s="11"/>
      <c r="PM356" s="11"/>
      <c r="PN356" s="11"/>
      <c r="PO356" s="11"/>
      <c r="PP356" s="11"/>
      <c r="PQ356" s="11"/>
      <c r="PR356" s="11"/>
      <c r="PS356" s="11"/>
      <c r="PT356" s="11"/>
      <c r="PU356" s="11"/>
      <c r="PV356" s="11"/>
      <c r="PW356" s="11"/>
      <c r="PX356" s="11"/>
      <c r="PY356" s="11"/>
      <c r="PZ356" s="11"/>
      <c r="QA356" s="11"/>
      <c r="QB356" s="11"/>
      <c r="QC356" s="11"/>
      <c r="QD356" s="11"/>
      <c r="QE356" s="11"/>
      <c r="QF356" s="11"/>
      <c r="QG356" s="11"/>
      <c r="QH356" s="11"/>
      <c r="QI356" s="11"/>
      <c r="QJ356" s="11"/>
      <c r="QK356" s="11"/>
      <c r="QL356" s="11"/>
      <c r="QM356" s="11"/>
      <c r="QN356" s="11"/>
      <c r="QO356" s="11"/>
      <c r="QP356" s="11"/>
      <c r="QQ356" s="11"/>
      <c r="QR356" s="11"/>
      <c r="QS356" s="11"/>
      <c r="QT356" s="11"/>
      <c r="QU356" s="11"/>
      <c r="QV356" s="11"/>
      <c r="QW356" s="11"/>
      <c r="QX356" s="11"/>
      <c r="QY356" s="11"/>
      <c r="QZ356" s="11"/>
      <c r="RA356" s="11"/>
      <c r="RB356" s="11"/>
      <c r="RC356" s="11"/>
      <c r="RD356" s="11"/>
      <c r="RE356" s="11"/>
      <c r="RF356" s="11"/>
      <c r="RG356" s="11"/>
      <c r="RH356" s="11"/>
      <c r="RI356" s="11"/>
      <c r="RJ356" s="11"/>
      <c r="RK356" s="11"/>
      <c r="RL356" s="11"/>
      <c r="RM356" s="11"/>
      <c r="RN356" s="11"/>
      <c r="RO356" s="11"/>
      <c r="RP356" s="11"/>
      <c r="RQ356" s="11"/>
      <c r="RR356" s="11"/>
      <c r="RS356" s="11"/>
      <c r="RT356" s="11"/>
      <c r="RU356" s="11"/>
      <c r="RV356" s="11"/>
      <c r="RW356" s="11"/>
      <c r="RX356" s="11"/>
      <c r="RY356" s="11"/>
      <c r="RZ356" s="11"/>
      <c r="SA356" s="11"/>
      <c r="SB356" s="11"/>
      <c r="SC356" s="11"/>
      <c r="SD356" s="11"/>
      <c r="SE356" s="11"/>
      <c r="SF356" s="11"/>
      <c r="SG356" s="11"/>
      <c r="SH356" s="11">
        <v>1</v>
      </c>
    </row>
    <row r="357" spans="1:502" x14ac:dyDescent="0.2">
      <c r="A357" s="10">
        <v>3.658587444658324E-2</v>
      </c>
      <c r="B357" s="11"/>
      <c r="C357" s="11"/>
      <c r="D357" s="11">
        <v>1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  <c r="OM357" s="11"/>
      <c r="ON357" s="11"/>
      <c r="OO357" s="11"/>
      <c r="OP357" s="11"/>
      <c r="OQ357" s="11"/>
      <c r="OR357" s="11"/>
      <c r="OS357" s="11"/>
      <c r="OT357" s="11"/>
      <c r="OU357" s="11"/>
      <c r="OV357" s="11"/>
      <c r="OW357" s="11"/>
      <c r="OX357" s="11"/>
      <c r="OY357" s="11"/>
      <c r="OZ357" s="11"/>
      <c r="PA357" s="11"/>
      <c r="PB357" s="11"/>
      <c r="PC357" s="11"/>
      <c r="PD357" s="11"/>
      <c r="PE357" s="11"/>
      <c r="PF357" s="11"/>
      <c r="PG357" s="11"/>
      <c r="PH357" s="11"/>
      <c r="PI357" s="11"/>
      <c r="PJ357" s="11"/>
      <c r="PK357" s="11"/>
      <c r="PL357" s="11"/>
      <c r="PM357" s="11"/>
      <c r="PN357" s="11"/>
      <c r="PO357" s="11"/>
      <c r="PP357" s="11"/>
      <c r="PQ357" s="11"/>
      <c r="PR357" s="11"/>
      <c r="PS357" s="11"/>
      <c r="PT357" s="11"/>
      <c r="PU357" s="11"/>
      <c r="PV357" s="11"/>
      <c r="PW357" s="11"/>
      <c r="PX357" s="11"/>
      <c r="PY357" s="11"/>
      <c r="PZ357" s="11"/>
      <c r="QA357" s="11"/>
      <c r="QB357" s="11"/>
      <c r="QC357" s="11"/>
      <c r="QD357" s="11"/>
      <c r="QE357" s="11"/>
      <c r="QF357" s="11"/>
      <c r="QG357" s="11"/>
      <c r="QH357" s="11"/>
      <c r="QI357" s="11"/>
      <c r="QJ357" s="11"/>
      <c r="QK357" s="11"/>
      <c r="QL357" s="11"/>
      <c r="QM357" s="11"/>
      <c r="QN357" s="11"/>
      <c r="QO357" s="11"/>
      <c r="QP357" s="11"/>
      <c r="QQ357" s="11"/>
      <c r="QR357" s="11"/>
      <c r="QS357" s="11"/>
      <c r="QT357" s="11"/>
      <c r="QU357" s="11"/>
      <c r="QV357" s="11"/>
      <c r="QW357" s="11"/>
      <c r="QX357" s="11"/>
      <c r="QY357" s="11"/>
      <c r="QZ357" s="11"/>
      <c r="RA357" s="11"/>
      <c r="RB357" s="11"/>
      <c r="RC357" s="11"/>
      <c r="RD357" s="11"/>
      <c r="RE357" s="11"/>
      <c r="RF357" s="11"/>
      <c r="RG357" s="11"/>
      <c r="RH357" s="11"/>
      <c r="RI357" s="11"/>
      <c r="RJ357" s="11"/>
      <c r="RK357" s="11"/>
      <c r="RL357" s="11"/>
      <c r="RM357" s="11"/>
      <c r="RN357" s="11"/>
      <c r="RO357" s="11"/>
      <c r="RP357" s="11"/>
      <c r="RQ357" s="11"/>
      <c r="RR357" s="11"/>
      <c r="RS357" s="11"/>
      <c r="RT357" s="11"/>
      <c r="RU357" s="11"/>
      <c r="RV357" s="11"/>
      <c r="RW357" s="11"/>
      <c r="RX357" s="11"/>
      <c r="RY357" s="11"/>
      <c r="RZ357" s="11"/>
      <c r="SA357" s="11"/>
      <c r="SB357" s="11"/>
      <c r="SC357" s="11"/>
      <c r="SD357" s="11"/>
      <c r="SE357" s="11"/>
      <c r="SF357" s="11"/>
      <c r="SG357" s="11"/>
      <c r="SH357" s="11">
        <v>1</v>
      </c>
    </row>
    <row r="358" spans="1:502" x14ac:dyDescent="0.2">
      <c r="A358" s="10">
        <v>3.6675508961041776E-2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>
        <v>1</v>
      </c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  <c r="OM358" s="11"/>
      <c r="ON358" s="11"/>
      <c r="OO358" s="11"/>
      <c r="OP358" s="11"/>
      <c r="OQ358" s="11"/>
      <c r="OR358" s="11"/>
      <c r="OS358" s="11"/>
      <c r="OT358" s="11"/>
      <c r="OU358" s="11"/>
      <c r="OV358" s="11"/>
      <c r="OW358" s="11"/>
      <c r="OX358" s="11"/>
      <c r="OY358" s="11"/>
      <c r="OZ358" s="11"/>
      <c r="PA358" s="11"/>
      <c r="PB358" s="11"/>
      <c r="PC358" s="11"/>
      <c r="PD358" s="11"/>
      <c r="PE358" s="11"/>
      <c r="PF358" s="11"/>
      <c r="PG358" s="11"/>
      <c r="PH358" s="11"/>
      <c r="PI358" s="11"/>
      <c r="PJ358" s="11"/>
      <c r="PK358" s="11"/>
      <c r="PL358" s="11"/>
      <c r="PM358" s="11"/>
      <c r="PN358" s="11"/>
      <c r="PO358" s="11"/>
      <c r="PP358" s="11"/>
      <c r="PQ358" s="11"/>
      <c r="PR358" s="11"/>
      <c r="PS358" s="11"/>
      <c r="PT358" s="11"/>
      <c r="PU358" s="11"/>
      <c r="PV358" s="11"/>
      <c r="PW358" s="11"/>
      <c r="PX358" s="11"/>
      <c r="PY358" s="11"/>
      <c r="PZ358" s="11"/>
      <c r="QA358" s="11"/>
      <c r="QB358" s="11"/>
      <c r="QC358" s="11"/>
      <c r="QD358" s="11"/>
      <c r="QE358" s="11"/>
      <c r="QF358" s="11"/>
      <c r="QG358" s="11"/>
      <c r="QH358" s="11"/>
      <c r="QI358" s="11"/>
      <c r="QJ358" s="11"/>
      <c r="QK358" s="11"/>
      <c r="QL358" s="11"/>
      <c r="QM358" s="11"/>
      <c r="QN358" s="11"/>
      <c r="QO358" s="11"/>
      <c r="QP358" s="11"/>
      <c r="QQ358" s="11"/>
      <c r="QR358" s="11"/>
      <c r="QS358" s="11"/>
      <c r="QT358" s="11"/>
      <c r="QU358" s="11"/>
      <c r="QV358" s="11"/>
      <c r="QW358" s="11"/>
      <c r="QX358" s="11"/>
      <c r="QY358" s="11"/>
      <c r="QZ358" s="11"/>
      <c r="RA358" s="11"/>
      <c r="RB358" s="11"/>
      <c r="RC358" s="11"/>
      <c r="RD358" s="11"/>
      <c r="RE358" s="11"/>
      <c r="RF358" s="11"/>
      <c r="RG358" s="11"/>
      <c r="RH358" s="11"/>
      <c r="RI358" s="11"/>
      <c r="RJ358" s="11"/>
      <c r="RK358" s="11"/>
      <c r="RL358" s="11"/>
      <c r="RM358" s="11"/>
      <c r="RN358" s="11"/>
      <c r="RO358" s="11"/>
      <c r="RP358" s="11"/>
      <c r="RQ358" s="11"/>
      <c r="RR358" s="11"/>
      <c r="RS358" s="11"/>
      <c r="RT358" s="11"/>
      <c r="RU358" s="11"/>
      <c r="RV358" s="11"/>
      <c r="RW358" s="11"/>
      <c r="RX358" s="11"/>
      <c r="RY358" s="11"/>
      <c r="RZ358" s="11"/>
      <c r="SA358" s="11"/>
      <c r="SB358" s="11"/>
      <c r="SC358" s="11"/>
      <c r="SD358" s="11"/>
      <c r="SE358" s="11"/>
      <c r="SF358" s="11"/>
      <c r="SG358" s="11"/>
      <c r="SH358" s="11">
        <v>1</v>
      </c>
    </row>
    <row r="359" spans="1:502" x14ac:dyDescent="0.2">
      <c r="A359" s="10">
        <v>3.6710706865598068E-2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>
        <v>1</v>
      </c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  <c r="OM359" s="11"/>
      <c r="ON359" s="11"/>
      <c r="OO359" s="11"/>
      <c r="OP359" s="11"/>
      <c r="OQ359" s="11"/>
      <c r="OR359" s="11"/>
      <c r="OS359" s="11"/>
      <c r="OT359" s="11"/>
      <c r="OU359" s="11"/>
      <c r="OV359" s="11"/>
      <c r="OW359" s="11"/>
      <c r="OX359" s="11"/>
      <c r="OY359" s="11"/>
      <c r="OZ359" s="11"/>
      <c r="PA359" s="11"/>
      <c r="PB359" s="11"/>
      <c r="PC359" s="11"/>
      <c r="PD359" s="11"/>
      <c r="PE359" s="11"/>
      <c r="PF359" s="11"/>
      <c r="PG359" s="11"/>
      <c r="PH359" s="11"/>
      <c r="PI359" s="11"/>
      <c r="PJ359" s="11"/>
      <c r="PK359" s="11"/>
      <c r="PL359" s="11"/>
      <c r="PM359" s="11"/>
      <c r="PN359" s="11"/>
      <c r="PO359" s="11"/>
      <c r="PP359" s="11"/>
      <c r="PQ359" s="11"/>
      <c r="PR359" s="11"/>
      <c r="PS359" s="11"/>
      <c r="PT359" s="11"/>
      <c r="PU359" s="11"/>
      <c r="PV359" s="11"/>
      <c r="PW359" s="11"/>
      <c r="PX359" s="11"/>
      <c r="PY359" s="11"/>
      <c r="PZ359" s="11"/>
      <c r="QA359" s="11"/>
      <c r="QB359" s="11"/>
      <c r="QC359" s="11"/>
      <c r="QD359" s="11"/>
      <c r="QE359" s="11"/>
      <c r="QF359" s="11"/>
      <c r="QG359" s="11"/>
      <c r="QH359" s="11"/>
      <c r="QI359" s="11"/>
      <c r="QJ359" s="11"/>
      <c r="QK359" s="11"/>
      <c r="QL359" s="11"/>
      <c r="QM359" s="11"/>
      <c r="QN359" s="11"/>
      <c r="QO359" s="11"/>
      <c r="QP359" s="11"/>
      <c r="QQ359" s="11"/>
      <c r="QR359" s="11"/>
      <c r="QS359" s="11"/>
      <c r="QT359" s="11"/>
      <c r="QU359" s="11"/>
      <c r="QV359" s="11"/>
      <c r="QW359" s="11"/>
      <c r="QX359" s="11"/>
      <c r="QY359" s="11"/>
      <c r="QZ359" s="11"/>
      <c r="RA359" s="11"/>
      <c r="RB359" s="11"/>
      <c r="RC359" s="11"/>
      <c r="RD359" s="11"/>
      <c r="RE359" s="11"/>
      <c r="RF359" s="11"/>
      <c r="RG359" s="11"/>
      <c r="RH359" s="11"/>
      <c r="RI359" s="11"/>
      <c r="RJ359" s="11"/>
      <c r="RK359" s="11"/>
      <c r="RL359" s="11"/>
      <c r="RM359" s="11"/>
      <c r="RN359" s="11"/>
      <c r="RO359" s="11"/>
      <c r="RP359" s="11"/>
      <c r="RQ359" s="11"/>
      <c r="RR359" s="11"/>
      <c r="RS359" s="11"/>
      <c r="RT359" s="11"/>
      <c r="RU359" s="11"/>
      <c r="RV359" s="11"/>
      <c r="RW359" s="11"/>
      <c r="RX359" s="11"/>
      <c r="RY359" s="11"/>
      <c r="RZ359" s="11"/>
      <c r="SA359" s="11"/>
      <c r="SB359" s="11"/>
      <c r="SC359" s="11"/>
      <c r="SD359" s="11"/>
      <c r="SE359" s="11"/>
      <c r="SF359" s="11"/>
      <c r="SG359" s="11"/>
      <c r="SH359" s="11">
        <v>1</v>
      </c>
    </row>
    <row r="360" spans="1:502" x14ac:dyDescent="0.2">
      <c r="A360" s="10">
        <v>3.7215169802822301E-2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>
        <v>1</v>
      </c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  <c r="OM360" s="11"/>
      <c r="ON360" s="11"/>
      <c r="OO360" s="11"/>
      <c r="OP360" s="11"/>
      <c r="OQ360" s="11"/>
      <c r="OR360" s="11"/>
      <c r="OS360" s="11"/>
      <c r="OT360" s="11"/>
      <c r="OU360" s="11"/>
      <c r="OV360" s="11"/>
      <c r="OW360" s="11"/>
      <c r="OX360" s="11"/>
      <c r="OY360" s="11"/>
      <c r="OZ360" s="11"/>
      <c r="PA360" s="11"/>
      <c r="PB360" s="11"/>
      <c r="PC360" s="11"/>
      <c r="PD360" s="11"/>
      <c r="PE360" s="11"/>
      <c r="PF360" s="11"/>
      <c r="PG360" s="11"/>
      <c r="PH360" s="11"/>
      <c r="PI360" s="11"/>
      <c r="PJ360" s="11"/>
      <c r="PK360" s="11"/>
      <c r="PL360" s="11"/>
      <c r="PM360" s="11"/>
      <c r="PN360" s="11"/>
      <c r="PO360" s="11"/>
      <c r="PP360" s="11"/>
      <c r="PQ360" s="11"/>
      <c r="PR360" s="11"/>
      <c r="PS360" s="11"/>
      <c r="PT360" s="11"/>
      <c r="PU360" s="11"/>
      <c r="PV360" s="11"/>
      <c r="PW360" s="11"/>
      <c r="PX360" s="11"/>
      <c r="PY360" s="11"/>
      <c r="PZ360" s="11"/>
      <c r="QA360" s="11"/>
      <c r="QB360" s="11"/>
      <c r="QC360" s="11"/>
      <c r="QD360" s="11"/>
      <c r="QE360" s="11"/>
      <c r="QF360" s="11"/>
      <c r="QG360" s="11"/>
      <c r="QH360" s="11"/>
      <c r="QI360" s="11"/>
      <c r="QJ360" s="11"/>
      <c r="QK360" s="11"/>
      <c r="QL360" s="11"/>
      <c r="QM360" s="11"/>
      <c r="QN360" s="11"/>
      <c r="QO360" s="11"/>
      <c r="QP360" s="11"/>
      <c r="QQ360" s="11"/>
      <c r="QR360" s="11"/>
      <c r="QS360" s="11"/>
      <c r="QT360" s="11"/>
      <c r="QU360" s="11"/>
      <c r="QV360" s="11"/>
      <c r="QW360" s="11"/>
      <c r="QX360" s="11"/>
      <c r="QY360" s="11"/>
      <c r="QZ360" s="11"/>
      <c r="RA360" s="11"/>
      <c r="RB360" s="11"/>
      <c r="RC360" s="11"/>
      <c r="RD360" s="11"/>
      <c r="RE360" s="11"/>
      <c r="RF360" s="11"/>
      <c r="RG360" s="11"/>
      <c r="RH360" s="11"/>
      <c r="RI360" s="11"/>
      <c r="RJ360" s="11"/>
      <c r="RK360" s="11"/>
      <c r="RL360" s="11"/>
      <c r="RM360" s="11"/>
      <c r="RN360" s="11"/>
      <c r="RO360" s="11"/>
      <c r="RP360" s="11"/>
      <c r="RQ360" s="11"/>
      <c r="RR360" s="11"/>
      <c r="RS360" s="11"/>
      <c r="RT360" s="11"/>
      <c r="RU360" s="11"/>
      <c r="RV360" s="11"/>
      <c r="RW360" s="11"/>
      <c r="RX360" s="11"/>
      <c r="RY360" s="11"/>
      <c r="RZ360" s="11"/>
      <c r="SA360" s="11"/>
      <c r="SB360" s="11"/>
      <c r="SC360" s="11"/>
      <c r="SD360" s="11"/>
      <c r="SE360" s="11"/>
      <c r="SF360" s="11"/>
      <c r="SG360" s="11"/>
      <c r="SH360" s="11">
        <v>1</v>
      </c>
    </row>
    <row r="361" spans="1:502" x14ac:dyDescent="0.2">
      <c r="A361" s="10">
        <v>3.7289677527923726E-2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>
        <v>1</v>
      </c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  <c r="OM361" s="11"/>
      <c r="ON361" s="11"/>
      <c r="OO361" s="11"/>
      <c r="OP361" s="11"/>
      <c r="OQ361" s="11"/>
      <c r="OR361" s="11"/>
      <c r="OS361" s="11"/>
      <c r="OT361" s="11"/>
      <c r="OU361" s="11"/>
      <c r="OV361" s="11"/>
      <c r="OW361" s="11"/>
      <c r="OX361" s="11"/>
      <c r="OY361" s="11"/>
      <c r="OZ361" s="11"/>
      <c r="PA361" s="11"/>
      <c r="PB361" s="11"/>
      <c r="PC361" s="11"/>
      <c r="PD361" s="11"/>
      <c r="PE361" s="11"/>
      <c r="PF361" s="11"/>
      <c r="PG361" s="11"/>
      <c r="PH361" s="11"/>
      <c r="PI361" s="11"/>
      <c r="PJ361" s="11"/>
      <c r="PK361" s="11"/>
      <c r="PL361" s="11"/>
      <c r="PM361" s="11"/>
      <c r="PN361" s="11"/>
      <c r="PO361" s="11"/>
      <c r="PP361" s="11"/>
      <c r="PQ361" s="11"/>
      <c r="PR361" s="11"/>
      <c r="PS361" s="11"/>
      <c r="PT361" s="11"/>
      <c r="PU361" s="11"/>
      <c r="PV361" s="11"/>
      <c r="PW361" s="11"/>
      <c r="PX361" s="11"/>
      <c r="PY361" s="11"/>
      <c r="PZ361" s="11"/>
      <c r="QA361" s="11"/>
      <c r="QB361" s="11"/>
      <c r="QC361" s="11"/>
      <c r="QD361" s="11"/>
      <c r="QE361" s="11"/>
      <c r="QF361" s="11"/>
      <c r="QG361" s="11"/>
      <c r="QH361" s="11"/>
      <c r="QI361" s="11"/>
      <c r="QJ361" s="11"/>
      <c r="QK361" s="11"/>
      <c r="QL361" s="11"/>
      <c r="QM361" s="11"/>
      <c r="QN361" s="11"/>
      <c r="QO361" s="11"/>
      <c r="QP361" s="11"/>
      <c r="QQ361" s="11"/>
      <c r="QR361" s="11"/>
      <c r="QS361" s="11"/>
      <c r="QT361" s="11"/>
      <c r="QU361" s="11"/>
      <c r="QV361" s="11"/>
      <c r="QW361" s="11"/>
      <c r="QX361" s="11"/>
      <c r="QY361" s="11"/>
      <c r="QZ361" s="11"/>
      <c r="RA361" s="11"/>
      <c r="RB361" s="11"/>
      <c r="RC361" s="11"/>
      <c r="RD361" s="11"/>
      <c r="RE361" s="11"/>
      <c r="RF361" s="11"/>
      <c r="RG361" s="11"/>
      <c r="RH361" s="11"/>
      <c r="RI361" s="11"/>
      <c r="RJ361" s="11"/>
      <c r="RK361" s="11"/>
      <c r="RL361" s="11"/>
      <c r="RM361" s="11"/>
      <c r="RN361" s="11"/>
      <c r="RO361" s="11"/>
      <c r="RP361" s="11"/>
      <c r="RQ361" s="11"/>
      <c r="RR361" s="11"/>
      <c r="RS361" s="11"/>
      <c r="RT361" s="11"/>
      <c r="RU361" s="11"/>
      <c r="RV361" s="11"/>
      <c r="RW361" s="11"/>
      <c r="RX361" s="11"/>
      <c r="RY361" s="11"/>
      <c r="RZ361" s="11"/>
      <c r="SA361" s="11"/>
      <c r="SB361" s="11"/>
      <c r="SC361" s="11"/>
      <c r="SD361" s="11"/>
      <c r="SE361" s="11"/>
      <c r="SF361" s="11"/>
      <c r="SG361" s="11"/>
      <c r="SH361" s="11">
        <v>1</v>
      </c>
    </row>
    <row r="362" spans="1:502" x14ac:dyDescent="0.2">
      <c r="A362" s="10">
        <v>3.7304529374354606E-2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  <c r="OM362" s="11"/>
      <c r="ON362" s="11"/>
      <c r="OO362" s="11"/>
      <c r="OP362" s="11">
        <v>1</v>
      </c>
      <c r="OQ362" s="11"/>
      <c r="OR362" s="11"/>
      <c r="OS362" s="11"/>
      <c r="OT362" s="11"/>
      <c r="OU362" s="11"/>
      <c r="OV362" s="11"/>
      <c r="OW362" s="11"/>
      <c r="OX362" s="11"/>
      <c r="OY362" s="11"/>
      <c r="OZ362" s="11"/>
      <c r="PA362" s="11"/>
      <c r="PB362" s="11"/>
      <c r="PC362" s="11"/>
      <c r="PD362" s="11"/>
      <c r="PE362" s="11"/>
      <c r="PF362" s="11"/>
      <c r="PG362" s="11"/>
      <c r="PH362" s="11"/>
      <c r="PI362" s="11"/>
      <c r="PJ362" s="11"/>
      <c r="PK362" s="11"/>
      <c r="PL362" s="11"/>
      <c r="PM362" s="11"/>
      <c r="PN362" s="11"/>
      <c r="PO362" s="11"/>
      <c r="PP362" s="11"/>
      <c r="PQ362" s="11"/>
      <c r="PR362" s="11"/>
      <c r="PS362" s="11"/>
      <c r="PT362" s="11"/>
      <c r="PU362" s="11"/>
      <c r="PV362" s="11"/>
      <c r="PW362" s="11"/>
      <c r="PX362" s="11"/>
      <c r="PY362" s="11"/>
      <c r="PZ362" s="11"/>
      <c r="QA362" s="11"/>
      <c r="QB362" s="11"/>
      <c r="QC362" s="11"/>
      <c r="QD362" s="11"/>
      <c r="QE362" s="11"/>
      <c r="QF362" s="11"/>
      <c r="QG362" s="11"/>
      <c r="QH362" s="11"/>
      <c r="QI362" s="11"/>
      <c r="QJ362" s="11"/>
      <c r="QK362" s="11"/>
      <c r="QL362" s="11"/>
      <c r="QM362" s="11"/>
      <c r="QN362" s="11"/>
      <c r="QO362" s="11"/>
      <c r="QP362" s="11"/>
      <c r="QQ362" s="11"/>
      <c r="QR362" s="11"/>
      <c r="QS362" s="11"/>
      <c r="QT362" s="11"/>
      <c r="QU362" s="11"/>
      <c r="QV362" s="11"/>
      <c r="QW362" s="11"/>
      <c r="QX362" s="11"/>
      <c r="QY362" s="11"/>
      <c r="QZ362" s="11"/>
      <c r="RA362" s="11"/>
      <c r="RB362" s="11"/>
      <c r="RC362" s="11"/>
      <c r="RD362" s="11"/>
      <c r="RE362" s="11"/>
      <c r="RF362" s="11"/>
      <c r="RG362" s="11"/>
      <c r="RH362" s="11"/>
      <c r="RI362" s="11"/>
      <c r="RJ362" s="11"/>
      <c r="RK362" s="11"/>
      <c r="RL362" s="11"/>
      <c r="RM362" s="11"/>
      <c r="RN362" s="11"/>
      <c r="RO362" s="11"/>
      <c r="RP362" s="11"/>
      <c r="RQ362" s="11"/>
      <c r="RR362" s="11"/>
      <c r="RS362" s="11"/>
      <c r="RT362" s="11"/>
      <c r="RU362" s="11"/>
      <c r="RV362" s="11"/>
      <c r="RW362" s="11"/>
      <c r="RX362" s="11"/>
      <c r="RY362" s="11"/>
      <c r="RZ362" s="11"/>
      <c r="SA362" s="11"/>
      <c r="SB362" s="11"/>
      <c r="SC362" s="11"/>
      <c r="SD362" s="11"/>
      <c r="SE362" s="11"/>
      <c r="SF362" s="11"/>
      <c r="SG362" s="11"/>
      <c r="SH362" s="11">
        <v>1</v>
      </c>
    </row>
    <row r="363" spans="1:502" x14ac:dyDescent="0.2">
      <c r="A363" s="10">
        <v>3.7314835195287541E-2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  <c r="OM363" s="11"/>
      <c r="ON363" s="11"/>
      <c r="OO363" s="11"/>
      <c r="OP363" s="11"/>
      <c r="OQ363" s="11"/>
      <c r="OR363" s="11"/>
      <c r="OS363" s="11"/>
      <c r="OT363" s="11"/>
      <c r="OU363" s="11"/>
      <c r="OV363" s="11"/>
      <c r="OW363" s="11">
        <v>1</v>
      </c>
      <c r="OX363" s="11"/>
      <c r="OY363" s="11"/>
      <c r="OZ363" s="11"/>
      <c r="PA363" s="11"/>
      <c r="PB363" s="11"/>
      <c r="PC363" s="11"/>
      <c r="PD363" s="11"/>
      <c r="PE363" s="11"/>
      <c r="PF363" s="11"/>
      <c r="PG363" s="11"/>
      <c r="PH363" s="11"/>
      <c r="PI363" s="11"/>
      <c r="PJ363" s="11"/>
      <c r="PK363" s="11"/>
      <c r="PL363" s="11"/>
      <c r="PM363" s="11"/>
      <c r="PN363" s="11"/>
      <c r="PO363" s="11"/>
      <c r="PP363" s="11"/>
      <c r="PQ363" s="11"/>
      <c r="PR363" s="11"/>
      <c r="PS363" s="11"/>
      <c r="PT363" s="11"/>
      <c r="PU363" s="11"/>
      <c r="PV363" s="11"/>
      <c r="PW363" s="11"/>
      <c r="PX363" s="11"/>
      <c r="PY363" s="11"/>
      <c r="PZ363" s="11"/>
      <c r="QA363" s="11"/>
      <c r="QB363" s="11"/>
      <c r="QC363" s="11"/>
      <c r="QD363" s="11"/>
      <c r="QE363" s="11"/>
      <c r="QF363" s="11"/>
      <c r="QG363" s="11"/>
      <c r="QH363" s="11"/>
      <c r="QI363" s="11"/>
      <c r="QJ363" s="11"/>
      <c r="QK363" s="11"/>
      <c r="QL363" s="11"/>
      <c r="QM363" s="11"/>
      <c r="QN363" s="11"/>
      <c r="QO363" s="11"/>
      <c r="QP363" s="11"/>
      <c r="QQ363" s="11"/>
      <c r="QR363" s="11"/>
      <c r="QS363" s="11"/>
      <c r="QT363" s="11"/>
      <c r="QU363" s="11"/>
      <c r="QV363" s="11"/>
      <c r="QW363" s="11"/>
      <c r="QX363" s="11"/>
      <c r="QY363" s="11"/>
      <c r="QZ363" s="11"/>
      <c r="RA363" s="11"/>
      <c r="RB363" s="11"/>
      <c r="RC363" s="11"/>
      <c r="RD363" s="11"/>
      <c r="RE363" s="11"/>
      <c r="RF363" s="11"/>
      <c r="RG363" s="11"/>
      <c r="RH363" s="11"/>
      <c r="RI363" s="11"/>
      <c r="RJ363" s="11"/>
      <c r="RK363" s="11"/>
      <c r="RL363" s="11"/>
      <c r="RM363" s="11"/>
      <c r="RN363" s="11"/>
      <c r="RO363" s="11"/>
      <c r="RP363" s="11"/>
      <c r="RQ363" s="11"/>
      <c r="RR363" s="11"/>
      <c r="RS363" s="11"/>
      <c r="RT363" s="11"/>
      <c r="RU363" s="11"/>
      <c r="RV363" s="11"/>
      <c r="RW363" s="11"/>
      <c r="RX363" s="11"/>
      <c r="RY363" s="11"/>
      <c r="RZ363" s="11"/>
      <c r="SA363" s="11"/>
      <c r="SB363" s="11"/>
      <c r="SC363" s="11"/>
      <c r="SD363" s="11"/>
      <c r="SE363" s="11"/>
      <c r="SF363" s="11"/>
      <c r="SG363" s="11"/>
      <c r="SH363" s="11">
        <v>1</v>
      </c>
    </row>
    <row r="364" spans="1:502" x14ac:dyDescent="0.2">
      <c r="A364" s="10">
        <v>3.736401795641011E-2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>
        <v>1</v>
      </c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  <c r="OM364" s="11"/>
      <c r="ON364" s="11"/>
      <c r="OO364" s="11"/>
      <c r="OP364" s="11"/>
      <c r="OQ364" s="11"/>
      <c r="OR364" s="11"/>
      <c r="OS364" s="11"/>
      <c r="OT364" s="11"/>
      <c r="OU364" s="11"/>
      <c r="OV364" s="11"/>
      <c r="OW364" s="11"/>
      <c r="OX364" s="11"/>
      <c r="OY364" s="11"/>
      <c r="OZ364" s="11"/>
      <c r="PA364" s="11"/>
      <c r="PB364" s="11"/>
      <c r="PC364" s="11"/>
      <c r="PD364" s="11"/>
      <c r="PE364" s="11"/>
      <c r="PF364" s="11"/>
      <c r="PG364" s="11"/>
      <c r="PH364" s="11"/>
      <c r="PI364" s="11"/>
      <c r="PJ364" s="11"/>
      <c r="PK364" s="11"/>
      <c r="PL364" s="11"/>
      <c r="PM364" s="11"/>
      <c r="PN364" s="11"/>
      <c r="PO364" s="11"/>
      <c r="PP364" s="11"/>
      <c r="PQ364" s="11"/>
      <c r="PR364" s="11"/>
      <c r="PS364" s="11"/>
      <c r="PT364" s="11"/>
      <c r="PU364" s="11"/>
      <c r="PV364" s="11"/>
      <c r="PW364" s="11"/>
      <c r="PX364" s="11"/>
      <c r="PY364" s="11"/>
      <c r="PZ364" s="11"/>
      <c r="QA364" s="11"/>
      <c r="QB364" s="11"/>
      <c r="QC364" s="11"/>
      <c r="QD364" s="11"/>
      <c r="QE364" s="11"/>
      <c r="QF364" s="11"/>
      <c r="QG364" s="11"/>
      <c r="QH364" s="11"/>
      <c r="QI364" s="11"/>
      <c r="QJ364" s="11"/>
      <c r="QK364" s="11"/>
      <c r="QL364" s="11"/>
      <c r="QM364" s="11"/>
      <c r="QN364" s="11"/>
      <c r="QO364" s="11"/>
      <c r="QP364" s="11"/>
      <c r="QQ364" s="11"/>
      <c r="QR364" s="11"/>
      <c r="QS364" s="11"/>
      <c r="QT364" s="11"/>
      <c r="QU364" s="11"/>
      <c r="QV364" s="11"/>
      <c r="QW364" s="11"/>
      <c r="QX364" s="11"/>
      <c r="QY364" s="11"/>
      <c r="QZ364" s="11"/>
      <c r="RA364" s="11"/>
      <c r="RB364" s="11"/>
      <c r="RC364" s="11"/>
      <c r="RD364" s="11"/>
      <c r="RE364" s="11"/>
      <c r="RF364" s="11"/>
      <c r="RG364" s="11"/>
      <c r="RH364" s="11"/>
      <c r="RI364" s="11"/>
      <c r="RJ364" s="11"/>
      <c r="RK364" s="11"/>
      <c r="RL364" s="11"/>
      <c r="RM364" s="11"/>
      <c r="RN364" s="11"/>
      <c r="RO364" s="11"/>
      <c r="RP364" s="11"/>
      <c r="RQ364" s="11"/>
      <c r="RR364" s="11"/>
      <c r="RS364" s="11"/>
      <c r="RT364" s="11"/>
      <c r="RU364" s="11"/>
      <c r="RV364" s="11"/>
      <c r="RW364" s="11"/>
      <c r="RX364" s="11"/>
      <c r="RY364" s="11"/>
      <c r="RZ364" s="11"/>
      <c r="SA364" s="11"/>
      <c r="SB364" s="11"/>
      <c r="SC364" s="11"/>
      <c r="SD364" s="11"/>
      <c r="SE364" s="11"/>
      <c r="SF364" s="11"/>
      <c r="SG364" s="11"/>
      <c r="SH364" s="11">
        <v>1</v>
      </c>
    </row>
    <row r="365" spans="1:502" x14ac:dyDescent="0.2">
      <c r="A365" s="10">
        <v>3.7964583548866088E-2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  <c r="OM365" s="11"/>
      <c r="ON365" s="11"/>
      <c r="OO365" s="11"/>
      <c r="OP365" s="11"/>
      <c r="OQ365" s="11"/>
      <c r="OR365" s="11"/>
      <c r="OS365" s="11"/>
      <c r="OT365" s="11"/>
      <c r="OU365" s="11"/>
      <c r="OV365" s="11"/>
      <c r="OW365" s="11"/>
      <c r="OX365" s="11"/>
      <c r="OY365" s="11"/>
      <c r="OZ365" s="11"/>
      <c r="PA365" s="11"/>
      <c r="PB365" s="11"/>
      <c r="PC365" s="11"/>
      <c r="PD365" s="11"/>
      <c r="PE365" s="11"/>
      <c r="PF365" s="11"/>
      <c r="PG365" s="11"/>
      <c r="PH365" s="11"/>
      <c r="PI365" s="11"/>
      <c r="PJ365" s="11">
        <v>1</v>
      </c>
      <c r="PK365" s="11"/>
      <c r="PL365" s="11"/>
      <c r="PM365" s="11"/>
      <c r="PN365" s="11"/>
      <c r="PO365" s="11"/>
      <c r="PP365" s="11"/>
      <c r="PQ365" s="11"/>
      <c r="PR365" s="11"/>
      <c r="PS365" s="11"/>
      <c r="PT365" s="11"/>
      <c r="PU365" s="11"/>
      <c r="PV365" s="11"/>
      <c r="PW365" s="11"/>
      <c r="PX365" s="11"/>
      <c r="PY365" s="11"/>
      <c r="PZ365" s="11"/>
      <c r="QA365" s="11"/>
      <c r="QB365" s="11"/>
      <c r="QC365" s="11"/>
      <c r="QD365" s="11"/>
      <c r="QE365" s="11"/>
      <c r="QF365" s="11"/>
      <c r="QG365" s="11"/>
      <c r="QH365" s="11"/>
      <c r="QI365" s="11"/>
      <c r="QJ365" s="11"/>
      <c r="QK365" s="11"/>
      <c r="QL365" s="11"/>
      <c r="QM365" s="11"/>
      <c r="QN365" s="11"/>
      <c r="QO365" s="11"/>
      <c r="QP365" s="11"/>
      <c r="QQ365" s="11"/>
      <c r="QR365" s="11"/>
      <c r="QS365" s="11"/>
      <c r="QT365" s="11"/>
      <c r="QU365" s="11"/>
      <c r="QV365" s="11"/>
      <c r="QW365" s="11"/>
      <c r="QX365" s="11"/>
      <c r="QY365" s="11"/>
      <c r="QZ365" s="11"/>
      <c r="RA365" s="11"/>
      <c r="RB365" s="11"/>
      <c r="RC365" s="11"/>
      <c r="RD365" s="11"/>
      <c r="RE365" s="11"/>
      <c r="RF365" s="11"/>
      <c r="RG365" s="11"/>
      <c r="RH365" s="11"/>
      <c r="RI365" s="11"/>
      <c r="RJ365" s="11"/>
      <c r="RK365" s="11"/>
      <c r="RL365" s="11"/>
      <c r="RM365" s="11"/>
      <c r="RN365" s="11"/>
      <c r="RO365" s="11"/>
      <c r="RP365" s="11"/>
      <c r="RQ365" s="11"/>
      <c r="RR365" s="11"/>
      <c r="RS365" s="11"/>
      <c r="RT365" s="11"/>
      <c r="RU365" s="11"/>
      <c r="RV365" s="11"/>
      <c r="RW365" s="11"/>
      <c r="RX365" s="11"/>
      <c r="RY365" s="11"/>
      <c r="RZ365" s="11"/>
      <c r="SA365" s="11"/>
      <c r="SB365" s="11"/>
      <c r="SC365" s="11"/>
      <c r="SD365" s="11"/>
      <c r="SE365" s="11"/>
      <c r="SF365" s="11"/>
      <c r="SG365" s="11"/>
      <c r="SH365" s="11">
        <v>1</v>
      </c>
    </row>
    <row r="366" spans="1:502" x14ac:dyDescent="0.2">
      <c r="A366" s="10">
        <v>3.8003719066600633E-2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>
        <v>1</v>
      </c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  <c r="OM366" s="11"/>
      <c r="ON366" s="11"/>
      <c r="OO366" s="11"/>
      <c r="OP366" s="11"/>
      <c r="OQ366" s="11"/>
      <c r="OR366" s="11"/>
      <c r="OS366" s="11"/>
      <c r="OT366" s="11"/>
      <c r="OU366" s="11"/>
      <c r="OV366" s="11"/>
      <c r="OW366" s="11"/>
      <c r="OX366" s="11"/>
      <c r="OY366" s="11"/>
      <c r="OZ366" s="11"/>
      <c r="PA366" s="11"/>
      <c r="PB366" s="11"/>
      <c r="PC366" s="11"/>
      <c r="PD366" s="11"/>
      <c r="PE366" s="11"/>
      <c r="PF366" s="11"/>
      <c r="PG366" s="11"/>
      <c r="PH366" s="11"/>
      <c r="PI366" s="11"/>
      <c r="PJ366" s="11"/>
      <c r="PK366" s="11"/>
      <c r="PL366" s="11"/>
      <c r="PM366" s="11"/>
      <c r="PN366" s="11"/>
      <c r="PO366" s="11"/>
      <c r="PP366" s="11"/>
      <c r="PQ366" s="11"/>
      <c r="PR366" s="11"/>
      <c r="PS366" s="11"/>
      <c r="PT366" s="11"/>
      <c r="PU366" s="11"/>
      <c r="PV366" s="11"/>
      <c r="PW366" s="11"/>
      <c r="PX366" s="11"/>
      <c r="PY366" s="11"/>
      <c r="PZ366" s="11"/>
      <c r="QA366" s="11"/>
      <c r="QB366" s="11"/>
      <c r="QC366" s="11"/>
      <c r="QD366" s="11"/>
      <c r="QE366" s="11"/>
      <c r="QF366" s="11"/>
      <c r="QG366" s="11"/>
      <c r="QH366" s="11"/>
      <c r="QI366" s="11"/>
      <c r="QJ366" s="11"/>
      <c r="QK366" s="11"/>
      <c r="QL366" s="11"/>
      <c r="QM366" s="11"/>
      <c r="QN366" s="11"/>
      <c r="QO366" s="11"/>
      <c r="QP366" s="11"/>
      <c r="QQ366" s="11"/>
      <c r="QR366" s="11"/>
      <c r="QS366" s="11"/>
      <c r="QT366" s="11"/>
      <c r="QU366" s="11"/>
      <c r="QV366" s="11"/>
      <c r="QW366" s="11"/>
      <c r="QX366" s="11"/>
      <c r="QY366" s="11"/>
      <c r="QZ366" s="11"/>
      <c r="RA366" s="11"/>
      <c r="RB366" s="11"/>
      <c r="RC366" s="11"/>
      <c r="RD366" s="11"/>
      <c r="RE366" s="11"/>
      <c r="RF366" s="11"/>
      <c r="RG366" s="11"/>
      <c r="RH366" s="11"/>
      <c r="RI366" s="11"/>
      <c r="RJ366" s="11"/>
      <c r="RK366" s="11"/>
      <c r="RL366" s="11"/>
      <c r="RM366" s="11"/>
      <c r="RN366" s="11"/>
      <c r="RO366" s="11"/>
      <c r="RP366" s="11"/>
      <c r="RQ366" s="11"/>
      <c r="RR366" s="11"/>
      <c r="RS366" s="11"/>
      <c r="RT366" s="11"/>
      <c r="RU366" s="11"/>
      <c r="RV366" s="11"/>
      <c r="RW366" s="11"/>
      <c r="RX366" s="11"/>
      <c r="RY366" s="11"/>
      <c r="RZ366" s="11"/>
      <c r="SA366" s="11"/>
      <c r="SB366" s="11"/>
      <c r="SC366" s="11"/>
      <c r="SD366" s="11"/>
      <c r="SE366" s="11"/>
      <c r="SF366" s="11"/>
      <c r="SG366" s="11"/>
      <c r="SH366" s="11">
        <v>1</v>
      </c>
    </row>
    <row r="367" spans="1:502" x14ac:dyDescent="0.2">
      <c r="A367" s="10">
        <v>3.8111075352905602E-2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  <c r="OM367" s="11"/>
      <c r="ON367" s="11"/>
      <c r="OO367" s="11"/>
      <c r="OP367" s="11"/>
      <c r="OQ367" s="11"/>
      <c r="OR367" s="11"/>
      <c r="OS367" s="11"/>
      <c r="OT367" s="11"/>
      <c r="OU367" s="11"/>
      <c r="OV367" s="11"/>
      <c r="OW367" s="11"/>
      <c r="OX367" s="11"/>
      <c r="OY367" s="11"/>
      <c r="OZ367" s="11"/>
      <c r="PA367" s="11"/>
      <c r="PB367" s="11"/>
      <c r="PC367" s="11"/>
      <c r="PD367" s="11"/>
      <c r="PE367" s="11"/>
      <c r="PF367" s="11"/>
      <c r="PG367" s="11"/>
      <c r="PH367" s="11"/>
      <c r="PI367" s="11"/>
      <c r="PJ367" s="11"/>
      <c r="PK367" s="11"/>
      <c r="PL367" s="11"/>
      <c r="PM367" s="11"/>
      <c r="PN367" s="11"/>
      <c r="PO367" s="11"/>
      <c r="PP367" s="11"/>
      <c r="PQ367" s="11"/>
      <c r="PR367" s="11"/>
      <c r="PS367" s="11"/>
      <c r="PT367" s="11"/>
      <c r="PU367" s="11"/>
      <c r="PV367" s="11"/>
      <c r="PW367" s="11"/>
      <c r="PX367" s="11"/>
      <c r="PY367" s="11"/>
      <c r="PZ367" s="11"/>
      <c r="QA367" s="11"/>
      <c r="QB367" s="11"/>
      <c r="QC367" s="11"/>
      <c r="QD367" s="11"/>
      <c r="QE367" s="11"/>
      <c r="QF367" s="11"/>
      <c r="QG367" s="11"/>
      <c r="QH367" s="11"/>
      <c r="QI367" s="11"/>
      <c r="QJ367" s="11"/>
      <c r="QK367" s="11"/>
      <c r="QL367" s="11">
        <v>1</v>
      </c>
      <c r="QM367" s="11"/>
      <c r="QN367" s="11"/>
      <c r="QO367" s="11"/>
      <c r="QP367" s="11"/>
      <c r="QQ367" s="11"/>
      <c r="QR367" s="11"/>
      <c r="QS367" s="11"/>
      <c r="QT367" s="11"/>
      <c r="QU367" s="11"/>
      <c r="QV367" s="11"/>
      <c r="QW367" s="11"/>
      <c r="QX367" s="11"/>
      <c r="QY367" s="11"/>
      <c r="QZ367" s="11"/>
      <c r="RA367" s="11"/>
      <c r="RB367" s="11"/>
      <c r="RC367" s="11"/>
      <c r="RD367" s="11"/>
      <c r="RE367" s="11"/>
      <c r="RF367" s="11"/>
      <c r="RG367" s="11"/>
      <c r="RH367" s="11"/>
      <c r="RI367" s="11"/>
      <c r="RJ367" s="11"/>
      <c r="RK367" s="11"/>
      <c r="RL367" s="11"/>
      <c r="RM367" s="11"/>
      <c r="RN367" s="11"/>
      <c r="RO367" s="11"/>
      <c r="RP367" s="11"/>
      <c r="RQ367" s="11"/>
      <c r="RR367" s="11"/>
      <c r="RS367" s="11"/>
      <c r="RT367" s="11"/>
      <c r="RU367" s="11"/>
      <c r="RV367" s="11"/>
      <c r="RW367" s="11"/>
      <c r="RX367" s="11"/>
      <c r="RY367" s="11"/>
      <c r="RZ367" s="11"/>
      <c r="SA367" s="11"/>
      <c r="SB367" s="11"/>
      <c r="SC367" s="11"/>
      <c r="SD367" s="11"/>
      <c r="SE367" s="11"/>
      <c r="SF367" s="11"/>
      <c r="SG367" s="11"/>
      <c r="SH367" s="11">
        <v>1</v>
      </c>
    </row>
    <row r="368" spans="1:502" x14ac:dyDescent="0.2">
      <c r="A368" s="10">
        <v>3.8214233382738425E-2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>
        <v>1</v>
      </c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  <c r="OM368" s="11"/>
      <c r="ON368" s="11"/>
      <c r="OO368" s="11"/>
      <c r="OP368" s="11"/>
      <c r="OQ368" s="11"/>
      <c r="OR368" s="11"/>
      <c r="OS368" s="11"/>
      <c r="OT368" s="11"/>
      <c r="OU368" s="11"/>
      <c r="OV368" s="11"/>
      <c r="OW368" s="11"/>
      <c r="OX368" s="11"/>
      <c r="OY368" s="11"/>
      <c r="OZ368" s="11"/>
      <c r="PA368" s="11"/>
      <c r="PB368" s="11"/>
      <c r="PC368" s="11"/>
      <c r="PD368" s="11"/>
      <c r="PE368" s="11"/>
      <c r="PF368" s="11"/>
      <c r="PG368" s="11"/>
      <c r="PH368" s="11"/>
      <c r="PI368" s="11"/>
      <c r="PJ368" s="11"/>
      <c r="PK368" s="11"/>
      <c r="PL368" s="11"/>
      <c r="PM368" s="11"/>
      <c r="PN368" s="11"/>
      <c r="PO368" s="11"/>
      <c r="PP368" s="11"/>
      <c r="PQ368" s="11"/>
      <c r="PR368" s="11"/>
      <c r="PS368" s="11"/>
      <c r="PT368" s="11"/>
      <c r="PU368" s="11"/>
      <c r="PV368" s="11"/>
      <c r="PW368" s="11"/>
      <c r="PX368" s="11"/>
      <c r="PY368" s="11"/>
      <c r="PZ368" s="11"/>
      <c r="QA368" s="11"/>
      <c r="QB368" s="11"/>
      <c r="QC368" s="11"/>
      <c r="QD368" s="11"/>
      <c r="QE368" s="11"/>
      <c r="QF368" s="11"/>
      <c r="QG368" s="11"/>
      <c r="QH368" s="11"/>
      <c r="QI368" s="11"/>
      <c r="QJ368" s="11"/>
      <c r="QK368" s="11"/>
      <c r="QL368" s="11"/>
      <c r="QM368" s="11"/>
      <c r="QN368" s="11"/>
      <c r="QO368" s="11"/>
      <c r="QP368" s="11"/>
      <c r="QQ368" s="11"/>
      <c r="QR368" s="11"/>
      <c r="QS368" s="11"/>
      <c r="QT368" s="11"/>
      <c r="QU368" s="11"/>
      <c r="QV368" s="11"/>
      <c r="QW368" s="11"/>
      <c r="QX368" s="11"/>
      <c r="QY368" s="11"/>
      <c r="QZ368" s="11"/>
      <c r="RA368" s="11"/>
      <c r="RB368" s="11"/>
      <c r="RC368" s="11"/>
      <c r="RD368" s="11"/>
      <c r="RE368" s="11"/>
      <c r="RF368" s="11"/>
      <c r="RG368" s="11"/>
      <c r="RH368" s="11"/>
      <c r="RI368" s="11"/>
      <c r="RJ368" s="11"/>
      <c r="RK368" s="11"/>
      <c r="RL368" s="11"/>
      <c r="RM368" s="11"/>
      <c r="RN368" s="11"/>
      <c r="RO368" s="11"/>
      <c r="RP368" s="11"/>
      <c r="RQ368" s="11"/>
      <c r="RR368" s="11"/>
      <c r="RS368" s="11"/>
      <c r="RT368" s="11"/>
      <c r="RU368" s="11"/>
      <c r="RV368" s="11"/>
      <c r="RW368" s="11"/>
      <c r="RX368" s="11"/>
      <c r="RY368" s="11"/>
      <c r="RZ368" s="11"/>
      <c r="SA368" s="11"/>
      <c r="SB368" s="11"/>
      <c r="SC368" s="11"/>
      <c r="SD368" s="11"/>
      <c r="SE368" s="11"/>
      <c r="SF368" s="11"/>
      <c r="SG368" s="11"/>
      <c r="SH368" s="11">
        <v>1</v>
      </c>
    </row>
    <row r="369" spans="1:502" x14ac:dyDescent="0.2">
      <c r="A369" s="10">
        <v>3.8249788462727398E-2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>
        <v>1</v>
      </c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  <c r="OM369" s="11"/>
      <c r="ON369" s="11"/>
      <c r="OO369" s="11"/>
      <c r="OP369" s="11"/>
      <c r="OQ369" s="11"/>
      <c r="OR369" s="11"/>
      <c r="OS369" s="11"/>
      <c r="OT369" s="11"/>
      <c r="OU369" s="11"/>
      <c r="OV369" s="11"/>
      <c r="OW369" s="11"/>
      <c r="OX369" s="11"/>
      <c r="OY369" s="11"/>
      <c r="OZ369" s="11"/>
      <c r="PA369" s="11"/>
      <c r="PB369" s="11"/>
      <c r="PC369" s="11"/>
      <c r="PD369" s="11"/>
      <c r="PE369" s="11"/>
      <c r="PF369" s="11"/>
      <c r="PG369" s="11"/>
      <c r="PH369" s="11"/>
      <c r="PI369" s="11"/>
      <c r="PJ369" s="11"/>
      <c r="PK369" s="11"/>
      <c r="PL369" s="11"/>
      <c r="PM369" s="11"/>
      <c r="PN369" s="11"/>
      <c r="PO369" s="11"/>
      <c r="PP369" s="11"/>
      <c r="PQ369" s="11"/>
      <c r="PR369" s="11"/>
      <c r="PS369" s="11"/>
      <c r="PT369" s="11"/>
      <c r="PU369" s="11"/>
      <c r="PV369" s="11"/>
      <c r="PW369" s="11"/>
      <c r="PX369" s="11"/>
      <c r="PY369" s="11"/>
      <c r="PZ369" s="11"/>
      <c r="QA369" s="11"/>
      <c r="QB369" s="11"/>
      <c r="QC369" s="11"/>
      <c r="QD369" s="11"/>
      <c r="QE369" s="11"/>
      <c r="QF369" s="11"/>
      <c r="QG369" s="11"/>
      <c r="QH369" s="11"/>
      <c r="QI369" s="11"/>
      <c r="QJ369" s="11"/>
      <c r="QK369" s="11"/>
      <c r="QL369" s="11"/>
      <c r="QM369" s="11"/>
      <c r="QN369" s="11"/>
      <c r="QO369" s="11"/>
      <c r="QP369" s="11"/>
      <c r="QQ369" s="11"/>
      <c r="QR369" s="11"/>
      <c r="QS369" s="11"/>
      <c r="QT369" s="11"/>
      <c r="QU369" s="11"/>
      <c r="QV369" s="11"/>
      <c r="QW369" s="11"/>
      <c r="QX369" s="11"/>
      <c r="QY369" s="11"/>
      <c r="QZ369" s="11"/>
      <c r="RA369" s="11"/>
      <c r="RB369" s="11"/>
      <c r="RC369" s="11"/>
      <c r="RD369" s="11"/>
      <c r="RE369" s="11"/>
      <c r="RF369" s="11"/>
      <c r="RG369" s="11"/>
      <c r="RH369" s="11"/>
      <c r="RI369" s="11"/>
      <c r="RJ369" s="11"/>
      <c r="RK369" s="11"/>
      <c r="RL369" s="11"/>
      <c r="RM369" s="11"/>
      <c r="RN369" s="11"/>
      <c r="RO369" s="11"/>
      <c r="RP369" s="11"/>
      <c r="RQ369" s="11"/>
      <c r="RR369" s="11"/>
      <c r="RS369" s="11"/>
      <c r="RT369" s="11"/>
      <c r="RU369" s="11"/>
      <c r="RV369" s="11"/>
      <c r="RW369" s="11"/>
      <c r="RX369" s="11"/>
      <c r="RY369" s="11"/>
      <c r="RZ369" s="11"/>
      <c r="SA369" s="11"/>
      <c r="SB369" s="11"/>
      <c r="SC369" s="11"/>
      <c r="SD369" s="11"/>
      <c r="SE369" s="11"/>
      <c r="SF369" s="11"/>
      <c r="SG369" s="11"/>
      <c r="SH369" s="11">
        <v>1</v>
      </c>
    </row>
    <row r="370" spans="1:502" x14ac:dyDescent="0.2">
      <c r="A370" s="10">
        <v>3.8303361645154847E-2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>
        <v>1</v>
      </c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  <c r="OM370" s="11"/>
      <c r="ON370" s="11"/>
      <c r="OO370" s="11"/>
      <c r="OP370" s="11"/>
      <c r="OQ370" s="11"/>
      <c r="OR370" s="11"/>
      <c r="OS370" s="11"/>
      <c r="OT370" s="11"/>
      <c r="OU370" s="11"/>
      <c r="OV370" s="11"/>
      <c r="OW370" s="11"/>
      <c r="OX370" s="11"/>
      <c r="OY370" s="11"/>
      <c r="OZ370" s="11"/>
      <c r="PA370" s="11"/>
      <c r="PB370" s="11"/>
      <c r="PC370" s="11"/>
      <c r="PD370" s="11"/>
      <c r="PE370" s="11"/>
      <c r="PF370" s="11"/>
      <c r="PG370" s="11"/>
      <c r="PH370" s="11"/>
      <c r="PI370" s="11"/>
      <c r="PJ370" s="11"/>
      <c r="PK370" s="11"/>
      <c r="PL370" s="11"/>
      <c r="PM370" s="11"/>
      <c r="PN370" s="11"/>
      <c r="PO370" s="11"/>
      <c r="PP370" s="11"/>
      <c r="PQ370" s="11"/>
      <c r="PR370" s="11"/>
      <c r="PS370" s="11"/>
      <c r="PT370" s="11"/>
      <c r="PU370" s="11"/>
      <c r="PV370" s="11"/>
      <c r="PW370" s="11"/>
      <c r="PX370" s="11"/>
      <c r="PY370" s="11"/>
      <c r="PZ370" s="11"/>
      <c r="QA370" s="11"/>
      <c r="QB370" s="11"/>
      <c r="QC370" s="11"/>
      <c r="QD370" s="11"/>
      <c r="QE370" s="11"/>
      <c r="QF370" s="11"/>
      <c r="QG370" s="11"/>
      <c r="QH370" s="11"/>
      <c r="QI370" s="11"/>
      <c r="QJ370" s="11"/>
      <c r="QK370" s="11"/>
      <c r="QL370" s="11"/>
      <c r="QM370" s="11"/>
      <c r="QN370" s="11"/>
      <c r="QO370" s="11"/>
      <c r="QP370" s="11"/>
      <c r="QQ370" s="11"/>
      <c r="QR370" s="11"/>
      <c r="QS370" s="11"/>
      <c r="QT370" s="11"/>
      <c r="QU370" s="11"/>
      <c r="QV370" s="11"/>
      <c r="QW370" s="11"/>
      <c r="QX370" s="11"/>
      <c r="QY370" s="11"/>
      <c r="QZ370" s="11"/>
      <c r="RA370" s="11"/>
      <c r="RB370" s="11"/>
      <c r="RC370" s="11"/>
      <c r="RD370" s="11"/>
      <c r="RE370" s="11"/>
      <c r="RF370" s="11"/>
      <c r="RG370" s="11"/>
      <c r="RH370" s="11"/>
      <c r="RI370" s="11"/>
      <c r="RJ370" s="11"/>
      <c r="RK370" s="11"/>
      <c r="RL370" s="11"/>
      <c r="RM370" s="11"/>
      <c r="RN370" s="11"/>
      <c r="RO370" s="11"/>
      <c r="RP370" s="11"/>
      <c r="RQ370" s="11"/>
      <c r="RR370" s="11"/>
      <c r="RS370" s="11"/>
      <c r="RT370" s="11"/>
      <c r="RU370" s="11"/>
      <c r="RV370" s="11"/>
      <c r="RW370" s="11"/>
      <c r="RX370" s="11"/>
      <c r="RY370" s="11"/>
      <c r="RZ370" s="11"/>
      <c r="SA370" s="11"/>
      <c r="SB370" s="11"/>
      <c r="SC370" s="11"/>
      <c r="SD370" s="11"/>
      <c r="SE370" s="11"/>
      <c r="SF370" s="11"/>
      <c r="SG370" s="11"/>
      <c r="SH370" s="11">
        <v>1</v>
      </c>
    </row>
    <row r="371" spans="1:502" x14ac:dyDescent="0.2">
      <c r="A371" s="10">
        <v>3.8306927249893707E-2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>
        <v>1</v>
      </c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  <c r="OM371" s="11"/>
      <c r="ON371" s="11"/>
      <c r="OO371" s="11"/>
      <c r="OP371" s="11"/>
      <c r="OQ371" s="11"/>
      <c r="OR371" s="11"/>
      <c r="OS371" s="11"/>
      <c r="OT371" s="11"/>
      <c r="OU371" s="11"/>
      <c r="OV371" s="11"/>
      <c r="OW371" s="11"/>
      <c r="OX371" s="11"/>
      <c r="OY371" s="11"/>
      <c r="OZ371" s="11"/>
      <c r="PA371" s="11"/>
      <c r="PB371" s="11"/>
      <c r="PC371" s="11"/>
      <c r="PD371" s="11"/>
      <c r="PE371" s="11"/>
      <c r="PF371" s="11"/>
      <c r="PG371" s="11"/>
      <c r="PH371" s="11"/>
      <c r="PI371" s="11"/>
      <c r="PJ371" s="11"/>
      <c r="PK371" s="11"/>
      <c r="PL371" s="11"/>
      <c r="PM371" s="11"/>
      <c r="PN371" s="11"/>
      <c r="PO371" s="11"/>
      <c r="PP371" s="11"/>
      <c r="PQ371" s="11"/>
      <c r="PR371" s="11"/>
      <c r="PS371" s="11"/>
      <c r="PT371" s="11"/>
      <c r="PU371" s="11"/>
      <c r="PV371" s="11"/>
      <c r="PW371" s="11"/>
      <c r="PX371" s="11"/>
      <c r="PY371" s="11"/>
      <c r="PZ371" s="11"/>
      <c r="QA371" s="11"/>
      <c r="QB371" s="11"/>
      <c r="QC371" s="11"/>
      <c r="QD371" s="11"/>
      <c r="QE371" s="11"/>
      <c r="QF371" s="11"/>
      <c r="QG371" s="11"/>
      <c r="QH371" s="11"/>
      <c r="QI371" s="11"/>
      <c r="QJ371" s="11"/>
      <c r="QK371" s="11"/>
      <c r="QL371" s="11"/>
      <c r="QM371" s="11"/>
      <c r="QN371" s="11"/>
      <c r="QO371" s="11"/>
      <c r="QP371" s="11"/>
      <c r="QQ371" s="11"/>
      <c r="QR371" s="11"/>
      <c r="QS371" s="11"/>
      <c r="QT371" s="11"/>
      <c r="QU371" s="11"/>
      <c r="QV371" s="11"/>
      <c r="QW371" s="11"/>
      <c r="QX371" s="11"/>
      <c r="QY371" s="11"/>
      <c r="QZ371" s="11"/>
      <c r="RA371" s="11"/>
      <c r="RB371" s="11"/>
      <c r="RC371" s="11"/>
      <c r="RD371" s="11"/>
      <c r="RE371" s="11"/>
      <c r="RF371" s="11"/>
      <c r="RG371" s="11"/>
      <c r="RH371" s="11"/>
      <c r="RI371" s="11"/>
      <c r="RJ371" s="11"/>
      <c r="RK371" s="11"/>
      <c r="RL371" s="11"/>
      <c r="RM371" s="11"/>
      <c r="RN371" s="11"/>
      <c r="RO371" s="11"/>
      <c r="RP371" s="11"/>
      <c r="RQ371" s="11"/>
      <c r="RR371" s="11"/>
      <c r="RS371" s="11"/>
      <c r="RT371" s="11"/>
      <c r="RU371" s="11"/>
      <c r="RV371" s="11"/>
      <c r="RW371" s="11"/>
      <c r="RX371" s="11"/>
      <c r="RY371" s="11"/>
      <c r="RZ371" s="11"/>
      <c r="SA371" s="11"/>
      <c r="SB371" s="11"/>
      <c r="SC371" s="11"/>
      <c r="SD371" s="11"/>
      <c r="SE371" s="11"/>
      <c r="SF371" s="11"/>
      <c r="SG371" s="11"/>
      <c r="SH371" s="11">
        <v>1</v>
      </c>
    </row>
    <row r="372" spans="1:502" x14ac:dyDescent="0.2">
      <c r="A372" s="10">
        <v>3.8441392207779895E-2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  <c r="OM372" s="11"/>
      <c r="ON372" s="11"/>
      <c r="OO372" s="11"/>
      <c r="OP372" s="11"/>
      <c r="OQ372" s="11"/>
      <c r="OR372" s="11"/>
      <c r="OS372" s="11"/>
      <c r="OT372" s="11"/>
      <c r="OU372" s="11"/>
      <c r="OV372" s="11"/>
      <c r="OW372" s="11"/>
      <c r="OX372" s="11"/>
      <c r="OY372" s="11"/>
      <c r="OZ372" s="11"/>
      <c r="PA372" s="11"/>
      <c r="PB372" s="11"/>
      <c r="PC372" s="11"/>
      <c r="PD372" s="11"/>
      <c r="PE372" s="11"/>
      <c r="PF372" s="11"/>
      <c r="PG372" s="11"/>
      <c r="PH372" s="11"/>
      <c r="PI372" s="11"/>
      <c r="PJ372" s="11"/>
      <c r="PK372" s="11"/>
      <c r="PL372" s="11"/>
      <c r="PM372" s="11"/>
      <c r="PN372" s="11"/>
      <c r="PO372" s="11"/>
      <c r="PP372" s="11"/>
      <c r="PQ372" s="11"/>
      <c r="PR372" s="11"/>
      <c r="PS372" s="11"/>
      <c r="PT372" s="11"/>
      <c r="PU372" s="11"/>
      <c r="PV372" s="11"/>
      <c r="PW372" s="11"/>
      <c r="PX372" s="11">
        <v>1</v>
      </c>
      <c r="PY372" s="11"/>
      <c r="PZ372" s="11"/>
      <c r="QA372" s="11"/>
      <c r="QB372" s="11"/>
      <c r="QC372" s="11"/>
      <c r="QD372" s="11"/>
      <c r="QE372" s="11"/>
      <c r="QF372" s="11"/>
      <c r="QG372" s="11"/>
      <c r="QH372" s="11"/>
      <c r="QI372" s="11"/>
      <c r="QJ372" s="11"/>
      <c r="QK372" s="11"/>
      <c r="QL372" s="11"/>
      <c r="QM372" s="11"/>
      <c r="QN372" s="11"/>
      <c r="QO372" s="11"/>
      <c r="QP372" s="11"/>
      <c r="QQ372" s="11"/>
      <c r="QR372" s="11"/>
      <c r="QS372" s="11"/>
      <c r="QT372" s="11"/>
      <c r="QU372" s="11"/>
      <c r="QV372" s="11"/>
      <c r="QW372" s="11"/>
      <c r="QX372" s="11"/>
      <c r="QY372" s="11"/>
      <c r="QZ372" s="11"/>
      <c r="RA372" s="11"/>
      <c r="RB372" s="11"/>
      <c r="RC372" s="11"/>
      <c r="RD372" s="11"/>
      <c r="RE372" s="11"/>
      <c r="RF372" s="11"/>
      <c r="RG372" s="11"/>
      <c r="RH372" s="11"/>
      <c r="RI372" s="11"/>
      <c r="RJ372" s="11"/>
      <c r="RK372" s="11"/>
      <c r="RL372" s="11"/>
      <c r="RM372" s="11"/>
      <c r="RN372" s="11"/>
      <c r="RO372" s="11"/>
      <c r="RP372" s="11"/>
      <c r="RQ372" s="11"/>
      <c r="RR372" s="11"/>
      <c r="RS372" s="11"/>
      <c r="RT372" s="11"/>
      <c r="RU372" s="11"/>
      <c r="RV372" s="11"/>
      <c r="RW372" s="11"/>
      <c r="RX372" s="11"/>
      <c r="RY372" s="11"/>
      <c r="RZ372" s="11"/>
      <c r="SA372" s="11"/>
      <c r="SB372" s="11"/>
      <c r="SC372" s="11"/>
      <c r="SD372" s="11"/>
      <c r="SE372" s="11"/>
      <c r="SF372" s="11"/>
      <c r="SG372" s="11"/>
      <c r="SH372" s="11">
        <v>1</v>
      </c>
    </row>
    <row r="373" spans="1:502" x14ac:dyDescent="0.2">
      <c r="A373" s="10">
        <v>3.8509081860673415E-2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>
        <v>1</v>
      </c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  <c r="OM373" s="11"/>
      <c r="ON373" s="11"/>
      <c r="OO373" s="11"/>
      <c r="OP373" s="11"/>
      <c r="OQ373" s="11"/>
      <c r="OR373" s="11"/>
      <c r="OS373" s="11"/>
      <c r="OT373" s="11"/>
      <c r="OU373" s="11"/>
      <c r="OV373" s="11"/>
      <c r="OW373" s="11"/>
      <c r="OX373" s="11"/>
      <c r="OY373" s="11"/>
      <c r="OZ373" s="11"/>
      <c r="PA373" s="11"/>
      <c r="PB373" s="11"/>
      <c r="PC373" s="11"/>
      <c r="PD373" s="11"/>
      <c r="PE373" s="11"/>
      <c r="PF373" s="11"/>
      <c r="PG373" s="11"/>
      <c r="PH373" s="11"/>
      <c r="PI373" s="11"/>
      <c r="PJ373" s="11"/>
      <c r="PK373" s="11"/>
      <c r="PL373" s="11"/>
      <c r="PM373" s="11"/>
      <c r="PN373" s="11"/>
      <c r="PO373" s="11"/>
      <c r="PP373" s="11"/>
      <c r="PQ373" s="11"/>
      <c r="PR373" s="11"/>
      <c r="PS373" s="11"/>
      <c r="PT373" s="11"/>
      <c r="PU373" s="11"/>
      <c r="PV373" s="11"/>
      <c r="PW373" s="11"/>
      <c r="PX373" s="11"/>
      <c r="PY373" s="11"/>
      <c r="PZ373" s="11"/>
      <c r="QA373" s="11"/>
      <c r="QB373" s="11"/>
      <c r="QC373" s="11"/>
      <c r="QD373" s="11"/>
      <c r="QE373" s="11"/>
      <c r="QF373" s="11"/>
      <c r="QG373" s="11"/>
      <c r="QH373" s="11"/>
      <c r="QI373" s="11"/>
      <c r="QJ373" s="11"/>
      <c r="QK373" s="11"/>
      <c r="QL373" s="11"/>
      <c r="QM373" s="11"/>
      <c r="QN373" s="11"/>
      <c r="QO373" s="11"/>
      <c r="QP373" s="11"/>
      <c r="QQ373" s="11"/>
      <c r="QR373" s="11"/>
      <c r="QS373" s="11"/>
      <c r="QT373" s="11"/>
      <c r="QU373" s="11"/>
      <c r="QV373" s="11"/>
      <c r="QW373" s="11"/>
      <c r="QX373" s="11"/>
      <c r="QY373" s="11"/>
      <c r="QZ373" s="11"/>
      <c r="RA373" s="11"/>
      <c r="RB373" s="11"/>
      <c r="RC373" s="11"/>
      <c r="RD373" s="11"/>
      <c r="RE373" s="11"/>
      <c r="RF373" s="11"/>
      <c r="RG373" s="11"/>
      <c r="RH373" s="11"/>
      <c r="RI373" s="11"/>
      <c r="RJ373" s="11"/>
      <c r="RK373" s="11"/>
      <c r="RL373" s="11"/>
      <c r="RM373" s="11"/>
      <c r="RN373" s="11"/>
      <c r="RO373" s="11"/>
      <c r="RP373" s="11"/>
      <c r="RQ373" s="11"/>
      <c r="RR373" s="11"/>
      <c r="RS373" s="11"/>
      <c r="RT373" s="11"/>
      <c r="RU373" s="11"/>
      <c r="RV373" s="11"/>
      <c r="RW373" s="11"/>
      <c r="RX373" s="11"/>
      <c r="RY373" s="11"/>
      <c r="RZ373" s="11"/>
      <c r="SA373" s="11"/>
      <c r="SB373" s="11"/>
      <c r="SC373" s="11"/>
      <c r="SD373" s="11"/>
      <c r="SE373" s="11"/>
      <c r="SF373" s="11"/>
      <c r="SG373" s="11"/>
      <c r="SH373" s="11">
        <v>1</v>
      </c>
    </row>
    <row r="374" spans="1:502" x14ac:dyDescent="0.2">
      <c r="A374" s="10">
        <v>3.8560808425593528E-2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>
        <v>1</v>
      </c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  <c r="OM374" s="11"/>
      <c r="ON374" s="11"/>
      <c r="OO374" s="11"/>
      <c r="OP374" s="11"/>
      <c r="OQ374" s="11"/>
      <c r="OR374" s="11"/>
      <c r="OS374" s="11"/>
      <c r="OT374" s="11"/>
      <c r="OU374" s="11"/>
      <c r="OV374" s="11"/>
      <c r="OW374" s="11"/>
      <c r="OX374" s="11"/>
      <c r="OY374" s="11"/>
      <c r="OZ374" s="11"/>
      <c r="PA374" s="11"/>
      <c r="PB374" s="11"/>
      <c r="PC374" s="11"/>
      <c r="PD374" s="11"/>
      <c r="PE374" s="11"/>
      <c r="PF374" s="11"/>
      <c r="PG374" s="11"/>
      <c r="PH374" s="11"/>
      <c r="PI374" s="11"/>
      <c r="PJ374" s="11"/>
      <c r="PK374" s="11"/>
      <c r="PL374" s="11"/>
      <c r="PM374" s="11"/>
      <c r="PN374" s="11"/>
      <c r="PO374" s="11"/>
      <c r="PP374" s="11"/>
      <c r="PQ374" s="11"/>
      <c r="PR374" s="11"/>
      <c r="PS374" s="11"/>
      <c r="PT374" s="11"/>
      <c r="PU374" s="11"/>
      <c r="PV374" s="11"/>
      <c r="PW374" s="11"/>
      <c r="PX374" s="11"/>
      <c r="PY374" s="11"/>
      <c r="PZ374" s="11"/>
      <c r="QA374" s="11"/>
      <c r="QB374" s="11"/>
      <c r="QC374" s="11"/>
      <c r="QD374" s="11"/>
      <c r="QE374" s="11"/>
      <c r="QF374" s="11"/>
      <c r="QG374" s="11"/>
      <c r="QH374" s="11"/>
      <c r="QI374" s="11"/>
      <c r="QJ374" s="11"/>
      <c r="QK374" s="11"/>
      <c r="QL374" s="11"/>
      <c r="QM374" s="11"/>
      <c r="QN374" s="11"/>
      <c r="QO374" s="11"/>
      <c r="QP374" s="11"/>
      <c r="QQ374" s="11"/>
      <c r="QR374" s="11"/>
      <c r="QS374" s="11"/>
      <c r="QT374" s="11"/>
      <c r="QU374" s="11"/>
      <c r="QV374" s="11"/>
      <c r="QW374" s="11"/>
      <c r="QX374" s="11"/>
      <c r="QY374" s="11"/>
      <c r="QZ374" s="11"/>
      <c r="RA374" s="11"/>
      <c r="RB374" s="11"/>
      <c r="RC374" s="11"/>
      <c r="RD374" s="11"/>
      <c r="RE374" s="11"/>
      <c r="RF374" s="11"/>
      <c r="RG374" s="11"/>
      <c r="RH374" s="11"/>
      <c r="RI374" s="11"/>
      <c r="RJ374" s="11"/>
      <c r="RK374" s="11"/>
      <c r="RL374" s="11"/>
      <c r="RM374" s="11"/>
      <c r="RN374" s="11"/>
      <c r="RO374" s="11"/>
      <c r="RP374" s="11"/>
      <c r="RQ374" s="11"/>
      <c r="RR374" s="11"/>
      <c r="RS374" s="11"/>
      <c r="RT374" s="11"/>
      <c r="RU374" s="11"/>
      <c r="RV374" s="11"/>
      <c r="RW374" s="11"/>
      <c r="RX374" s="11"/>
      <c r="RY374" s="11"/>
      <c r="RZ374" s="11"/>
      <c r="SA374" s="11"/>
      <c r="SB374" s="11"/>
      <c r="SC374" s="11"/>
      <c r="SD374" s="11"/>
      <c r="SE374" s="11"/>
      <c r="SF374" s="11"/>
      <c r="SG374" s="11"/>
      <c r="SH374" s="11">
        <v>1</v>
      </c>
    </row>
    <row r="375" spans="1:502" x14ac:dyDescent="0.2">
      <c r="A375" s="10">
        <v>3.8677896319317083E-2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>
        <v>1</v>
      </c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  <c r="OM375" s="11"/>
      <c r="ON375" s="11"/>
      <c r="OO375" s="11"/>
      <c r="OP375" s="11"/>
      <c r="OQ375" s="11"/>
      <c r="OR375" s="11"/>
      <c r="OS375" s="11"/>
      <c r="OT375" s="11"/>
      <c r="OU375" s="11"/>
      <c r="OV375" s="11"/>
      <c r="OW375" s="11"/>
      <c r="OX375" s="11"/>
      <c r="OY375" s="11"/>
      <c r="OZ375" s="11"/>
      <c r="PA375" s="11"/>
      <c r="PB375" s="11"/>
      <c r="PC375" s="11"/>
      <c r="PD375" s="11"/>
      <c r="PE375" s="11"/>
      <c r="PF375" s="11"/>
      <c r="PG375" s="11"/>
      <c r="PH375" s="11"/>
      <c r="PI375" s="11"/>
      <c r="PJ375" s="11"/>
      <c r="PK375" s="11"/>
      <c r="PL375" s="11"/>
      <c r="PM375" s="11"/>
      <c r="PN375" s="11"/>
      <c r="PO375" s="11"/>
      <c r="PP375" s="11"/>
      <c r="PQ375" s="11"/>
      <c r="PR375" s="11"/>
      <c r="PS375" s="11"/>
      <c r="PT375" s="11"/>
      <c r="PU375" s="11"/>
      <c r="PV375" s="11"/>
      <c r="PW375" s="11"/>
      <c r="PX375" s="11"/>
      <c r="PY375" s="11"/>
      <c r="PZ375" s="11"/>
      <c r="QA375" s="11"/>
      <c r="QB375" s="11"/>
      <c r="QC375" s="11"/>
      <c r="QD375" s="11"/>
      <c r="QE375" s="11"/>
      <c r="QF375" s="11"/>
      <c r="QG375" s="11"/>
      <c r="QH375" s="11"/>
      <c r="QI375" s="11"/>
      <c r="QJ375" s="11"/>
      <c r="QK375" s="11"/>
      <c r="QL375" s="11"/>
      <c r="QM375" s="11"/>
      <c r="QN375" s="11"/>
      <c r="QO375" s="11"/>
      <c r="QP375" s="11"/>
      <c r="QQ375" s="11"/>
      <c r="QR375" s="11"/>
      <c r="QS375" s="11"/>
      <c r="QT375" s="11"/>
      <c r="QU375" s="11"/>
      <c r="QV375" s="11"/>
      <c r="QW375" s="11"/>
      <c r="QX375" s="11"/>
      <c r="QY375" s="11"/>
      <c r="QZ375" s="11"/>
      <c r="RA375" s="11"/>
      <c r="RB375" s="11"/>
      <c r="RC375" s="11"/>
      <c r="RD375" s="11"/>
      <c r="RE375" s="11"/>
      <c r="RF375" s="11"/>
      <c r="RG375" s="11"/>
      <c r="RH375" s="11"/>
      <c r="RI375" s="11"/>
      <c r="RJ375" s="11"/>
      <c r="RK375" s="11"/>
      <c r="RL375" s="11"/>
      <c r="RM375" s="11"/>
      <c r="RN375" s="11"/>
      <c r="RO375" s="11"/>
      <c r="RP375" s="11"/>
      <c r="RQ375" s="11"/>
      <c r="RR375" s="11"/>
      <c r="RS375" s="11"/>
      <c r="RT375" s="11"/>
      <c r="RU375" s="11"/>
      <c r="RV375" s="11"/>
      <c r="RW375" s="11"/>
      <c r="RX375" s="11"/>
      <c r="RY375" s="11"/>
      <c r="RZ375" s="11"/>
      <c r="SA375" s="11"/>
      <c r="SB375" s="11"/>
      <c r="SC375" s="11"/>
      <c r="SD375" s="11"/>
      <c r="SE375" s="11"/>
      <c r="SF375" s="11"/>
      <c r="SG375" s="11"/>
      <c r="SH375" s="11">
        <v>1</v>
      </c>
    </row>
    <row r="376" spans="1:502" x14ac:dyDescent="0.2">
      <c r="A376" s="10">
        <v>3.8862182425771913E-2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>
        <v>1</v>
      </c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  <c r="OM376" s="11"/>
      <c r="ON376" s="11"/>
      <c r="OO376" s="11"/>
      <c r="OP376" s="11"/>
      <c r="OQ376" s="11"/>
      <c r="OR376" s="11"/>
      <c r="OS376" s="11"/>
      <c r="OT376" s="11"/>
      <c r="OU376" s="11"/>
      <c r="OV376" s="11"/>
      <c r="OW376" s="11"/>
      <c r="OX376" s="11"/>
      <c r="OY376" s="11"/>
      <c r="OZ376" s="11"/>
      <c r="PA376" s="11"/>
      <c r="PB376" s="11"/>
      <c r="PC376" s="11"/>
      <c r="PD376" s="11"/>
      <c r="PE376" s="11"/>
      <c r="PF376" s="11"/>
      <c r="PG376" s="11"/>
      <c r="PH376" s="11"/>
      <c r="PI376" s="11"/>
      <c r="PJ376" s="11"/>
      <c r="PK376" s="11"/>
      <c r="PL376" s="11"/>
      <c r="PM376" s="11"/>
      <c r="PN376" s="11"/>
      <c r="PO376" s="11"/>
      <c r="PP376" s="11"/>
      <c r="PQ376" s="11"/>
      <c r="PR376" s="11"/>
      <c r="PS376" s="11"/>
      <c r="PT376" s="11"/>
      <c r="PU376" s="11"/>
      <c r="PV376" s="11"/>
      <c r="PW376" s="11"/>
      <c r="PX376" s="11"/>
      <c r="PY376" s="11"/>
      <c r="PZ376" s="11"/>
      <c r="QA376" s="11"/>
      <c r="QB376" s="11"/>
      <c r="QC376" s="11"/>
      <c r="QD376" s="11"/>
      <c r="QE376" s="11"/>
      <c r="QF376" s="11"/>
      <c r="QG376" s="11"/>
      <c r="QH376" s="11"/>
      <c r="QI376" s="11"/>
      <c r="QJ376" s="11"/>
      <c r="QK376" s="11"/>
      <c r="QL376" s="11"/>
      <c r="QM376" s="11"/>
      <c r="QN376" s="11"/>
      <c r="QO376" s="11"/>
      <c r="QP376" s="11"/>
      <c r="QQ376" s="11"/>
      <c r="QR376" s="11"/>
      <c r="QS376" s="11"/>
      <c r="QT376" s="11"/>
      <c r="QU376" s="11"/>
      <c r="QV376" s="11"/>
      <c r="QW376" s="11"/>
      <c r="QX376" s="11"/>
      <c r="QY376" s="11"/>
      <c r="QZ376" s="11"/>
      <c r="RA376" s="11"/>
      <c r="RB376" s="11"/>
      <c r="RC376" s="11"/>
      <c r="RD376" s="11"/>
      <c r="RE376" s="11"/>
      <c r="RF376" s="11"/>
      <c r="RG376" s="11"/>
      <c r="RH376" s="11"/>
      <c r="RI376" s="11"/>
      <c r="RJ376" s="11"/>
      <c r="RK376" s="11"/>
      <c r="RL376" s="11"/>
      <c r="RM376" s="11"/>
      <c r="RN376" s="11"/>
      <c r="RO376" s="11"/>
      <c r="RP376" s="11"/>
      <c r="RQ376" s="11"/>
      <c r="RR376" s="11"/>
      <c r="RS376" s="11"/>
      <c r="RT376" s="11"/>
      <c r="RU376" s="11"/>
      <c r="RV376" s="11"/>
      <c r="RW376" s="11"/>
      <c r="RX376" s="11"/>
      <c r="RY376" s="11"/>
      <c r="RZ376" s="11"/>
      <c r="SA376" s="11"/>
      <c r="SB376" s="11"/>
      <c r="SC376" s="11"/>
      <c r="SD376" s="11"/>
      <c r="SE376" s="11"/>
      <c r="SF376" s="11"/>
      <c r="SG376" s="11"/>
      <c r="SH376" s="11">
        <v>1</v>
      </c>
    </row>
    <row r="377" spans="1:502" x14ac:dyDescent="0.2">
      <c r="A377" s="10">
        <v>3.8866365138973194E-2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>
        <v>1</v>
      </c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  <c r="OM377" s="11"/>
      <c r="ON377" s="11"/>
      <c r="OO377" s="11"/>
      <c r="OP377" s="11"/>
      <c r="OQ377" s="11"/>
      <c r="OR377" s="11"/>
      <c r="OS377" s="11"/>
      <c r="OT377" s="11"/>
      <c r="OU377" s="11"/>
      <c r="OV377" s="11"/>
      <c r="OW377" s="11"/>
      <c r="OX377" s="11"/>
      <c r="OY377" s="11"/>
      <c r="OZ377" s="11"/>
      <c r="PA377" s="11"/>
      <c r="PB377" s="11"/>
      <c r="PC377" s="11"/>
      <c r="PD377" s="11"/>
      <c r="PE377" s="11"/>
      <c r="PF377" s="11"/>
      <c r="PG377" s="11"/>
      <c r="PH377" s="11"/>
      <c r="PI377" s="11"/>
      <c r="PJ377" s="11"/>
      <c r="PK377" s="11"/>
      <c r="PL377" s="11"/>
      <c r="PM377" s="11"/>
      <c r="PN377" s="11"/>
      <c r="PO377" s="11"/>
      <c r="PP377" s="11"/>
      <c r="PQ377" s="11"/>
      <c r="PR377" s="11"/>
      <c r="PS377" s="11"/>
      <c r="PT377" s="11"/>
      <c r="PU377" s="11"/>
      <c r="PV377" s="11"/>
      <c r="PW377" s="11"/>
      <c r="PX377" s="11"/>
      <c r="PY377" s="11"/>
      <c r="PZ377" s="11"/>
      <c r="QA377" s="11"/>
      <c r="QB377" s="11"/>
      <c r="QC377" s="11"/>
      <c r="QD377" s="11"/>
      <c r="QE377" s="11"/>
      <c r="QF377" s="11"/>
      <c r="QG377" s="11"/>
      <c r="QH377" s="11"/>
      <c r="QI377" s="11"/>
      <c r="QJ377" s="11"/>
      <c r="QK377" s="11"/>
      <c r="QL377" s="11"/>
      <c r="QM377" s="11"/>
      <c r="QN377" s="11"/>
      <c r="QO377" s="11"/>
      <c r="QP377" s="11"/>
      <c r="QQ377" s="11"/>
      <c r="QR377" s="11"/>
      <c r="QS377" s="11"/>
      <c r="QT377" s="11"/>
      <c r="QU377" s="11"/>
      <c r="QV377" s="11"/>
      <c r="QW377" s="11"/>
      <c r="QX377" s="11"/>
      <c r="QY377" s="11"/>
      <c r="QZ377" s="11"/>
      <c r="RA377" s="11"/>
      <c r="RB377" s="11"/>
      <c r="RC377" s="11"/>
      <c r="RD377" s="11"/>
      <c r="RE377" s="11"/>
      <c r="RF377" s="11"/>
      <c r="RG377" s="11"/>
      <c r="RH377" s="11"/>
      <c r="RI377" s="11"/>
      <c r="RJ377" s="11"/>
      <c r="RK377" s="11"/>
      <c r="RL377" s="11"/>
      <c r="RM377" s="11"/>
      <c r="RN377" s="11"/>
      <c r="RO377" s="11"/>
      <c r="RP377" s="11"/>
      <c r="RQ377" s="11"/>
      <c r="RR377" s="11"/>
      <c r="RS377" s="11"/>
      <c r="RT377" s="11"/>
      <c r="RU377" s="11"/>
      <c r="RV377" s="11"/>
      <c r="RW377" s="11"/>
      <c r="RX377" s="11"/>
      <c r="RY377" s="11"/>
      <c r="RZ377" s="11"/>
      <c r="SA377" s="11"/>
      <c r="SB377" s="11"/>
      <c r="SC377" s="11"/>
      <c r="SD377" s="11"/>
      <c r="SE377" s="11"/>
      <c r="SF377" s="11"/>
      <c r="SG377" s="11"/>
      <c r="SH377" s="11">
        <v>1</v>
      </c>
    </row>
    <row r="378" spans="1:502" x14ac:dyDescent="0.2">
      <c r="A378" s="10">
        <v>3.9006206219581036E-2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>
        <v>1</v>
      </c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  <c r="OM378" s="11"/>
      <c r="ON378" s="11"/>
      <c r="OO378" s="11"/>
      <c r="OP378" s="11"/>
      <c r="OQ378" s="11"/>
      <c r="OR378" s="11"/>
      <c r="OS378" s="11"/>
      <c r="OT378" s="11"/>
      <c r="OU378" s="11"/>
      <c r="OV378" s="11"/>
      <c r="OW378" s="11"/>
      <c r="OX378" s="11"/>
      <c r="OY378" s="11"/>
      <c r="OZ378" s="11"/>
      <c r="PA378" s="11"/>
      <c r="PB378" s="11"/>
      <c r="PC378" s="11"/>
      <c r="PD378" s="11"/>
      <c r="PE378" s="11"/>
      <c r="PF378" s="11"/>
      <c r="PG378" s="11"/>
      <c r="PH378" s="11"/>
      <c r="PI378" s="11"/>
      <c r="PJ378" s="11"/>
      <c r="PK378" s="11"/>
      <c r="PL378" s="11"/>
      <c r="PM378" s="11"/>
      <c r="PN378" s="11"/>
      <c r="PO378" s="11"/>
      <c r="PP378" s="11"/>
      <c r="PQ378" s="11"/>
      <c r="PR378" s="11"/>
      <c r="PS378" s="11"/>
      <c r="PT378" s="11"/>
      <c r="PU378" s="11"/>
      <c r="PV378" s="11"/>
      <c r="PW378" s="11"/>
      <c r="PX378" s="11"/>
      <c r="PY378" s="11"/>
      <c r="PZ378" s="11"/>
      <c r="QA378" s="11"/>
      <c r="QB378" s="11"/>
      <c r="QC378" s="11"/>
      <c r="QD378" s="11"/>
      <c r="QE378" s="11"/>
      <c r="QF378" s="11"/>
      <c r="QG378" s="11"/>
      <c r="QH378" s="11"/>
      <c r="QI378" s="11"/>
      <c r="QJ378" s="11"/>
      <c r="QK378" s="11"/>
      <c r="QL378" s="11"/>
      <c r="QM378" s="11"/>
      <c r="QN378" s="11"/>
      <c r="QO378" s="11"/>
      <c r="QP378" s="11"/>
      <c r="QQ378" s="11"/>
      <c r="QR378" s="11"/>
      <c r="QS378" s="11"/>
      <c r="QT378" s="11"/>
      <c r="QU378" s="11"/>
      <c r="QV378" s="11"/>
      <c r="QW378" s="11"/>
      <c r="QX378" s="11"/>
      <c r="QY378" s="11"/>
      <c r="QZ378" s="11"/>
      <c r="RA378" s="11"/>
      <c r="RB378" s="11"/>
      <c r="RC378" s="11"/>
      <c r="RD378" s="11"/>
      <c r="RE378" s="11"/>
      <c r="RF378" s="11"/>
      <c r="RG378" s="11"/>
      <c r="RH378" s="11"/>
      <c r="RI378" s="11"/>
      <c r="RJ378" s="11"/>
      <c r="RK378" s="11"/>
      <c r="RL378" s="11"/>
      <c r="RM378" s="11"/>
      <c r="RN378" s="11"/>
      <c r="RO378" s="11"/>
      <c r="RP378" s="11"/>
      <c r="RQ378" s="11"/>
      <c r="RR378" s="11"/>
      <c r="RS378" s="11"/>
      <c r="RT378" s="11"/>
      <c r="RU378" s="11"/>
      <c r="RV378" s="11"/>
      <c r="RW378" s="11"/>
      <c r="RX378" s="11"/>
      <c r="RY378" s="11"/>
      <c r="RZ378" s="11"/>
      <c r="SA378" s="11"/>
      <c r="SB378" s="11"/>
      <c r="SC378" s="11"/>
      <c r="SD378" s="11"/>
      <c r="SE378" s="11"/>
      <c r="SF378" s="11"/>
      <c r="SG378" s="11"/>
      <c r="SH378" s="11">
        <v>1</v>
      </c>
    </row>
    <row r="379" spans="1:502" x14ac:dyDescent="0.2">
      <c r="A379" s="10">
        <v>3.9017922082193915E-2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  <c r="OM379" s="11"/>
      <c r="ON379" s="11"/>
      <c r="OO379" s="11"/>
      <c r="OP379" s="11"/>
      <c r="OQ379" s="11"/>
      <c r="OR379" s="11"/>
      <c r="OS379" s="11"/>
      <c r="OT379" s="11"/>
      <c r="OU379" s="11"/>
      <c r="OV379" s="11"/>
      <c r="OW379" s="11"/>
      <c r="OX379" s="11"/>
      <c r="OY379" s="11"/>
      <c r="OZ379" s="11"/>
      <c r="PA379" s="11"/>
      <c r="PB379" s="11"/>
      <c r="PC379" s="11"/>
      <c r="PD379" s="11"/>
      <c r="PE379" s="11"/>
      <c r="PF379" s="11"/>
      <c r="PG379" s="11"/>
      <c r="PH379" s="11"/>
      <c r="PI379" s="11"/>
      <c r="PJ379" s="11"/>
      <c r="PK379" s="11"/>
      <c r="PL379" s="11"/>
      <c r="PM379" s="11"/>
      <c r="PN379" s="11"/>
      <c r="PO379" s="11"/>
      <c r="PP379" s="11"/>
      <c r="PQ379" s="11"/>
      <c r="PR379" s="11"/>
      <c r="PS379" s="11"/>
      <c r="PT379" s="11"/>
      <c r="PU379" s="11"/>
      <c r="PV379" s="11"/>
      <c r="PW379" s="11"/>
      <c r="PX379" s="11"/>
      <c r="PY379" s="11"/>
      <c r="PZ379" s="11"/>
      <c r="QA379" s="11"/>
      <c r="QB379" s="11"/>
      <c r="QC379" s="11"/>
      <c r="QD379" s="11"/>
      <c r="QE379" s="11"/>
      <c r="QF379" s="11"/>
      <c r="QG379" s="11"/>
      <c r="QH379" s="11"/>
      <c r="QI379" s="11"/>
      <c r="QJ379" s="11"/>
      <c r="QK379" s="11"/>
      <c r="QL379" s="11"/>
      <c r="QM379" s="11"/>
      <c r="QN379" s="11"/>
      <c r="QO379" s="11"/>
      <c r="QP379" s="11"/>
      <c r="QQ379" s="11"/>
      <c r="QR379" s="11"/>
      <c r="QS379" s="11"/>
      <c r="QT379" s="11"/>
      <c r="QU379" s="11">
        <v>1</v>
      </c>
      <c r="QV379" s="11"/>
      <c r="QW379" s="11"/>
      <c r="QX379" s="11"/>
      <c r="QY379" s="11"/>
      <c r="QZ379" s="11"/>
      <c r="RA379" s="11"/>
      <c r="RB379" s="11"/>
      <c r="RC379" s="11"/>
      <c r="RD379" s="11"/>
      <c r="RE379" s="11"/>
      <c r="RF379" s="11"/>
      <c r="RG379" s="11"/>
      <c r="RH379" s="11"/>
      <c r="RI379" s="11"/>
      <c r="RJ379" s="11"/>
      <c r="RK379" s="11"/>
      <c r="RL379" s="11"/>
      <c r="RM379" s="11"/>
      <c r="RN379" s="11"/>
      <c r="RO379" s="11"/>
      <c r="RP379" s="11"/>
      <c r="RQ379" s="11"/>
      <c r="RR379" s="11"/>
      <c r="RS379" s="11"/>
      <c r="RT379" s="11"/>
      <c r="RU379" s="11"/>
      <c r="RV379" s="11"/>
      <c r="RW379" s="11"/>
      <c r="RX379" s="11"/>
      <c r="RY379" s="11"/>
      <c r="RZ379" s="11"/>
      <c r="SA379" s="11"/>
      <c r="SB379" s="11"/>
      <c r="SC379" s="11"/>
      <c r="SD379" s="11"/>
      <c r="SE379" s="11"/>
      <c r="SF379" s="11"/>
      <c r="SG379" s="11"/>
      <c r="SH379" s="11">
        <v>1</v>
      </c>
    </row>
    <row r="380" spans="1:502" x14ac:dyDescent="0.2">
      <c r="A380" s="10">
        <v>3.9202880085630248E-2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>
        <v>1</v>
      </c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  <c r="OM380" s="11"/>
      <c r="ON380" s="11"/>
      <c r="OO380" s="11"/>
      <c r="OP380" s="11"/>
      <c r="OQ380" s="11"/>
      <c r="OR380" s="11"/>
      <c r="OS380" s="11"/>
      <c r="OT380" s="11"/>
      <c r="OU380" s="11"/>
      <c r="OV380" s="11"/>
      <c r="OW380" s="11"/>
      <c r="OX380" s="11"/>
      <c r="OY380" s="11"/>
      <c r="OZ380" s="11"/>
      <c r="PA380" s="11"/>
      <c r="PB380" s="11"/>
      <c r="PC380" s="11"/>
      <c r="PD380" s="11"/>
      <c r="PE380" s="11"/>
      <c r="PF380" s="11"/>
      <c r="PG380" s="11"/>
      <c r="PH380" s="11"/>
      <c r="PI380" s="11"/>
      <c r="PJ380" s="11"/>
      <c r="PK380" s="11"/>
      <c r="PL380" s="11"/>
      <c r="PM380" s="11"/>
      <c r="PN380" s="11"/>
      <c r="PO380" s="11"/>
      <c r="PP380" s="11"/>
      <c r="PQ380" s="11"/>
      <c r="PR380" s="11"/>
      <c r="PS380" s="11"/>
      <c r="PT380" s="11"/>
      <c r="PU380" s="11"/>
      <c r="PV380" s="11"/>
      <c r="PW380" s="11"/>
      <c r="PX380" s="11"/>
      <c r="PY380" s="11"/>
      <c r="PZ380" s="11"/>
      <c r="QA380" s="11"/>
      <c r="QB380" s="11"/>
      <c r="QC380" s="11"/>
      <c r="QD380" s="11"/>
      <c r="QE380" s="11"/>
      <c r="QF380" s="11"/>
      <c r="QG380" s="11"/>
      <c r="QH380" s="11"/>
      <c r="QI380" s="11"/>
      <c r="QJ380" s="11"/>
      <c r="QK380" s="11"/>
      <c r="QL380" s="11"/>
      <c r="QM380" s="11"/>
      <c r="QN380" s="11"/>
      <c r="QO380" s="11"/>
      <c r="QP380" s="11"/>
      <c r="QQ380" s="11"/>
      <c r="QR380" s="11"/>
      <c r="QS380" s="11"/>
      <c r="QT380" s="11"/>
      <c r="QU380" s="11"/>
      <c r="QV380" s="11"/>
      <c r="QW380" s="11"/>
      <c r="QX380" s="11"/>
      <c r="QY380" s="11"/>
      <c r="QZ380" s="11"/>
      <c r="RA380" s="11"/>
      <c r="RB380" s="11"/>
      <c r="RC380" s="11"/>
      <c r="RD380" s="11"/>
      <c r="RE380" s="11"/>
      <c r="RF380" s="11"/>
      <c r="RG380" s="11"/>
      <c r="RH380" s="11"/>
      <c r="RI380" s="11"/>
      <c r="RJ380" s="11"/>
      <c r="RK380" s="11"/>
      <c r="RL380" s="11"/>
      <c r="RM380" s="11"/>
      <c r="RN380" s="11"/>
      <c r="RO380" s="11"/>
      <c r="RP380" s="11"/>
      <c r="RQ380" s="11"/>
      <c r="RR380" s="11"/>
      <c r="RS380" s="11"/>
      <c r="RT380" s="11"/>
      <c r="RU380" s="11"/>
      <c r="RV380" s="11"/>
      <c r="RW380" s="11"/>
      <c r="RX380" s="11"/>
      <c r="RY380" s="11"/>
      <c r="RZ380" s="11"/>
      <c r="SA380" s="11"/>
      <c r="SB380" s="11"/>
      <c r="SC380" s="11"/>
      <c r="SD380" s="11"/>
      <c r="SE380" s="11"/>
      <c r="SF380" s="11"/>
      <c r="SG380" s="11"/>
      <c r="SH380" s="11">
        <v>1</v>
      </c>
    </row>
    <row r="381" spans="1:502" x14ac:dyDescent="0.2">
      <c r="A381" s="10">
        <v>3.9338817020319446E-2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>
        <v>1</v>
      </c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  <c r="OM381" s="11"/>
      <c r="ON381" s="11"/>
      <c r="OO381" s="11"/>
      <c r="OP381" s="11"/>
      <c r="OQ381" s="11"/>
      <c r="OR381" s="11"/>
      <c r="OS381" s="11"/>
      <c r="OT381" s="11"/>
      <c r="OU381" s="11"/>
      <c r="OV381" s="11"/>
      <c r="OW381" s="11"/>
      <c r="OX381" s="11"/>
      <c r="OY381" s="11"/>
      <c r="OZ381" s="11"/>
      <c r="PA381" s="11"/>
      <c r="PB381" s="11"/>
      <c r="PC381" s="11"/>
      <c r="PD381" s="11"/>
      <c r="PE381" s="11"/>
      <c r="PF381" s="11"/>
      <c r="PG381" s="11"/>
      <c r="PH381" s="11"/>
      <c r="PI381" s="11"/>
      <c r="PJ381" s="11"/>
      <c r="PK381" s="11"/>
      <c r="PL381" s="11"/>
      <c r="PM381" s="11"/>
      <c r="PN381" s="11"/>
      <c r="PO381" s="11"/>
      <c r="PP381" s="11"/>
      <c r="PQ381" s="11"/>
      <c r="PR381" s="11"/>
      <c r="PS381" s="11"/>
      <c r="PT381" s="11"/>
      <c r="PU381" s="11"/>
      <c r="PV381" s="11"/>
      <c r="PW381" s="11"/>
      <c r="PX381" s="11"/>
      <c r="PY381" s="11"/>
      <c r="PZ381" s="11"/>
      <c r="QA381" s="11"/>
      <c r="QB381" s="11"/>
      <c r="QC381" s="11"/>
      <c r="QD381" s="11"/>
      <c r="QE381" s="11"/>
      <c r="QF381" s="11"/>
      <c r="QG381" s="11"/>
      <c r="QH381" s="11"/>
      <c r="QI381" s="11"/>
      <c r="QJ381" s="11"/>
      <c r="QK381" s="11"/>
      <c r="QL381" s="11"/>
      <c r="QM381" s="11"/>
      <c r="QN381" s="11"/>
      <c r="QO381" s="11"/>
      <c r="QP381" s="11"/>
      <c r="QQ381" s="11"/>
      <c r="QR381" s="11"/>
      <c r="QS381" s="11"/>
      <c r="QT381" s="11"/>
      <c r="QU381" s="11"/>
      <c r="QV381" s="11"/>
      <c r="QW381" s="11"/>
      <c r="QX381" s="11"/>
      <c r="QY381" s="11"/>
      <c r="QZ381" s="11"/>
      <c r="RA381" s="11"/>
      <c r="RB381" s="11"/>
      <c r="RC381" s="11"/>
      <c r="RD381" s="11"/>
      <c r="RE381" s="11"/>
      <c r="RF381" s="11"/>
      <c r="RG381" s="11"/>
      <c r="RH381" s="11"/>
      <c r="RI381" s="11"/>
      <c r="RJ381" s="11"/>
      <c r="RK381" s="11"/>
      <c r="RL381" s="11"/>
      <c r="RM381" s="11"/>
      <c r="RN381" s="11"/>
      <c r="RO381" s="11"/>
      <c r="RP381" s="11"/>
      <c r="RQ381" s="11"/>
      <c r="RR381" s="11"/>
      <c r="RS381" s="11"/>
      <c r="RT381" s="11"/>
      <c r="RU381" s="11"/>
      <c r="RV381" s="11"/>
      <c r="RW381" s="11"/>
      <c r="RX381" s="11"/>
      <c r="RY381" s="11"/>
      <c r="RZ381" s="11"/>
      <c r="SA381" s="11"/>
      <c r="SB381" s="11"/>
      <c r="SC381" s="11"/>
      <c r="SD381" s="11"/>
      <c r="SE381" s="11"/>
      <c r="SF381" s="11"/>
      <c r="SG381" s="11"/>
      <c r="SH381" s="11">
        <v>1</v>
      </c>
    </row>
    <row r="382" spans="1:502" x14ac:dyDescent="0.2">
      <c r="A382" s="10">
        <v>3.9528403989371026E-2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>
        <v>1</v>
      </c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  <c r="OM382" s="11"/>
      <c r="ON382" s="11"/>
      <c r="OO382" s="11"/>
      <c r="OP382" s="11"/>
      <c r="OQ382" s="11"/>
      <c r="OR382" s="11"/>
      <c r="OS382" s="11"/>
      <c r="OT382" s="11"/>
      <c r="OU382" s="11"/>
      <c r="OV382" s="11"/>
      <c r="OW382" s="11"/>
      <c r="OX382" s="11"/>
      <c r="OY382" s="11"/>
      <c r="OZ382" s="11"/>
      <c r="PA382" s="11"/>
      <c r="PB382" s="11"/>
      <c r="PC382" s="11"/>
      <c r="PD382" s="11"/>
      <c r="PE382" s="11"/>
      <c r="PF382" s="11"/>
      <c r="PG382" s="11"/>
      <c r="PH382" s="11"/>
      <c r="PI382" s="11"/>
      <c r="PJ382" s="11"/>
      <c r="PK382" s="11"/>
      <c r="PL382" s="11"/>
      <c r="PM382" s="11"/>
      <c r="PN382" s="11"/>
      <c r="PO382" s="11"/>
      <c r="PP382" s="11"/>
      <c r="PQ382" s="11"/>
      <c r="PR382" s="11"/>
      <c r="PS382" s="11"/>
      <c r="PT382" s="11"/>
      <c r="PU382" s="11"/>
      <c r="PV382" s="11"/>
      <c r="PW382" s="11"/>
      <c r="PX382" s="11"/>
      <c r="PY382" s="11"/>
      <c r="PZ382" s="11"/>
      <c r="QA382" s="11"/>
      <c r="QB382" s="11"/>
      <c r="QC382" s="11"/>
      <c r="QD382" s="11"/>
      <c r="QE382" s="11"/>
      <c r="QF382" s="11"/>
      <c r="QG382" s="11"/>
      <c r="QH382" s="11"/>
      <c r="QI382" s="11"/>
      <c r="QJ382" s="11"/>
      <c r="QK382" s="11"/>
      <c r="QL382" s="11"/>
      <c r="QM382" s="11"/>
      <c r="QN382" s="11"/>
      <c r="QO382" s="11"/>
      <c r="QP382" s="11"/>
      <c r="QQ382" s="11"/>
      <c r="QR382" s="11"/>
      <c r="QS382" s="11"/>
      <c r="QT382" s="11"/>
      <c r="QU382" s="11"/>
      <c r="QV382" s="11"/>
      <c r="QW382" s="11"/>
      <c r="QX382" s="11"/>
      <c r="QY382" s="11"/>
      <c r="QZ382" s="11"/>
      <c r="RA382" s="11"/>
      <c r="RB382" s="11"/>
      <c r="RC382" s="11"/>
      <c r="RD382" s="11"/>
      <c r="RE382" s="11"/>
      <c r="RF382" s="11"/>
      <c r="RG382" s="11"/>
      <c r="RH382" s="11"/>
      <c r="RI382" s="11"/>
      <c r="RJ382" s="11"/>
      <c r="RK382" s="11"/>
      <c r="RL382" s="11"/>
      <c r="RM382" s="11"/>
      <c r="RN382" s="11"/>
      <c r="RO382" s="11"/>
      <c r="RP382" s="11"/>
      <c r="RQ382" s="11"/>
      <c r="RR382" s="11"/>
      <c r="RS382" s="11"/>
      <c r="RT382" s="11"/>
      <c r="RU382" s="11"/>
      <c r="RV382" s="11"/>
      <c r="RW382" s="11"/>
      <c r="RX382" s="11"/>
      <c r="RY382" s="11"/>
      <c r="RZ382" s="11"/>
      <c r="SA382" s="11"/>
      <c r="SB382" s="11"/>
      <c r="SC382" s="11"/>
      <c r="SD382" s="11"/>
      <c r="SE382" s="11"/>
      <c r="SF382" s="11"/>
      <c r="SG382" s="11"/>
      <c r="SH382" s="11">
        <v>1</v>
      </c>
    </row>
    <row r="383" spans="1:502" x14ac:dyDescent="0.2">
      <c r="A383" s="10">
        <v>3.9616626273283412E-2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>
        <v>1</v>
      </c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  <c r="OM383" s="11"/>
      <c r="ON383" s="11"/>
      <c r="OO383" s="11"/>
      <c r="OP383" s="11"/>
      <c r="OQ383" s="11"/>
      <c r="OR383" s="11"/>
      <c r="OS383" s="11"/>
      <c r="OT383" s="11"/>
      <c r="OU383" s="11"/>
      <c r="OV383" s="11"/>
      <c r="OW383" s="11"/>
      <c r="OX383" s="11"/>
      <c r="OY383" s="11"/>
      <c r="OZ383" s="11"/>
      <c r="PA383" s="11"/>
      <c r="PB383" s="11"/>
      <c r="PC383" s="11"/>
      <c r="PD383" s="11"/>
      <c r="PE383" s="11"/>
      <c r="PF383" s="11"/>
      <c r="PG383" s="11"/>
      <c r="PH383" s="11"/>
      <c r="PI383" s="11"/>
      <c r="PJ383" s="11"/>
      <c r="PK383" s="11"/>
      <c r="PL383" s="11"/>
      <c r="PM383" s="11"/>
      <c r="PN383" s="11"/>
      <c r="PO383" s="11"/>
      <c r="PP383" s="11"/>
      <c r="PQ383" s="11"/>
      <c r="PR383" s="11"/>
      <c r="PS383" s="11"/>
      <c r="PT383" s="11"/>
      <c r="PU383" s="11"/>
      <c r="PV383" s="11"/>
      <c r="PW383" s="11"/>
      <c r="PX383" s="11"/>
      <c r="PY383" s="11"/>
      <c r="PZ383" s="11"/>
      <c r="QA383" s="11"/>
      <c r="QB383" s="11"/>
      <c r="QC383" s="11"/>
      <c r="QD383" s="11"/>
      <c r="QE383" s="11"/>
      <c r="QF383" s="11"/>
      <c r="QG383" s="11"/>
      <c r="QH383" s="11"/>
      <c r="QI383" s="11"/>
      <c r="QJ383" s="11"/>
      <c r="QK383" s="11"/>
      <c r="QL383" s="11"/>
      <c r="QM383" s="11"/>
      <c r="QN383" s="11"/>
      <c r="QO383" s="11"/>
      <c r="QP383" s="11"/>
      <c r="QQ383" s="11"/>
      <c r="QR383" s="11"/>
      <c r="QS383" s="11"/>
      <c r="QT383" s="11"/>
      <c r="QU383" s="11"/>
      <c r="QV383" s="11"/>
      <c r="QW383" s="11"/>
      <c r="QX383" s="11"/>
      <c r="QY383" s="11"/>
      <c r="QZ383" s="11"/>
      <c r="RA383" s="11"/>
      <c r="RB383" s="11"/>
      <c r="RC383" s="11"/>
      <c r="RD383" s="11"/>
      <c r="RE383" s="11"/>
      <c r="RF383" s="11"/>
      <c r="RG383" s="11"/>
      <c r="RH383" s="11"/>
      <c r="RI383" s="11"/>
      <c r="RJ383" s="11"/>
      <c r="RK383" s="11"/>
      <c r="RL383" s="11"/>
      <c r="RM383" s="11"/>
      <c r="RN383" s="11"/>
      <c r="RO383" s="11"/>
      <c r="RP383" s="11"/>
      <c r="RQ383" s="11"/>
      <c r="RR383" s="11"/>
      <c r="RS383" s="11"/>
      <c r="RT383" s="11"/>
      <c r="RU383" s="11"/>
      <c r="RV383" s="11"/>
      <c r="RW383" s="11"/>
      <c r="RX383" s="11"/>
      <c r="RY383" s="11"/>
      <c r="RZ383" s="11"/>
      <c r="SA383" s="11"/>
      <c r="SB383" s="11"/>
      <c r="SC383" s="11"/>
      <c r="SD383" s="11"/>
      <c r="SE383" s="11"/>
      <c r="SF383" s="11"/>
      <c r="SG383" s="11"/>
      <c r="SH383" s="11">
        <v>1</v>
      </c>
    </row>
    <row r="384" spans="1:502" x14ac:dyDescent="0.2">
      <c r="A384" s="10">
        <v>3.9737220962120817E-2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>
        <v>1</v>
      </c>
      <c r="OH384" s="11"/>
      <c r="OI384" s="11"/>
      <c r="OJ384" s="11"/>
      <c r="OK384" s="11"/>
      <c r="OL384" s="11"/>
      <c r="OM384" s="11"/>
      <c r="ON384" s="11"/>
      <c r="OO384" s="11"/>
      <c r="OP384" s="11"/>
      <c r="OQ384" s="11"/>
      <c r="OR384" s="11"/>
      <c r="OS384" s="11"/>
      <c r="OT384" s="11"/>
      <c r="OU384" s="11"/>
      <c r="OV384" s="11"/>
      <c r="OW384" s="11"/>
      <c r="OX384" s="11"/>
      <c r="OY384" s="11"/>
      <c r="OZ384" s="11"/>
      <c r="PA384" s="11"/>
      <c r="PB384" s="11"/>
      <c r="PC384" s="11"/>
      <c r="PD384" s="11"/>
      <c r="PE384" s="11"/>
      <c r="PF384" s="11"/>
      <c r="PG384" s="11"/>
      <c r="PH384" s="11"/>
      <c r="PI384" s="11"/>
      <c r="PJ384" s="11"/>
      <c r="PK384" s="11"/>
      <c r="PL384" s="11"/>
      <c r="PM384" s="11"/>
      <c r="PN384" s="11"/>
      <c r="PO384" s="11"/>
      <c r="PP384" s="11"/>
      <c r="PQ384" s="11"/>
      <c r="PR384" s="11"/>
      <c r="PS384" s="11"/>
      <c r="PT384" s="11"/>
      <c r="PU384" s="11"/>
      <c r="PV384" s="11"/>
      <c r="PW384" s="11"/>
      <c r="PX384" s="11"/>
      <c r="PY384" s="11"/>
      <c r="PZ384" s="11"/>
      <c r="QA384" s="11"/>
      <c r="QB384" s="11"/>
      <c r="QC384" s="11"/>
      <c r="QD384" s="11"/>
      <c r="QE384" s="11"/>
      <c r="QF384" s="11"/>
      <c r="QG384" s="11"/>
      <c r="QH384" s="11"/>
      <c r="QI384" s="11"/>
      <c r="QJ384" s="11"/>
      <c r="QK384" s="11"/>
      <c r="QL384" s="11"/>
      <c r="QM384" s="11"/>
      <c r="QN384" s="11"/>
      <c r="QO384" s="11"/>
      <c r="QP384" s="11"/>
      <c r="QQ384" s="11"/>
      <c r="QR384" s="11"/>
      <c r="QS384" s="11"/>
      <c r="QT384" s="11"/>
      <c r="QU384" s="11"/>
      <c r="QV384" s="11"/>
      <c r="QW384" s="11"/>
      <c r="QX384" s="11"/>
      <c r="QY384" s="11"/>
      <c r="QZ384" s="11"/>
      <c r="RA384" s="11"/>
      <c r="RB384" s="11"/>
      <c r="RC384" s="11"/>
      <c r="RD384" s="11"/>
      <c r="RE384" s="11"/>
      <c r="RF384" s="11"/>
      <c r="RG384" s="11"/>
      <c r="RH384" s="11"/>
      <c r="RI384" s="11"/>
      <c r="RJ384" s="11"/>
      <c r="RK384" s="11"/>
      <c r="RL384" s="11"/>
      <c r="RM384" s="11"/>
      <c r="RN384" s="11"/>
      <c r="RO384" s="11"/>
      <c r="RP384" s="11"/>
      <c r="RQ384" s="11"/>
      <c r="RR384" s="11"/>
      <c r="RS384" s="11"/>
      <c r="RT384" s="11"/>
      <c r="RU384" s="11"/>
      <c r="RV384" s="11"/>
      <c r="RW384" s="11"/>
      <c r="RX384" s="11"/>
      <c r="RY384" s="11"/>
      <c r="RZ384" s="11"/>
      <c r="SA384" s="11"/>
      <c r="SB384" s="11"/>
      <c r="SC384" s="11"/>
      <c r="SD384" s="11"/>
      <c r="SE384" s="11"/>
      <c r="SF384" s="11"/>
      <c r="SG384" s="11"/>
      <c r="SH384" s="11">
        <v>1</v>
      </c>
    </row>
    <row r="385" spans="1:502" x14ac:dyDescent="0.2">
      <c r="A385" s="10">
        <v>3.981913070364735E-2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  <c r="OM385" s="11"/>
      <c r="ON385" s="11"/>
      <c r="OO385" s="11"/>
      <c r="OP385" s="11"/>
      <c r="OQ385" s="11"/>
      <c r="OR385" s="11"/>
      <c r="OS385" s="11"/>
      <c r="OT385" s="11"/>
      <c r="OU385" s="11"/>
      <c r="OV385" s="11"/>
      <c r="OW385" s="11"/>
      <c r="OX385" s="11"/>
      <c r="OY385" s="11"/>
      <c r="OZ385" s="11"/>
      <c r="PA385" s="11"/>
      <c r="PB385" s="11"/>
      <c r="PC385" s="11"/>
      <c r="PD385" s="11"/>
      <c r="PE385" s="11"/>
      <c r="PF385" s="11"/>
      <c r="PG385" s="11"/>
      <c r="PH385" s="11"/>
      <c r="PI385" s="11"/>
      <c r="PJ385" s="11"/>
      <c r="PK385" s="11"/>
      <c r="PL385" s="11"/>
      <c r="PM385" s="11"/>
      <c r="PN385" s="11"/>
      <c r="PO385" s="11"/>
      <c r="PP385" s="11"/>
      <c r="PQ385" s="11"/>
      <c r="PR385" s="11"/>
      <c r="PS385" s="11"/>
      <c r="PT385" s="11"/>
      <c r="PU385" s="11"/>
      <c r="PV385" s="11"/>
      <c r="PW385" s="11"/>
      <c r="PX385" s="11"/>
      <c r="PY385" s="11"/>
      <c r="PZ385" s="11"/>
      <c r="QA385" s="11"/>
      <c r="QB385" s="11"/>
      <c r="QC385" s="11"/>
      <c r="QD385" s="11"/>
      <c r="QE385" s="11"/>
      <c r="QF385" s="11"/>
      <c r="QG385" s="11"/>
      <c r="QH385" s="11"/>
      <c r="QI385" s="11"/>
      <c r="QJ385" s="11"/>
      <c r="QK385" s="11"/>
      <c r="QL385" s="11"/>
      <c r="QM385" s="11"/>
      <c r="QN385" s="11"/>
      <c r="QO385" s="11"/>
      <c r="QP385" s="11"/>
      <c r="QQ385" s="11"/>
      <c r="QR385" s="11"/>
      <c r="QS385" s="11"/>
      <c r="QT385" s="11"/>
      <c r="QU385" s="11"/>
      <c r="QV385" s="11"/>
      <c r="QW385" s="11"/>
      <c r="QX385" s="11"/>
      <c r="QY385" s="11"/>
      <c r="QZ385" s="11"/>
      <c r="RA385" s="11"/>
      <c r="RB385" s="11">
        <v>1</v>
      </c>
      <c r="RC385" s="11"/>
      <c r="RD385" s="11"/>
      <c r="RE385" s="11"/>
      <c r="RF385" s="11"/>
      <c r="RG385" s="11"/>
      <c r="RH385" s="11"/>
      <c r="RI385" s="11"/>
      <c r="RJ385" s="11"/>
      <c r="RK385" s="11"/>
      <c r="RL385" s="11"/>
      <c r="RM385" s="11"/>
      <c r="RN385" s="11"/>
      <c r="RO385" s="11"/>
      <c r="RP385" s="11"/>
      <c r="RQ385" s="11"/>
      <c r="RR385" s="11"/>
      <c r="RS385" s="11"/>
      <c r="RT385" s="11"/>
      <c r="RU385" s="11"/>
      <c r="RV385" s="11"/>
      <c r="RW385" s="11"/>
      <c r="RX385" s="11"/>
      <c r="RY385" s="11"/>
      <c r="RZ385" s="11"/>
      <c r="SA385" s="11"/>
      <c r="SB385" s="11"/>
      <c r="SC385" s="11"/>
      <c r="SD385" s="11"/>
      <c r="SE385" s="11"/>
      <c r="SF385" s="11"/>
      <c r="SG385" s="11"/>
      <c r="SH385" s="11">
        <v>1</v>
      </c>
    </row>
    <row r="386" spans="1:502" x14ac:dyDescent="0.2">
      <c r="A386" s="10">
        <v>3.9888895353676956E-2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>
        <v>1</v>
      </c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  <c r="OM386" s="11"/>
      <c r="ON386" s="11"/>
      <c r="OO386" s="11"/>
      <c r="OP386" s="11"/>
      <c r="OQ386" s="11"/>
      <c r="OR386" s="11"/>
      <c r="OS386" s="11"/>
      <c r="OT386" s="11"/>
      <c r="OU386" s="11"/>
      <c r="OV386" s="11"/>
      <c r="OW386" s="11"/>
      <c r="OX386" s="11"/>
      <c r="OY386" s="11"/>
      <c r="OZ386" s="11"/>
      <c r="PA386" s="11"/>
      <c r="PB386" s="11"/>
      <c r="PC386" s="11"/>
      <c r="PD386" s="11"/>
      <c r="PE386" s="11"/>
      <c r="PF386" s="11"/>
      <c r="PG386" s="11"/>
      <c r="PH386" s="11"/>
      <c r="PI386" s="11"/>
      <c r="PJ386" s="11"/>
      <c r="PK386" s="11"/>
      <c r="PL386" s="11"/>
      <c r="PM386" s="11"/>
      <c r="PN386" s="11"/>
      <c r="PO386" s="11"/>
      <c r="PP386" s="11"/>
      <c r="PQ386" s="11"/>
      <c r="PR386" s="11"/>
      <c r="PS386" s="11"/>
      <c r="PT386" s="11"/>
      <c r="PU386" s="11"/>
      <c r="PV386" s="11"/>
      <c r="PW386" s="11"/>
      <c r="PX386" s="11"/>
      <c r="PY386" s="11"/>
      <c r="PZ386" s="11"/>
      <c r="QA386" s="11"/>
      <c r="QB386" s="11"/>
      <c r="QC386" s="11"/>
      <c r="QD386" s="11"/>
      <c r="QE386" s="11"/>
      <c r="QF386" s="11"/>
      <c r="QG386" s="11"/>
      <c r="QH386" s="11"/>
      <c r="QI386" s="11"/>
      <c r="QJ386" s="11"/>
      <c r="QK386" s="11"/>
      <c r="QL386" s="11"/>
      <c r="QM386" s="11"/>
      <c r="QN386" s="11"/>
      <c r="QO386" s="11"/>
      <c r="QP386" s="11"/>
      <c r="QQ386" s="11"/>
      <c r="QR386" s="11"/>
      <c r="QS386" s="11"/>
      <c r="QT386" s="11"/>
      <c r="QU386" s="11"/>
      <c r="QV386" s="11"/>
      <c r="QW386" s="11"/>
      <c r="QX386" s="11"/>
      <c r="QY386" s="11"/>
      <c r="QZ386" s="11"/>
      <c r="RA386" s="11"/>
      <c r="RB386" s="11"/>
      <c r="RC386" s="11"/>
      <c r="RD386" s="11"/>
      <c r="RE386" s="11"/>
      <c r="RF386" s="11"/>
      <c r="RG386" s="11"/>
      <c r="RH386" s="11"/>
      <c r="RI386" s="11"/>
      <c r="RJ386" s="11"/>
      <c r="RK386" s="11"/>
      <c r="RL386" s="11"/>
      <c r="RM386" s="11"/>
      <c r="RN386" s="11"/>
      <c r="RO386" s="11"/>
      <c r="RP386" s="11"/>
      <c r="RQ386" s="11"/>
      <c r="RR386" s="11"/>
      <c r="RS386" s="11"/>
      <c r="RT386" s="11"/>
      <c r="RU386" s="11"/>
      <c r="RV386" s="11"/>
      <c r="RW386" s="11"/>
      <c r="RX386" s="11"/>
      <c r="RY386" s="11"/>
      <c r="RZ386" s="11"/>
      <c r="SA386" s="11"/>
      <c r="SB386" s="11"/>
      <c r="SC386" s="11"/>
      <c r="SD386" s="11"/>
      <c r="SE386" s="11"/>
      <c r="SF386" s="11"/>
      <c r="SG386" s="11"/>
      <c r="SH386" s="11">
        <v>1</v>
      </c>
    </row>
    <row r="387" spans="1:502" x14ac:dyDescent="0.2">
      <c r="A387" s="10">
        <v>3.9986442007109851E-2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>
        <v>1</v>
      </c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  <c r="OM387" s="11"/>
      <c r="ON387" s="11"/>
      <c r="OO387" s="11"/>
      <c r="OP387" s="11"/>
      <c r="OQ387" s="11"/>
      <c r="OR387" s="11"/>
      <c r="OS387" s="11"/>
      <c r="OT387" s="11"/>
      <c r="OU387" s="11"/>
      <c r="OV387" s="11"/>
      <c r="OW387" s="11"/>
      <c r="OX387" s="11"/>
      <c r="OY387" s="11"/>
      <c r="OZ387" s="11"/>
      <c r="PA387" s="11"/>
      <c r="PB387" s="11"/>
      <c r="PC387" s="11"/>
      <c r="PD387" s="11"/>
      <c r="PE387" s="11"/>
      <c r="PF387" s="11"/>
      <c r="PG387" s="11"/>
      <c r="PH387" s="11"/>
      <c r="PI387" s="11"/>
      <c r="PJ387" s="11"/>
      <c r="PK387" s="11"/>
      <c r="PL387" s="11"/>
      <c r="PM387" s="11"/>
      <c r="PN387" s="11"/>
      <c r="PO387" s="11"/>
      <c r="PP387" s="11"/>
      <c r="PQ387" s="11"/>
      <c r="PR387" s="11"/>
      <c r="PS387" s="11"/>
      <c r="PT387" s="11"/>
      <c r="PU387" s="11"/>
      <c r="PV387" s="11"/>
      <c r="PW387" s="11"/>
      <c r="PX387" s="11"/>
      <c r="PY387" s="11"/>
      <c r="PZ387" s="11"/>
      <c r="QA387" s="11"/>
      <c r="QB387" s="11"/>
      <c r="QC387" s="11"/>
      <c r="QD387" s="11"/>
      <c r="QE387" s="11"/>
      <c r="QF387" s="11"/>
      <c r="QG387" s="11"/>
      <c r="QH387" s="11"/>
      <c r="QI387" s="11"/>
      <c r="QJ387" s="11"/>
      <c r="QK387" s="11"/>
      <c r="QL387" s="11"/>
      <c r="QM387" s="11"/>
      <c r="QN387" s="11"/>
      <c r="QO387" s="11"/>
      <c r="QP387" s="11"/>
      <c r="QQ387" s="11"/>
      <c r="QR387" s="11"/>
      <c r="QS387" s="11"/>
      <c r="QT387" s="11"/>
      <c r="QU387" s="11"/>
      <c r="QV387" s="11"/>
      <c r="QW387" s="11"/>
      <c r="QX387" s="11"/>
      <c r="QY387" s="11"/>
      <c r="QZ387" s="11"/>
      <c r="RA387" s="11"/>
      <c r="RB387" s="11"/>
      <c r="RC387" s="11"/>
      <c r="RD387" s="11"/>
      <c r="RE387" s="11"/>
      <c r="RF387" s="11"/>
      <c r="RG387" s="11"/>
      <c r="RH387" s="11"/>
      <c r="RI387" s="11"/>
      <c r="RJ387" s="11"/>
      <c r="RK387" s="11"/>
      <c r="RL387" s="11"/>
      <c r="RM387" s="11"/>
      <c r="RN387" s="11"/>
      <c r="RO387" s="11"/>
      <c r="RP387" s="11"/>
      <c r="RQ387" s="11"/>
      <c r="RR387" s="11"/>
      <c r="RS387" s="11"/>
      <c r="RT387" s="11"/>
      <c r="RU387" s="11"/>
      <c r="RV387" s="11"/>
      <c r="RW387" s="11"/>
      <c r="RX387" s="11"/>
      <c r="RY387" s="11"/>
      <c r="RZ387" s="11"/>
      <c r="SA387" s="11"/>
      <c r="SB387" s="11"/>
      <c r="SC387" s="11"/>
      <c r="SD387" s="11"/>
      <c r="SE387" s="11"/>
      <c r="SF387" s="11"/>
      <c r="SG387" s="11"/>
      <c r="SH387" s="11">
        <v>1</v>
      </c>
    </row>
    <row r="388" spans="1:502" x14ac:dyDescent="0.2">
      <c r="A388" s="10">
        <v>4.0159983934569488E-2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>
        <v>1</v>
      </c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  <c r="OM388" s="11"/>
      <c r="ON388" s="11"/>
      <c r="OO388" s="11"/>
      <c r="OP388" s="11"/>
      <c r="OQ388" s="11"/>
      <c r="OR388" s="11"/>
      <c r="OS388" s="11"/>
      <c r="OT388" s="11"/>
      <c r="OU388" s="11"/>
      <c r="OV388" s="11"/>
      <c r="OW388" s="11"/>
      <c r="OX388" s="11"/>
      <c r="OY388" s="11"/>
      <c r="OZ388" s="11"/>
      <c r="PA388" s="11"/>
      <c r="PB388" s="11"/>
      <c r="PC388" s="11"/>
      <c r="PD388" s="11"/>
      <c r="PE388" s="11"/>
      <c r="PF388" s="11"/>
      <c r="PG388" s="11"/>
      <c r="PH388" s="11"/>
      <c r="PI388" s="11"/>
      <c r="PJ388" s="11"/>
      <c r="PK388" s="11"/>
      <c r="PL388" s="11"/>
      <c r="PM388" s="11"/>
      <c r="PN388" s="11"/>
      <c r="PO388" s="11"/>
      <c r="PP388" s="11"/>
      <c r="PQ388" s="11"/>
      <c r="PR388" s="11"/>
      <c r="PS388" s="11"/>
      <c r="PT388" s="11"/>
      <c r="PU388" s="11"/>
      <c r="PV388" s="11"/>
      <c r="PW388" s="11"/>
      <c r="PX388" s="11"/>
      <c r="PY388" s="11"/>
      <c r="PZ388" s="11"/>
      <c r="QA388" s="11"/>
      <c r="QB388" s="11"/>
      <c r="QC388" s="11"/>
      <c r="QD388" s="11"/>
      <c r="QE388" s="11"/>
      <c r="QF388" s="11"/>
      <c r="QG388" s="11"/>
      <c r="QH388" s="11"/>
      <c r="QI388" s="11"/>
      <c r="QJ388" s="11"/>
      <c r="QK388" s="11"/>
      <c r="QL388" s="11"/>
      <c r="QM388" s="11"/>
      <c r="QN388" s="11"/>
      <c r="QO388" s="11"/>
      <c r="QP388" s="11"/>
      <c r="QQ388" s="11"/>
      <c r="QR388" s="11"/>
      <c r="QS388" s="11"/>
      <c r="QT388" s="11"/>
      <c r="QU388" s="11"/>
      <c r="QV388" s="11"/>
      <c r="QW388" s="11"/>
      <c r="QX388" s="11"/>
      <c r="QY388" s="11"/>
      <c r="QZ388" s="11"/>
      <c r="RA388" s="11"/>
      <c r="RB388" s="11"/>
      <c r="RC388" s="11"/>
      <c r="RD388" s="11"/>
      <c r="RE388" s="11"/>
      <c r="RF388" s="11"/>
      <c r="RG388" s="11"/>
      <c r="RH388" s="11"/>
      <c r="RI388" s="11"/>
      <c r="RJ388" s="11"/>
      <c r="RK388" s="11"/>
      <c r="RL388" s="11"/>
      <c r="RM388" s="11"/>
      <c r="RN388" s="11"/>
      <c r="RO388" s="11"/>
      <c r="RP388" s="11"/>
      <c r="RQ388" s="11"/>
      <c r="RR388" s="11"/>
      <c r="RS388" s="11"/>
      <c r="RT388" s="11"/>
      <c r="RU388" s="11"/>
      <c r="RV388" s="11"/>
      <c r="RW388" s="11"/>
      <c r="RX388" s="11"/>
      <c r="RY388" s="11"/>
      <c r="RZ388" s="11"/>
      <c r="SA388" s="11"/>
      <c r="SB388" s="11"/>
      <c r="SC388" s="11"/>
      <c r="SD388" s="11"/>
      <c r="SE388" s="11"/>
      <c r="SF388" s="11"/>
      <c r="SG388" s="11"/>
      <c r="SH388" s="11">
        <v>1</v>
      </c>
    </row>
    <row r="389" spans="1:502" x14ac:dyDescent="0.2">
      <c r="A389" s="10">
        <v>4.0326288256090817E-2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>
        <v>1</v>
      </c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  <c r="OM389" s="11"/>
      <c r="ON389" s="11"/>
      <c r="OO389" s="11"/>
      <c r="OP389" s="11"/>
      <c r="OQ389" s="11"/>
      <c r="OR389" s="11"/>
      <c r="OS389" s="11"/>
      <c r="OT389" s="11"/>
      <c r="OU389" s="11"/>
      <c r="OV389" s="11"/>
      <c r="OW389" s="11"/>
      <c r="OX389" s="11"/>
      <c r="OY389" s="11"/>
      <c r="OZ389" s="11"/>
      <c r="PA389" s="11"/>
      <c r="PB389" s="11"/>
      <c r="PC389" s="11"/>
      <c r="PD389" s="11"/>
      <c r="PE389" s="11"/>
      <c r="PF389" s="11"/>
      <c r="PG389" s="11"/>
      <c r="PH389" s="11"/>
      <c r="PI389" s="11"/>
      <c r="PJ389" s="11"/>
      <c r="PK389" s="11"/>
      <c r="PL389" s="11"/>
      <c r="PM389" s="11"/>
      <c r="PN389" s="11"/>
      <c r="PO389" s="11"/>
      <c r="PP389" s="11"/>
      <c r="PQ389" s="11"/>
      <c r="PR389" s="11"/>
      <c r="PS389" s="11"/>
      <c r="PT389" s="11"/>
      <c r="PU389" s="11"/>
      <c r="PV389" s="11"/>
      <c r="PW389" s="11"/>
      <c r="PX389" s="11"/>
      <c r="PY389" s="11"/>
      <c r="PZ389" s="11"/>
      <c r="QA389" s="11"/>
      <c r="QB389" s="11"/>
      <c r="QC389" s="11"/>
      <c r="QD389" s="11"/>
      <c r="QE389" s="11"/>
      <c r="QF389" s="11"/>
      <c r="QG389" s="11"/>
      <c r="QH389" s="11"/>
      <c r="QI389" s="11"/>
      <c r="QJ389" s="11"/>
      <c r="QK389" s="11"/>
      <c r="QL389" s="11"/>
      <c r="QM389" s="11"/>
      <c r="QN389" s="11"/>
      <c r="QO389" s="11"/>
      <c r="QP389" s="11"/>
      <c r="QQ389" s="11"/>
      <c r="QR389" s="11"/>
      <c r="QS389" s="11"/>
      <c r="QT389" s="11"/>
      <c r="QU389" s="11"/>
      <c r="QV389" s="11"/>
      <c r="QW389" s="11"/>
      <c r="QX389" s="11"/>
      <c r="QY389" s="11"/>
      <c r="QZ389" s="11"/>
      <c r="RA389" s="11"/>
      <c r="RB389" s="11"/>
      <c r="RC389" s="11"/>
      <c r="RD389" s="11"/>
      <c r="RE389" s="11"/>
      <c r="RF389" s="11"/>
      <c r="RG389" s="11"/>
      <c r="RH389" s="11"/>
      <c r="RI389" s="11"/>
      <c r="RJ389" s="11"/>
      <c r="RK389" s="11"/>
      <c r="RL389" s="11"/>
      <c r="RM389" s="11"/>
      <c r="RN389" s="11"/>
      <c r="RO389" s="11"/>
      <c r="RP389" s="11"/>
      <c r="RQ389" s="11"/>
      <c r="RR389" s="11"/>
      <c r="RS389" s="11"/>
      <c r="RT389" s="11"/>
      <c r="RU389" s="11"/>
      <c r="RV389" s="11"/>
      <c r="RW389" s="11"/>
      <c r="RX389" s="11"/>
      <c r="RY389" s="11"/>
      <c r="RZ389" s="11"/>
      <c r="SA389" s="11"/>
      <c r="SB389" s="11"/>
      <c r="SC389" s="11"/>
      <c r="SD389" s="11"/>
      <c r="SE389" s="11"/>
      <c r="SF389" s="11"/>
      <c r="SG389" s="11"/>
      <c r="SH389" s="11">
        <v>1</v>
      </c>
    </row>
    <row r="390" spans="1:502" x14ac:dyDescent="0.2">
      <c r="A390" s="10">
        <v>4.0363783963276216E-2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>
        <v>1</v>
      </c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  <c r="OM390" s="11"/>
      <c r="ON390" s="11"/>
      <c r="OO390" s="11"/>
      <c r="OP390" s="11"/>
      <c r="OQ390" s="11"/>
      <c r="OR390" s="11"/>
      <c r="OS390" s="11"/>
      <c r="OT390" s="11"/>
      <c r="OU390" s="11"/>
      <c r="OV390" s="11"/>
      <c r="OW390" s="11"/>
      <c r="OX390" s="11"/>
      <c r="OY390" s="11"/>
      <c r="OZ390" s="11"/>
      <c r="PA390" s="11"/>
      <c r="PB390" s="11"/>
      <c r="PC390" s="11"/>
      <c r="PD390" s="11"/>
      <c r="PE390" s="11"/>
      <c r="PF390" s="11"/>
      <c r="PG390" s="11"/>
      <c r="PH390" s="11"/>
      <c r="PI390" s="11"/>
      <c r="PJ390" s="11"/>
      <c r="PK390" s="11"/>
      <c r="PL390" s="11"/>
      <c r="PM390" s="11"/>
      <c r="PN390" s="11"/>
      <c r="PO390" s="11"/>
      <c r="PP390" s="11"/>
      <c r="PQ390" s="11"/>
      <c r="PR390" s="11"/>
      <c r="PS390" s="11"/>
      <c r="PT390" s="11"/>
      <c r="PU390" s="11"/>
      <c r="PV390" s="11"/>
      <c r="PW390" s="11"/>
      <c r="PX390" s="11"/>
      <c r="PY390" s="11"/>
      <c r="PZ390" s="11"/>
      <c r="QA390" s="11"/>
      <c r="QB390" s="11"/>
      <c r="QC390" s="11"/>
      <c r="QD390" s="11"/>
      <c r="QE390" s="11"/>
      <c r="QF390" s="11"/>
      <c r="QG390" s="11"/>
      <c r="QH390" s="11"/>
      <c r="QI390" s="11"/>
      <c r="QJ390" s="11"/>
      <c r="QK390" s="11"/>
      <c r="QL390" s="11"/>
      <c r="QM390" s="11"/>
      <c r="QN390" s="11"/>
      <c r="QO390" s="11"/>
      <c r="QP390" s="11"/>
      <c r="QQ390" s="11"/>
      <c r="QR390" s="11"/>
      <c r="QS390" s="11"/>
      <c r="QT390" s="11"/>
      <c r="QU390" s="11"/>
      <c r="QV390" s="11"/>
      <c r="QW390" s="11"/>
      <c r="QX390" s="11"/>
      <c r="QY390" s="11"/>
      <c r="QZ390" s="11"/>
      <c r="RA390" s="11"/>
      <c r="RB390" s="11"/>
      <c r="RC390" s="11"/>
      <c r="RD390" s="11"/>
      <c r="RE390" s="11"/>
      <c r="RF390" s="11"/>
      <c r="RG390" s="11"/>
      <c r="RH390" s="11"/>
      <c r="RI390" s="11"/>
      <c r="RJ390" s="11"/>
      <c r="RK390" s="11"/>
      <c r="RL390" s="11"/>
      <c r="RM390" s="11"/>
      <c r="RN390" s="11"/>
      <c r="RO390" s="11"/>
      <c r="RP390" s="11"/>
      <c r="RQ390" s="11"/>
      <c r="RR390" s="11"/>
      <c r="RS390" s="11"/>
      <c r="RT390" s="11"/>
      <c r="RU390" s="11"/>
      <c r="RV390" s="11"/>
      <c r="RW390" s="11"/>
      <c r="RX390" s="11"/>
      <c r="RY390" s="11"/>
      <c r="RZ390" s="11"/>
      <c r="SA390" s="11"/>
      <c r="SB390" s="11"/>
      <c r="SC390" s="11"/>
      <c r="SD390" s="11"/>
      <c r="SE390" s="11"/>
      <c r="SF390" s="11"/>
      <c r="SG390" s="11"/>
      <c r="SH390" s="11">
        <v>1</v>
      </c>
    </row>
    <row r="391" spans="1:502" x14ac:dyDescent="0.2">
      <c r="A391" s="10">
        <v>4.0424685726165491E-2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  <c r="OM391" s="11"/>
      <c r="ON391" s="11"/>
      <c r="OO391" s="11"/>
      <c r="OP391" s="11"/>
      <c r="OQ391" s="11"/>
      <c r="OR391" s="11"/>
      <c r="OS391" s="11"/>
      <c r="OT391" s="11"/>
      <c r="OU391" s="11"/>
      <c r="OV391" s="11"/>
      <c r="OW391" s="11"/>
      <c r="OX391" s="11"/>
      <c r="OY391" s="11"/>
      <c r="OZ391" s="11"/>
      <c r="PA391" s="11"/>
      <c r="PB391" s="11"/>
      <c r="PC391" s="11"/>
      <c r="PD391" s="11"/>
      <c r="PE391" s="11"/>
      <c r="PF391" s="11"/>
      <c r="PG391" s="11"/>
      <c r="PH391" s="11"/>
      <c r="PI391" s="11"/>
      <c r="PJ391" s="11"/>
      <c r="PK391" s="11"/>
      <c r="PL391" s="11"/>
      <c r="PM391" s="11"/>
      <c r="PN391" s="11"/>
      <c r="PO391" s="11"/>
      <c r="PP391" s="11"/>
      <c r="PQ391" s="11"/>
      <c r="PR391" s="11"/>
      <c r="PS391" s="11"/>
      <c r="PT391" s="11"/>
      <c r="PU391" s="11"/>
      <c r="PV391" s="11"/>
      <c r="PW391" s="11"/>
      <c r="PX391" s="11"/>
      <c r="PY391" s="11"/>
      <c r="PZ391" s="11"/>
      <c r="QA391" s="11"/>
      <c r="QB391" s="11"/>
      <c r="QC391" s="11"/>
      <c r="QD391" s="11"/>
      <c r="QE391" s="11"/>
      <c r="QF391" s="11"/>
      <c r="QG391" s="11"/>
      <c r="QH391" s="11"/>
      <c r="QI391" s="11"/>
      <c r="QJ391" s="11"/>
      <c r="QK391" s="11"/>
      <c r="QL391" s="11"/>
      <c r="QM391" s="11"/>
      <c r="QN391" s="11"/>
      <c r="QO391" s="11"/>
      <c r="QP391" s="11"/>
      <c r="QQ391" s="11"/>
      <c r="QR391" s="11"/>
      <c r="QS391" s="11"/>
      <c r="QT391" s="11"/>
      <c r="QU391" s="11"/>
      <c r="QV391" s="11"/>
      <c r="QW391" s="11"/>
      <c r="QX391" s="11"/>
      <c r="QY391" s="11"/>
      <c r="QZ391" s="11"/>
      <c r="RA391" s="11"/>
      <c r="RB391" s="11"/>
      <c r="RC391" s="11"/>
      <c r="RD391" s="11"/>
      <c r="RE391" s="11"/>
      <c r="RF391" s="11"/>
      <c r="RG391" s="11"/>
      <c r="RH391" s="11"/>
      <c r="RI391" s="11"/>
      <c r="RJ391" s="11"/>
      <c r="RK391" s="11"/>
      <c r="RL391" s="11"/>
      <c r="RM391" s="11"/>
      <c r="RN391" s="11"/>
      <c r="RO391" s="11"/>
      <c r="RP391" s="11"/>
      <c r="RQ391" s="11"/>
      <c r="RR391" s="11"/>
      <c r="RS391" s="11"/>
      <c r="RT391" s="11">
        <v>1</v>
      </c>
      <c r="RU391" s="11"/>
      <c r="RV391" s="11"/>
      <c r="RW391" s="11"/>
      <c r="RX391" s="11"/>
      <c r="RY391" s="11"/>
      <c r="RZ391" s="11"/>
      <c r="SA391" s="11"/>
      <c r="SB391" s="11"/>
      <c r="SC391" s="11"/>
      <c r="SD391" s="11"/>
      <c r="SE391" s="11"/>
      <c r="SF391" s="11"/>
      <c r="SG391" s="11"/>
      <c r="SH391" s="11">
        <v>1</v>
      </c>
    </row>
    <row r="392" spans="1:502" x14ac:dyDescent="0.2">
      <c r="A392" s="10">
        <v>4.0483310183959439E-2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>
        <v>1</v>
      </c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  <c r="OM392" s="11"/>
      <c r="ON392" s="11"/>
      <c r="OO392" s="11"/>
      <c r="OP392" s="11"/>
      <c r="OQ392" s="11"/>
      <c r="OR392" s="11"/>
      <c r="OS392" s="11"/>
      <c r="OT392" s="11"/>
      <c r="OU392" s="11"/>
      <c r="OV392" s="11"/>
      <c r="OW392" s="11"/>
      <c r="OX392" s="11"/>
      <c r="OY392" s="11"/>
      <c r="OZ392" s="11"/>
      <c r="PA392" s="11"/>
      <c r="PB392" s="11"/>
      <c r="PC392" s="11"/>
      <c r="PD392" s="11"/>
      <c r="PE392" s="11"/>
      <c r="PF392" s="11"/>
      <c r="PG392" s="11"/>
      <c r="PH392" s="11"/>
      <c r="PI392" s="11"/>
      <c r="PJ392" s="11"/>
      <c r="PK392" s="11"/>
      <c r="PL392" s="11"/>
      <c r="PM392" s="11"/>
      <c r="PN392" s="11"/>
      <c r="PO392" s="11"/>
      <c r="PP392" s="11"/>
      <c r="PQ392" s="11"/>
      <c r="PR392" s="11"/>
      <c r="PS392" s="11"/>
      <c r="PT392" s="11"/>
      <c r="PU392" s="11"/>
      <c r="PV392" s="11"/>
      <c r="PW392" s="11"/>
      <c r="PX392" s="11"/>
      <c r="PY392" s="11"/>
      <c r="PZ392" s="11"/>
      <c r="QA392" s="11"/>
      <c r="QB392" s="11"/>
      <c r="QC392" s="11"/>
      <c r="QD392" s="11"/>
      <c r="QE392" s="11"/>
      <c r="QF392" s="11"/>
      <c r="QG392" s="11"/>
      <c r="QH392" s="11"/>
      <c r="QI392" s="11"/>
      <c r="QJ392" s="11"/>
      <c r="QK392" s="11"/>
      <c r="QL392" s="11"/>
      <c r="QM392" s="11"/>
      <c r="QN392" s="11"/>
      <c r="QO392" s="11"/>
      <c r="QP392" s="11"/>
      <c r="QQ392" s="11"/>
      <c r="QR392" s="11"/>
      <c r="QS392" s="11"/>
      <c r="QT392" s="11"/>
      <c r="QU392" s="11"/>
      <c r="QV392" s="11"/>
      <c r="QW392" s="11"/>
      <c r="QX392" s="11"/>
      <c r="QY392" s="11"/>
      <c r="QZ392" s="11"/>
      <c r="RA392" s="11"/>
      <c r="RB392" s="11"/>
      <c r="RC392" s="11"/>
      <c r="RD392" s="11"/>
      <c r="RE392" s="11"/>
      <c r="RF392" s="11"/>
      <c r="RG392" s="11"/>
      <c r="RH392" s="11"/>
      <c r="RI392" s="11"/>
      <c r="RJ392" s="11"/>
      <c r="RK392" s="11"/>
      <c r="RL392" s="11"/>
      <c r="RM392" s="11"/>
      <c r="RN392" s="11"/>
      <c r="RO392" s="11"/>
      <c r="RP392" s="11"/>
      <c r="RQ392" s="11"/>
      <c r="RR392" s="11"/>
      <c r="RS392" s="11"/>
      <c r="RT392" s="11"/>
      <c r="RU392" s="11"/>
      <c r="RV392" s="11"/>
      <c r="RW392" s="11"/>
      <c r="RX392" s="11"/>
      <c r="RY392" s="11"/>
      <c r="RZ392" s="11"/>
      <c r="SA392" s="11"/>
      <c r="SB392" s="11"/>
      <c r="SC392" s="11"/>
      <c r="SD392" s="11"/>
      <c r="SE392" s="11"/>
      <c r="SF392" s="11"/>
      <c r="SG392" s="11"/>
      <c r="SH392" s="11">
        <v>1</v>
      </c>
    </row>
    <row r="393" spans="1:502" x14ac:dyDescent="0.2">
      <c r="A393" s="10">
        <v>4.0525078233726766E-2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>
        <v>1</v>
      </c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  <c r="OM393" s="11"/>
      <c r="ON393" s="11"/>
      <c r="OO393" s="11"/>
      <c r="OP393" s="11"/>
      <c r="OQ393" s="11"/>
      <c r="OR393" s="11"/>
      <c r="OS393" s="11"/>
      <c r="OT393" s="11"/>
      <c r="OU393" s="11"/>
      <c r="OV393" s="11"/>
      <c r="OW393" s="11"/>
      <c r="OX393" s="11"/>
      <c r="OY393" s="11"/>
      <c r="OZ393" s="11"/>
      <c r="PA393" s="11"/>
      <c r="PB393" s="11"/>
      <c r="PC393" s="11"/>
      <c r="PD393" s="11"/>
      <c r="PE393" s="11"/>
      <c r="PF393" s="11"/>
      <c r="PG393" s="11"/>
      <c r="PH393" s="11"/>
      <c r="PI393" s="11"/>
      <c r="PJ393" s="11"/>
      <c r="PK393" s="11"/>
      <c r="PL393" s="11"/>
      <c r="PM393" s="11"/>
      <c r="PN393" s="11"/>
      <c r="PO393" s="11"/>
      <c r="PP393" s="11"/>
      <c r="PQ393" s="11"/>
      <c r="PR393" s="11"/>
      <c r="PS393" s="11"/>
      <c r="PT393" s="11"/>
      <c r="PU393" s="11"/>
      <c r="PV393" s="11"/>
      <c r="PW393" s="11"/>
      <c r="PX393" s="11"/>
      <c r="PY393" s="11"/>
      <c r="PZ393" s="11"/>
      <c r="QA393" s="11"/>
      <c r="QB393" s="11"/>
      <c r="QC393" s="11"/>
      <c r="QD393" s="11"/>
      <c r="QE393" s="11"/>
      <c r="QF393" s="11"/>
      <c r="QG393" s="11"/>
      <c r="QH393" s="11"/>
      <c r="QI393" s="11"/>
      <c r="QJ393" s="11"/>
      <c r="QK393" s="11"/>
      <c r="QL393" s="11"/>
      <c r="QM393" s="11"/>
      <c r="QN393" s="11"/>
      <c r="QO393" s="11"/>
      <c r="QP393" s="11"/>
      <c r="QQ393" s="11"/>
      <c r="QR393" s="11"/>
      <c r="QS393" s="11"/>
      <c r="QT393" s="11"/>
      <c r="QU393" s="11"/>
      <c r="QV393" s="11"/>
      <c r="QW393" s="11"/>
      <c r="QX393" s="11"/>
      <c r="QY393" s="11"/>
      <c r="QZ393" s="11"/>
      <c r="RA393" s="11"/>
      <c r="RB393" s="11"/>
      <c r="RC393" s="11"/>
      <c r="RD393" s="11"/>
      <c r="RE393" s="11"/>
      <c r="RF393" s="11"/>
      <c r="RG393" s="11"/>
      <c r="RH393" s="11"/>
      <c r="RI393" s="11"/>
      <c r="RJ393" s="11"/>
      <c r="RK393" s="11"/>
      <c r="RL393" s="11"/>
      <c r="RM393" s="11"/>
      <c r="RN393" s="11"/>
      <c r="RO393" s="11"/>
      <c r="RP393" s="11"/>
      <c r="RQ393" s="11"/>
      <c r="RR393" s="11"/>
      <c r="RS393" s="11"/>
      <c r="RT393" s="11"/>
      <c r="RU393" s="11"/>
      <c r="RV393" s="11"/>
      <c r="RW393" s="11"/>
      <c r="RX393" s="11"/>
      <c r="RY393" s="11"/>
      <c r="RZ393" s="11"/>
      <c r="SA393" s="11"/>
      <c r="SB393" s="11"/>
      <c r="SC393" s="11"/>
      <c r="SD393" s="11"/>
      <c r="SE393" s="11"/>
      <c r="SF393" s="11"/>
      <c r="SG393" s="11"/>
      <c r="SH393" s="11">
        <v>1</v>
      </c>
    </row>
    <row r="394" spans="1:502" x14ac:dyDescent="0.2">
      <c r="A394" s="10">
        <v>4.0909162245360994E-2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>
        <v>1</v>
      </c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  <c r="OM394" s="11"/>
      <c r="ON394" s="11"/>
      <c r="OO394" s="11"/>
      <c r="OP394" s="11"/>
      <c r="OQ394" s="11"/>
      <c r="OR394" s="11"/>
      <c r="OS394" s="11"/>
      <c r="OT394" s="11"/>
      <c r="OU394" s="11"/>
      <c r="OV394" s="11"/>
      <c r="OW394" s="11"/>
      <c r="OX394" s="11"/>
      <c r="OY394" s="11"/>
      <c r="OZ394" s="11"/>
      <c r="PA394" s="11"/>
      <c r="PB394" s="11"/>
      <c r="PC394" s="11"/>
      <c r="PD394" s="11"/>
      <c r="PE394" s="11"/>
      <c r="PF394" s="11"/>
      <c r="PG394" s="11"/>
      <c r="PH394" s="11"/>
      <c r="PI394" s="11"/>
      <c r="PJ394" s="11"/>
      <c r="PK394" s="11"/>
      <c r="PL394" s="11"/>
      <c r="PM394" s="11"/>
      <c r="PN394" s="11"/>
      <c r="PO394" s="11"/>
      <c r="PP394" s="11"/>
      <c r="PQ394" s="11"/>
      <c r="PR394" s="11"/>
      <c r="PS394" s="11"/>
      <c r="PT394" s="11"/>
      <c r="PU394" s="11"/>
      <c r="PV394" s="11"/>
      <c r="PW394" s="11"/>
      <c r="PX394" s="11"/>
      <c r="PY394" s="11"/>
      <c r="PZ394" s="11"/>
      <c r="QA394" s="11"/>
      <c r="QB394" s="11"/>
      <c r="QC394" s="11"/>
      <c r="QD394" s="11"/>
      <c r="QE394" s="11"/>
      <c r="QF394" s="11"/>
      <c r="QG394" s="11"/>
      <c r="QH394" s="11"/>
      <c r="QI394" s="11"/>
      <c r="QJ394" s="11"/>
      <c r="QK394" s="11"/>
      <c r="QL394" s="11"/>
      <c r="QM394" s="11"/>
      <c r="QN394" s="11"/>
      <c r="QO394" s="11"/>
      <c r="QP394" s="11"/>
      <c r="QQ394" s="11"/>
      <c r="QR394" s="11"/>
      <c r="QS394" s="11"/>
      <c r="QT394" s="11"/>
      <c r="QU394" s="11"/>
      <c r="QV394" s="11"/>
      <c r="QW394" s="11"/>
      <c r="QX394" s="11"/>
      <c r="QY394" s="11"/>
      <c r="QZ394" s="11"/>
      <c r="RA394" s="11"/>
      <c r="RB394" s="11"/>
      <c r="RC394" s="11"/>
      <c r="RD394" s="11"/>
      <c r="RE394" s="11"/>
      <c r="RF394" s="11"/>
      <c r="RG394" s="11"/>
      <c r="RH394" s="11"/>
      <c r="RI394" s="11"/>
      <c r="RJ394" s="11"/>
      <c r="RK394" s="11"/>
      <c r="RL394" s="11"/>
      <c r="RM394" s="11"/>
      <c r="RN394" s="11"/>
      <c r="RO394" s="11"/>
      <c r="RP394" s="11"/>
      <c r="RQ394" s="11"/>
      <c r="RR394" s="11"/>
      <c r="RS394" s="11"/>
      <c r="RT394" s="11"/>
      <c r="RU394" s="11"/>
      <c r="RV394" s="11"/>
      <c r="RW394" s="11"/>
      <c r="RX394" s="11"/>
      <c r="RY394" s="11"/>
      <c r="RZ394" s="11"/>
      <c r="SA394" s="11"/>
      <c r="SB394" s="11"/>
      <c r="SC394" s="11"/>
      <c r="SD394" s="11"/>
      <c r="SE394" s="11"/>
      <c r="SF394" s="11"/>
      <c r="SG394" s="11"/>
      <c r="SH394" s="11">
        <v>1</v>
      </c>
    </row>
    <row r="395" spans="1:502" x14ac:dyDescent="0.2">
      <c r="A395" s="10">
        <v>4.0974117265181097E-2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>
        <v>1</v>
      </c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  <c r="OM395" s="11"/>
      <c r="ON395" s="11"/>
      <c r="OO395" s="11"/>
      <c r="OP395" s="11"/>
      <c r="OQ395" s="11"/>
      <c r="OR395" s="11"/>
      <c r="OS395" s="11"/>
      <c r="OT395" s="11"/>
      <c r="OU395" s="11"/>
      <c r="OV395" s="11"/>
      <c r="OW395" s="11"/>
      <c r="OX395" s="11"/>
      <c r="OY395" s="11"/>
      <c r="OZ395" s="11"/>
      <c r="PA395" s="11"/>
      <c r="PB395" s="11"/>
      <c r="PC395" s="11"/>
      <c r="PD395" s="11"/>
      <c r="PE395" s="11"/>
      <c r="PF395" s="11"/>
      <c r="PG395" s="11"/>
      <c r="PH395" s="11"/>
      <c r="PI395" s="11"/>
      <c r="PJ395" s="11"/>
      <c r="PK395" s="11"/>
      <c r="PL395" s="11"/>
      <c r="PM395" s="11"/>
      <c r="PN395" s="11"/>
      <c r="PO395" s="11"/>
      <c r="PP395" s="11"/>
      <c r="PQ395" s="11"/>
      <c r="PR395" s="11"/>
      <c r="PS395" s="11"/>
      <c r="PT395" s="11"/>
      <c r="PU395" s="11"/>
      <c r="PV395" s="11"/>
      <c r="PW395" s="11"/>
      <c r="PX395" s="11"/>
      <c r="PY395" s="11"/>
      <c r="PZ395" s="11"/>
      <c r="QA395" s="11"/>
      <c r="QB395" s="11"/>
      <c r="QC395" s="11"/>
      <c r="QD395" s="11"/>
      <c r="QE395" s="11"/>
      <c r="QF395" s="11"/>
      <c r="QG395" s="11"/>
      <c r="QH395" s="11"/>
      <c r="QI395" s="11"/>
      <c r="QJ395" s="11"/>
      <c r="QK395" s="11"/>
      <c r="QL395" s="11"/>
      <c r="QM395" s="11"/>
      <c r="QN395" s="11"/>
      <c r="QO395" s="11"/>
      <c r="QP395" s="11"/>
      <c r="QQ395" s="11"/>
      <c r="QR395" s="11"/>
      <c r="QS395" s="11"/>
      <c r="QT395" s="11"/>
      <c r="QU395" s="11"/>
      <c r="QV395" s="11"/>
      <c r="QW395" s="11"/>
      <c r="QX395" s="11"/>
      <c r="QY395" s="11"/>
      <c r="QZ395" s="11"/>
      <c r="RA395" s="11"/>
      <c r="RB395" s="11"/>
      <c r="RC395" s="11"/>
      <c r="RD395" s="11"/>
      <c r="RE395" s="11"/>
      <c r="RF395" s="11"/>
      <c r="RG395" s="11"/>
      <c r="RH395" s="11"/>
      <c r="RI395" s="11"/>
      <c r="RJ395" s="11"/>
      <c r="RK395" s="11"/>
      <c r="RL395" s="11"/>
      <c r="RM395" s="11"/>
      <c r="RN395" s="11"/>
      <c r="RO395" s="11"/>
      <c r="RP395" s="11"/>
      <c r="RQ395" s="11"/>
      <c r="RR395" s="11"/>
      <c r="RS395" s="11"/>
      <c r="RT395" s="11"/>
      <c r="RU395" s="11"/>
      <c r="RV395" s="11"/>
      <c r="RW395" s="11"/>
      <c r="RX395" s="11"/>
      <c r="RY395" s="11"/>
      <c r="RZ395" s="11"/>
      <c r="SA395" s="11"/>
      <c r="SB395" s="11"/>
      <c r="SC395" s="11"/>
      <c r="SD395" s="11"/>
      <c r="SE395" s="11"/>
      <c r="SF395" s="11"/>
      <c r="SG395" s="11"/>
      <c r="SH395" s="11">
        <v>1</v>
      </c>
    </row>
    <row r="396" spans="1:502" x14ac:dyDescent="0.2">
      <c r="A396" s="10">
        <v>4.1117332397475136E-2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>
        <v>1</v>
      </c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  <c r="OM396" s="11"/>
      <c r="ON396" s="11"/>
      <c r="OO396" s="11"/>
      <c r="OP396" s="11"/>
      <c r="OQ396" s="11"/>
      <c r="OR396" s="11"/>
      <c r="OS396" s="11"/>
      <c r="OT396" s="11"/>
      <c r="OU396" s="11"/>
      <c r="OV396" s="11"/>
      <c r="OW396" s="11"/>
      <c r="OX396" s="11"/>
      <c r="OY396" s="11"/>
      <c r="OZ396" s="11"/>
      <c r="PA396" s="11"/>
      <c r="PB396" s="11"/>
      <c r="PC396" s="11"/>
      <c r="PD396" s="11"/>
      <c r="PE396" s="11"/>
      <c r="PF396" s="11"/>
      <c r="PG396" s="11"/>
      <c r="PH396" s="11"/>
      <c r="PI396" s="11"/>
      <c r="PJ396" s="11"/>
      <c r="PK396" s="11"/>
      <c r="PL396" s="11"/>
      <c r="PM396" s="11"/>
      <c r="PN396" s="11"/>
      <c r="PO396" s="11"/>
      <c r="PP396" s="11"/>
      <c r="PQ396" s="11"/>
      <c r="PR396" s="11"/>
      <c r="PS396" s="11"/>
      <c r="PT396" s="11"/>
      <c r="PU396" s="11"/>
      <c r="PV396" s="11"/>
      <c r="PW396" s="11"/>
      <c r="PX396" s="11"/>
      <c r="PY396" s="11"/>
      <c r="PZ396" s="11"/>
      <c r="QA396" s="11"/>
      <c r="QB396" s="11"/>
      <c r="QC396" s="11"/>
      <c r="QD396" s="11"/>
      <c r="QE396" s="11"/>
      <c r="QF396" s="11"/>
      <c r="QG396" s="11"/>
      <c r="QH396" s="11"/>
      <c r="QI396" s="11"/>
      <c r="QJ396" s="11"/>
      <c r="QK396" s="11"/>
      <c r="QL396" s="11"/>
      <c r="QM396" s="11"/>
      <c r="QN396" s="11"/>
      <c r="QO396" s="11"/>
      <c r="QP396" s="11"/>
      <c r="QQ396" s="11"/>
      <c r="QR396" s="11"/>
      <c r="QS396" s="11"/>
      <c r="QT396" s="11"/>
      <c r="QU396" s="11"/>
      <c r="QV396" s="11"/>
      <c r="QW396" s="11"/>
      <c r="QX396" s="11"/>
      <c r="QY396" s="11"/>
      <c r="QZ396" s="11"/>
      <c r="RA396" s="11"/>
      <c r="RB396" s="11"/>
      <c r="RC396" s="11"/>
      <c r="RD396" s="11"/>
      <c r="RE396" s="11"/>
      <c r="RF396" s="11"/>
      <c r="RG396" s="11"/>
      <c r="RH396" s="11"/>
      <c r="RI396" s="11"/>
      <c r="RJ396" s="11"/>
      <c r="RK396" s="11"/>
      <c r="RL396" s="11"/>
      <c r="RM396" s="11"/>
      <c r="RN396" s="11"/>
      <c r="RO396" s="11"/>
      <c r="RP396" s="11"/>
      <c r="RQ396" s="11"/>
      <c r="RR396" s="11"/>
      <c r="RS396" s="11"/>
      <c r="RT396" s="11"/>
      <c r="RU396" s="11"/>
      <c r="RV396" s="11"/>
      <c r="RW396" s="11"/>
      <c r="RX396" s="11"/>
      <c r="RY396" s="11"/>
      <c r="RZ396" s="11"/>
      <c r="SA396" s="11"/>
      <c r="SB396" s="11"/>
      <c r="SC396" s="11"/>
      <c r="SD396" s="11"/>
      <c r="SE396" s="11"/>
      <c r="SF396" s="11"/>
      <c r="SG396" s="11"/>
      <c r="SH396" s="11">
        <v>1</v>
      </c>
    </row>
    <row r="397" spans="1:502" x14ac:dyDescent="0.2">
      <c r="A397" s="10">
        <v>4.130743661411284E-2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>
        <v>1</v>
      </c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  <c r="OM397" s="11"/>
      <c r="ON397" s="11"/>
      <c r="OO397" s="11"/>
      <c r="OP397" s="11"/>
      <c r="OQ397" s="11"/>
      <c r="OR397" s="11"/>
      <c r="OS397" s="11"/>
      <c r="OT397" s="11"/>
      <c r="OU397" s="11"/>
      <c r="OV397" s="11"/>
      <c r="OW397" s="11"/>
      <c r="OX397" s="11"/>
      <c r="OY397" s="11"/>
      <c r="OZ397" s="11"/>
      <c r="PA397" s="11"/>
      <c r="PB397" s="11"/>
      <c r="PC397" s="11"/>
      <c r="PD397" s="11"/>
      <c r="PE397" s="11"/>
      <c r="PF397" s="11"/>
      <c r="PG397" s="11"/>
      <c r="PH397" s="11"/>
      <c r="PI397" s="11"/>
      <c r="PJ397" s="11"/>
      <c r="PK397" s="11"/>
      <c r="PL397" s="11"/>
      <c r="PM397" s="11"/>
      <c r="PN397" s="11"/>
      <c r="PO397" s="11"/>
      <c r="PP397" s="11"/>
      <c r="PQ397" s="11"/>
      <c r="PR397" s="11"/>
      <c r="PS397" s="11"/>
      <c r="PT397" s="11"/>
      <c r="PU397" s="11"/>
      <c r="PV397" s="11"/>
      <c r="PW397" s="11"/>
      <c r="PX397" s="11"/>
      <c r="PY397" s="11"/>
      <c r="PZ397" s="11"/>
      <c r="QA397" s="11"/>
      <c r="QB397" s="11"/>
      <c r="QC397" s="11"/>
      <c r="QD397" s="11"/>
      <c r="QE397" s="11"/>
      <c r="QF397" s="11"/>
      <c r="QG397" s="11"/>
      <c r="QH397" s="11"/>
      <c r="QI397" s="11"/>
      <c r="QJ397" s="11"/>
      <c r="QK397" s="11"/>
      <c r="QL397" s="11"/>
      <c r="QM397" s="11"/>
      <c r="QN397" s="11"/>
      <c r="QO397" s="11"/>
      <c r="QP397" s="11"/>
      <c r="QQ397" s="11"/>
      <c r="QR397" s="11"/>
      <c r="QS397" s="11"/>
      <c r="QT397" s="11"/>
      <c r="QU397" s="11"/>
      <c r="QV397" s="11"/>
      <c r="QW397" s="11"/>
      <c r="QX397" s="11"/>
      <c r="QY397" s="11"/>
      <c r="QZ397" s="11"/>
      <c r="RA397" s="11"/>
      <c r="RB397" s="11"/>
      <c r="RC397" s="11"/>
      <c r="RD397" s="11"/>
      <c r="RE397" s="11"/>
      <c r="RF397" s="11"/>
      <c r="RG397" s="11"/>
      <c r="RH397" s="11"/>
      <c r="RI397" s="11"/>
      <c r="RJ397" s="11"/>
      <c r="RK397" s="11"/>
      <c r="RL397" s="11"/>
      <c r="RM397" s="11"/>
      <c r="RN397" s="11"/>
      <c r="RO397" s="11"/>
      <c r="RP397" s="11"/>
      <c r="RQ397" s="11"/>
      <c r="RR397" s="11"/>
      <c r="RS397" s="11"/>
      <c r="RT397" s="11"/>
      <c r="RU397" s="11"/>
      <c r="RV397" s="11"/>
      <c r="RW397" s="11"/>
      <c r="RX397" s="11"/>
      <c r="RY397" s="11"/>
      <c r="RZ397" s="11"/>
      <c r="SA397" s="11"/>
      <c r="SB397" s="11"/>
      <c r="SC397" s="11"/>
      <c r="SD397" s="11"/>
      <c r="SE397" s="11"/>
      <c r="SF397" s="11"/>
      <c r="SG397" s="11"/>
      <c r="SH397" s="11">
        <v>1</v>
      </c>
    </row>
    <row r="398" spans="1:502" x14ac:dyDescent="0.2">
      <c r="A398" s="10">
        <v>4.1443055761447779E-2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>
        <v>1</v>
      </c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  <c r="OM398" s="11"/>
      <c r="ON398" s="11"/>
      <c r="OO398" s="11"/>
      <c r="OP398" s="11"/>
      <c r="OQ398" s="11"/>
      <c r="OR398" s="11"/>
      <c r="OS398" s="11"/>
      <c r="OT398" s="11"/>
      <c r="OU398" s="11"/>
      <c r="OV398" s="11"/>
      <c r="OW398" s="11"/>
      <c r="OX398" s="11"/>
      <c r="OY398" s="11"/>
      <c r="OZ398" s="11"/>
      <c r="PA398" s="11"/>
      <c r="PB398" s="11"/>
      <c r="PC398" s="11"/>
      <c r="PD398" s="11"/>
      <c r="PE398" s="11"/>
      <c r="PF398" s="11"/>
      <c r="PG398" s="11"/>
      <c r="PH398" s="11"/>
      <c r="PI398" s="11"/>
      <c r="PJ398" s="11"/>
      <c r="PK398" s="11"/>
      <c r="PL398" s="11"/>
      <c r="PM398" s="11"/>
      <c r="PN398" s="11"/>
      <c r="PO398" s="11"/>
      <c r="PP398" s="11"/>
      <c r="PQ398" s="11"/>
      <c r="PR398" s="11"/>
      <c r="PS398" s="11"/>
      <c r="PT398" s="11"/>
      <c r="PU398" s="11"/>
      <c r="PV398" s="11"/>
      <c r="PW398" s="11"/>
      <c r="PX398" s="11"/>
      <c r="PY398" s="11"/>
      <c r="PZ398" s="11"/>
      <c r="QA398" s="11"/>
      <c r="QB398" s="11"/>
      <c r="QC398" s="11"/>
      <c r="QD398" s="11"/>
      <c r="QE398" s="11"/>
      <c r="QF398" s="11"/>
      <c r="QG398" s="11"/>
      <c r="QH398" s="11"/>
      <c r="QI398" s="11"/>
      <c r="QJ398" s="11"/>
      <c r="QK398" s="11"/>
      <c r="QL398" s="11"/>
      <c r="QM398" s="11"/>
      <c r="QN398" s="11"/>
      <c r="QO398" s="11"/>
      <c r="QP398" s="11"/>
      <c r="QQ398" s="11"/>
      <c r="QR398" s="11"/>
      <c r="QS398" s="11"/>
      <c r="QT398" s="11"/>
      <c r="QU398" s="11"/>
      <c r="QV398" s="11"/>
      <c r="QW398" s="11"/>
      <c r="QX398" s="11"/>
      <c r="QY398" s="11"/>
      <c r="QZ398" s="11"/>
      <c r="RA398" s="11"/>
      <c r="RB398" s="11"/>
      <c r="RC398" s="11"/>
      <c r="RD398" s="11"/>
      <c r="RE398" s="11"/>
      <c r="RF398" s="11"/>
      <c r="RG398" s="11"/>
      <c r="RH398" s="11"/>
      <c r="RI398" s="11"/>
      <c r="RJ398" s="11"/>
      <c r="RK398" s="11"/>
      <c r="RL398" s="11"/>
      <c r="RM398" s="11"/>
      <c r="RN398" s="11"/>
      <c r="RO398" s="11"/>
      <c r="RP398" s="11"/>
      <c r="RQ398" s="11"/>
      <c r="RR398" s="11"/>
      <c r="RS398" s="11"/>
      <c r="RT398" s="11"/>
      <c r="RU398" s="11"/>
      <c r="RV398" s="11"/>
      <c r="RW398" s="11"/>
      <c r="RX398" s="11"/>
      <c r="RY398" s="11"/>
      <c r="RZ398" s="11"/>
      <c r="SA398" s="11"/>
      <c r="SB398" s="11"/>
      <c r="SC398" s="11"/>
      <c r="SD398" s="11"/>
      <c r="SE398" s="11"/>
      <c r="SF398" s="11"/>
      <c r="SG398" s="11"/>
      <c r="SH398" s="11">
        <v>1</v>
      </c>
    </row>
    <row r="399" spans="1:502" x14ac:dyDescent="0.2">
      <c r="A399" s="10">
        <v>4.1456087056736937E-2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>
        <v>1</v>
      </c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  <c r="OM399" s="11"/>
      <c r="ON399" s="11"/>
      <c r="OO399" s="11"/>
      <c r="OP399" s="11"/>
      <c r="OQ399" s="11"/>
      <c r="OR399" s="11"/>
      <c r="OS399" s="11"/>
      <c r="OT399" s="11"/>
      <c r="OU399" s="11"/>
      <c r="OV399" s="11"/>
      <c r="OW399" s="11"/>
      <c r="OX399" s="11"/>
      <c r="OY399" s="11"/>
      <c r="OZ399" s="11"/>
      <c r="PA399" s="11"/>
      <c r="PB399" s="11"/>
      <c r="PC399" s="11"/>
      <c r="PD399" s="11"/>
      <c r="PE399" s="11"/>
      <c r="PF399" s="11"/>
      <c r="PG399" s="11"/>
      <c r="PH399" s="11"/>
      <c r="PI399" s="11"/>
      <c r="PJ399" s="11"/>
      <c r="PK399" s="11"/>
      <c r="PL399" s="11"/>
      <c r="PM399" s="11"/>
      <c r="PN399" s="11"/>
      <c r="PO399" s="11"/>
      <c r="PP399" s="11"/>
      <c r="PQ399" s="11"/>
      <c r="PR399" s="11"/>
      <c r="PS399" s="11"/>
      <c r="PT399" s="11"/>
      <c r="PU399" s="11"/>
      <c r="PV399" s="11"/>
      <c r="PW399" s="11"/>
      <c r="PX399" s="11"/>
      <c r="PY399" s="11"/>
      <c r="PZ399" s="11"/>
      <c r="QA399" s="11"/>
      <c r="QB399" s="11"/>
      <c r="QC399" s="11"/>
      <c r="QD399" s="11"/>
      <c r="QE399" s="11"/>
      <c r="QF399" s="11"/>
      <c r="QG399" s="11"/>
      <c r="QH399" s="11"/>
      <c r="QI399" s="11"/>
      <c r="QJ399" s="11"/>
      <c r="QK399" s="11"/>
      <c r="QL399" s="11"/>
      <c r="QM399" s="11"/>
      <c r="QN399" s="11"/>
      <c r="QO399" s="11"/>
      <c r="QP399" s="11"/>
      <c r="QQ399" s="11"/>
      <c r="QR399" s="11"/>
      <c r="QS399" s="11"/>
      <c r="QT399" s="11"/>
      <c r="QU399" s="11"/>
      <c r="QV399" s="11"/>
      <c r="QW399" s="11"/>
      <c r="QX399" s="11"/>
      <c r="QY399" s="11"/>
      <c r="QZ399" s="11"/>
      <c r="RA399" s="11"/>
      <c r="RB399" s="11"/>
      <c r="RC399" s="11"/>
      <c r="RD399" s="11"/>
      <c r="RE399" s="11"/>
      <c r="RF399" s="11"/>
      <c r="RG399" s="11"/>
      <c r="RH399" s="11"/>
      <c r="RI399" s="11"/>
      <c r="RJ399" s="11"/>
      <c r="RK399" s="11"/>
      <c r="RL399" s="11"/>
      <c r="RM399" s="11"/>
      <c r="RN399" s="11"/>
      <c r="RO399" s="11"/>
      <c r="RP399" s="11"/>
      <c r="RQ399" s="11"/>
      <c r="RR399" s="11"/>
      <c r="RS399" s="11"/>
      <c r="RT399" s="11"/>
      <c r="RU399" s="11"/>
      <c r="RV399" s="11"/>
      <c r="RW399" s="11"/>
      <c r="RX399" s="11"/>
      <c r="RY399" s="11"/>
      <c r="RZ399" s="11"/>
      <c r="SA399" s="11"/>
      <c r="SB399" s="11"/>
      <c r="SC399" s="11"/>
      <c r="SD399" s="11"/>
      <c r="SE399" s="11"/>
      <c r="SF399" s="11"/>
      <c r="SG399" s="11"/>
      <c r="SH399" s="11">
        <v>1</v>
      </c>
    </row>
    <row r="400" spans="1:502" x14ac:dyDescent="0.2">
      <c r="A400" s="10">
        <v>4.1753674789720412E-2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>
        <v>1</v>
      </c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  <c r="OM400" s="11"/>
      <c r="ON400" s="11"/>
      <c r="OO400" s="11"/>
      <c r="OP400" s="11"/>
      <c r="OQ400" s="11"/>
      <c r="OR400" s="11"/>
      <c r="OS400" s="11"/>
      <c r="OT400" s="11"/>
      <c r="OU400" s="11"/>
      <c r="OV400" s="11"/>
      <c r="OW400" s="11"/>
      <c r="OX400" s="11"/>
      <c r="OY400" s="11"/>
      <c r="OZ400" s="11"/>
      <c r="PA400" s="11"/>
      <c r="PB400" s="11"/>
      <c r="PC400" s="11"/>
      <c r="PD400" s="11"/>
      <c r="PE400" s="11"/>
      <c r="PF400" s="11"/>
      <c r="PG400" s="11"/>
      <c r="PH400" s="11"/>
      <c r="PI400" s="11"/>
      <c r="PJ400" s="11"/>
      <c r="PK400" s="11"/>
      <c r="PL400" s="11"/>
      <c r="PM400" s="11"/>
      <c r="PN400" s="11"/>
      <c r="PO400" s="11"/>
      <c r="PP400" s="11"/>
      <c r="PQ400" s="11"/>
      <c r="PR400" s="11"/>
      <c r="PS400" s="11"/>
      <c r="PT400" s="11"/>
      <c r="PU400" s="11"/>
      <c r="PV400" s="11"/>
      <c r="PW400" s="11"/>
      <c r="PX400" s="11"/>
      <c r="PY400" s="11"/>
      <c r="PZ400" s="11"/>
      <c r="QA400" s="11"/>
      <c r="QB400" s="11"/>
      <c r="QC400" s="11"/>
      <c r="QD400" s="11"/>
      <c r="QE400" s="11"/>
      <c r="QF400" s="11"/>
      <c r="QG400" s="11"/>
      <c r="QH400" s="11"/>
      <c r="QI400" s="11"/>
      <c r="QJ400" s="11"/>
      <c r="QK400" s="11"/>
      <c r="QL400" s="11"/>
      <c r="QM400" s="11"/>
      <c r="QN400" s="11"/>
      <c r="QO400" s="11"/>
      <c r="QP400" s="11"/>
      <c r="QQ400" s="11"/>
      <c r="QR400" s="11"/>
      <c r="QS400" s="11"/>
      <c r="QT400" s="11"/>
      <c r="QU400" s="11"/>
      <c r="QV400" s="11"/>
      <c r="QW400" s="11"/>
      <c r="QX400" s="11"/>
      <c r="QY400" s="11"/>
      <c r="QZ400" s="11"/>
      <c r="RA400" s="11"/>
      <c r="RB400" s="11"/>
      <c r="RC400" s="11"/>
      <c r="RD400" s="11"/>
      <c r="RE400" s="11"/>
      <c r="RF400" s="11"/>
      <c r="RG400" s="11"/>
      <c r="RH400" s="11"/>
      <c r="RI400" s="11"/>
      <c r="RJ400" s="11"/>
      <c r="RK400" s="11"/>
      <c r="RL400" s="11"/>
      <c r="RM400" s="11"/>
      <c r="RN400" s="11"/>
      <c r="RO400" s="11"/>
      <c r="RP400" s="11"/>
      <c r="RQ400" s="11"/>
      <c r="RR400" s="11"/>
      <c r="RS400" s="11"/>
      <c r="RT400" s="11"/>
      <c r="RU400" s="11"/>
      <c r="RV400" s="11"/>
      <c r="RW400" s="11"/>
      <c r="RX400" s="11"/>
      <c r="RY400" s="11"/>
      <c r="RZ400" s="11"/>
      <c r="SA400" s="11"/>
      <c r="SB400" s="11"/>
      <c r="SC400" s="11"/>
      <c r="SD400" s="11"/>
      <c r="SE400" s="11"/>
      <c r="SF400" s="11"/>
      <c r="SG400" s="11"/>
      <c r="SH400" s="11">
        <v>1</v>
      </c>
    </row>
    <row r="401" spans="1:502" x14ac:dyDescent="0.2">
      <c r="A401" s="10">
        <v>4.177232975777441E-2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>
        <v>1</v>
      </c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  <c r="OM401" s="11"/>
      <c r="ON401" s="11"/>
      <c r="OO401" s="11"/>
      <c r="OP401" s="11"/>
      <c r="OQ401" s="11"/>
      <c r="OR401" s="11"/>
      <c r="OS401" s="11"/>
      <c r="OT401" s="11"/>
      <c r="OU401" s="11"/>
      <c r="OV401" s="11"/>
      <c r="OW401" s="11"/>
      <c r="OX401" s="11"/>
      <c r="OY401" s="11"/>
      <c r="OZ401" s="11"/>
      <c r="PA401" s="11"/>
      <c r="PB401" s="11"/>
      <c r="PC401" s="11"/>
      <c r="PD401" s="11"/>
      <c r="PE401" s="11"/>
      <c r="PF401" s="11"/>
      <c r="PG401" s="11"/>
      <c r="PH401" s="11"/>
      <c r="PI401" s="11"/>
      <c r="PJ401" s="11"/>
      <c r="PK401" s="11"/>
      <c r="PL401" s="11"/>
      <c r="PM401" s="11"/>
      <c r="PN401" s="11"/>
      <c r="PO401" s="11"/>
      <c r="PP401" s="11"/>
      <c r="PQ401" s="11"/>
      <c r="PR401" s="11"/>
      <c r="PS401" s="11"/>
      <c r="PT401" s="11"/>
      <c r="PU401" s="11"/>
      <c r="PV401" s="11"/>
      <c r="PW401" s="11"/>
      <c r="PX401" s="11"/>
      <c r="PY401" s="11"/>
      <c r="PZ401" s="11"/>
      <c r="QA401" s="11"/>
      <c r="QB401" s="11"/>
      <c r="QC401" s="11"/>
      <c r="QD401" s="11"/>
      <c r="QE401" s="11"/>
      <c r="QF401" s="11"/>
      <c r="QG401" s="11"/>
      <c r="QH401" s="11"/>
      <c r="QI401" s="11"/>
      <c r="QJ401" s="11"/>
      <c r="QK401" s="11"/>
      <c r="QL401" s="11"/>
      <c r="QM401" s="11"/>
      <c r="QN401" s="11"/>
      <c r="QO401" s="11"/>
      <c r="QP401" s="11"/>
      <c r="QQ401" s="11"/>
      <c r="QR401" s="11"/>
      <c r="QS401" s="11"/>
      <c r="QT401" s="11"/>
      <c r="QU401" s="11"/>
      <c r="QV401" s="11"/>
      <c r="QW401" s="11"/>
      <c r="QX401" s="11"/>
      <c r="QY401" s="11"/>
      <c r="QZ401" s="11"/>
      <c r="RA401" s="11"/>
      <c r="RB401" s="11"/>
      <c r="RC401" s="11"/>
      <c r="RD401" s="11"/>
      <c r="RE401" s="11"/>
      <c r="RF401" s="11"/>
      <c r="RG401" s="11"/>
      <c r="RH401" s="11"/>
      <c r="RI401" s="11"/>
      <c r="RJ401" s="11"/>
      <c r="RK401" s="11"/>
      <c r="RL401" s="11"/>
      <c r="RM401" s="11"/>
      <c r="RN401" s="11"/>
      <c r="RO401" s="11"/>
      <c r="RP401" s="11"/>
      <c r="RQ401" s="11"/>
      <c r="RR401" s="11"/>
      <c r="RS401" s="11"/>
      <c r="RT401" s="11"/>
      <c r="RU401" s="11"/>
      <c r="RV401" s="11"/>
      <c r="RW401" s="11"/>
      <c r="RX401" s="11"/>
      <c r="RY401" s="11"/>
      <c r="RZ401" s="11"/>
      <c r="SA401" s="11"/>
      <c r="SB401" s="11"/>
      <c r="SC401" s="11"/>
      <c r="SD401" s="11"/>
      <c r="SE401" s="11"/>
      <c r="SF401" s="11"/>
      <c r="SG401" s="11"/>
      <c r="SH401" s="11">
        <v>1</v>
      </c>
    </row>
    <row r="402" spans="1:502" x14ac:dyDescent="0.2">
      <c r="A402" s="10">
        <v>4.1805768613114157E-2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>
        <v>1</v>
      </c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  <c r="OM402" s="11"/>
      <c r="ON402" s="11"/>
      <c r="OO402" s="11"/>
      <c r="OP402" s="11"/>
      <c r="OQ402" s="11"/>
      <c r="OR402" s="11"/>
      <c r="OS402" s="11"/>
      <c r="OT402" s="11"/>
      <c r="OU402" s="11"/>
      <c r="OV402" s="11"/>
      <c r="OW402" s="11"/>
      <c r="OX402" s="11"/>
      <c r="OY402" s="11"/>
      <c r="OZ402" s="11"/>
      <c r="PA402" s="11"/>
      <c r="PB402" s="11"/>
      <c r="PC402" s="11"/>
      <c r="PD402" s="11"/>
      <c r="PE402" s="11"/>
      <c r="PF402" s="11"/>
      <c r="PG402" s="11"/>
      <c r="PH402" s="11"/>
      <c r="PI402" s="11"/>
      <c r="PJ402" s="11"/>
      <c r="PK402" s="11"/>
      <c r="PL402" s="11"/>
      <c r="PM402" s="11"/>
      <c r="PN402" s="11"/>
      <c r="PO402" s="11"/>
      <c r="PP402" s="11"/>
      <c r="PQ402" s="11"/>
      <c r="PR402" s="11"/>
      <c r="PS402" s="11"/>
      <c r="PT402" s="11"/>
      <c r="PU402" s="11"/>
      <c r="PV402" s="11"/>
      <c r="PW402" s="11"/>
      <c r="PX402" s="11"/>
      <c r="PY402" s="11"/>
      <c r="PZ402" s="11"/>
      <c r="QA402" s="11"/>
      <c r="QB402" s="11"/>
      <c r="QC402" s="11"/>
      <c r="QD402" s="11"/>
      <c r="QE402" s="11"/>
      <c r="QF402" s="11"/>
      <c r="QG402" s="11"/>
      <c r="QH402" s="11"/>
      <c r="QI402" s="11"/>
      <c r="QJ402" s="11"/>
      <c r="QK402" s="11"/>
      <c r="QL402" s="11"/>
      <c r="QM402" s="11"/>
      <c r="QN402" s="11"/>
      <c r="QO402" s="11"/>
      <c r="QP402" s="11"/>
      <c r="QQ402" s="11"/>
      <c r="QR402" s="11"/>
      <c r="QS402" s="11"/>
      <c r="QT402" s="11"/>
      <c r="QU402" s="11"/>
      <c r="QV402" s="11"/>
      <c r="QW402" s="11"/>
      <c r="QX402" s="11"/>
      <c r="QY402" s="11"/>
      <c r="QZ402" s="11"/>
      <c r="RA402" s="11"/>
      <c r="RB402" s="11"/>
      <c r="RC402" s="11"/>
      <c r="RD402" s="11"/>
      <c r="RE402" s="11"/>
      <c r="RF402" s="11"/>
      <c r="RG402" s="11"/>
      <c r="RH402" s="11"/>
      <c r="RI402" s="11"/>
      <c r="RJ402" s="11"/>
      <c r="RK402" s="11"/>
      <c r="RL402" s="11"/>
      <c r="RM402" s="11"/>
      <c r="RN402" s="11"/>
      <c r="RO402" s="11"/>
      <c r="RP402" s="11"/>
      <c r="RQ402" s="11"/>
      <c r="RR402" s="11"/>
      <c r="RS402" s="11"/>
      <c r="RT402" s="11"/>
      <c r="RU402" s="11"/>
      <c r="RV402" s="11"/>
      <c r="RW402" s="11"/>
      <c r="RX402" s="11"/>
      <c r="RY402" s="11"/>
      <c r="RZ402" s="11"/>
      <c r="SA402" s="11"/>
      <c r="SB402" s="11"/>
      <c r="SC402" s="11"/>
      <c r="SD402" s="11"/>
      <c r="SE402" s="11"/>
      <c r="SF402" s="11"/>
      <c r="SG402" s="11"/>
      <c r="SH402" s="11">
        <v>1</v>
      </c>
    </row>
    <row r="403" spans="1:502" x14ac:dyDescent="0.2">
      <c r="A403" s="10">
        <v>4.1820318503541072E-2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>
        <v>1</v>
      </c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  <c r="OM403" s="11"/>
      <c r="ON403" s="11"/>
      <c r="OO403" s="11"/>
      <c r="OP403" s="11"/>
      <c r="OQ403" s="11"/>
      <c r="OR403" s="11"/>
      <c r="OS403" s="11"/>
      <c r="OT403" s="11"/>
      <c r="OU403" s="11"/>
      <c r="OV403" s="11"/>
      <c r="OW403" s="11"/>
      <c r="OX403" s="11"/>
      <c r="OY403" s="11"/>
      <c r="OZ403" s="11"/>
      <c r="PA403" s="11"/>
      <c r="PB403" s="11"/>
      <c r="PC403" s="11"/>
      <c r="PD403" s="11"/>
      <c r="PE403" s="11"/>
      <c r="PF403" s="11"/>
      <c r="PG403" s="11"/>
      <c r="PH403" s="11"/>
      <c r="PI403" s="11"/>
      <c r="PJ403" s="11"/>
      <c r="PK403" s="11"/>
      <c r="PL403" s="11"/>
      <c r="PM403" s="11"/>
      <c r="PN403" s="11"/>
      <c r="PO403" s="11"/>
      <c r="PP403" s="11"/>
      <c r="PQ403" s="11"/>
      <c r="PR403" s="11"/>
      <c r="PS403" s="11"/>
      <c r="PT403" s="11"/>
      <c r="PU403" s="11"/>
      <c r="PV403" s="11"/>
      <c r="PW403" s="11"/>
      <c r="PX403" s="11"/>
      <c r="PY403" s="11"/>
      <c r="PZ403" s="11"/>
      <c r="QA403" s="11"/>
      <c r="QB403" s="11"/>
      <c r="QC403" s="11"/>
      <c r="QD403" s="11"/>
      <c r="QE403" s="11"/>
      <c r="QF403" s="11"/>
      <c r="QG403" s="11"/>
      <c r="QH403" s="11"/>
      <c r="QI403" s="11"/>
      <c r="QJ403" s="11"/>
      <c r="QK403" s="11"/>
      <c r="QL403" s="11"/>
      <c r="QM403" s="11"/>
      <c r="QN403" s="11"/>
      <c r="QO403" s="11"/>
      <c r="QP403" s="11"/>
      <c r="QQ403" s="11"/>
      <c r="QR403" s="11"/>
      <c r="QS403" s="11"/>
      <c r="QT403" s="11"/>
      <c r="QU403" s="11"/>
      <c r="QV403" s="11"/>
      <c r="QW403" s="11"/>
      <c r="QX403" s="11"/>
      <c r="QY403" s="11"/>
      <c r="QZ403" s="11"/>
      <c r="RA403" s="11"/>
      <c r="RB403" s="11"/>
      <c r="RC403" s="11"/>
      <c r="RD403" s="11"/>
      <c r="RE403" s="11"/>
      <c r="RF403" s="11"/>
      <c r="RG403" s="11"/>
      <c r="RH403" s="11"/>
      <c r="RI403" s="11"/>
      <c r="RJ403" s="11"/>
      <c r="RK403" s="11"/>
      <c r="RL403" s="11"/>
      <c r="RM403" s="11"/>
      <c r="RN403" s="11"/>
      <c r="RO403" s="11"/>
      <c r="RP403" s="11"/>
      <c r="RQ403" s="11"/>
      <c r="RR403" s="11"/>
      <c r="RS403" s="11"/>
      <c r="RT403" s="11"/>
      <c r="RU403" s="11"/>
      <c r="RV403" s="11"/>
      <c r="RW403" s="11"/>
      <c r="RX403" s="11"/>
      <c r="RY403" s="11"/>
      <c r="RZ403" s="11"/>
      <c r="SA403" s="11"/>
      <c r="SB403" s="11"/>
      <c r="SC403" s="11"/>
      <c r="SD403" s="11"/>
      <c r="SE403" s="11"/>
      <c r="SF403" s="11"/>
      <c r="SG403" s="11"/>
      <c r="SH403" s="11">
        <v>1</v>
      </c>
    </row>
    <row r="404" spans="1:502" x14ac:dyDescent="0.2">
      <c r="A404" s="10">
        <v>4.2086978846915882E-2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>
        <v>1</v>
      </c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  <c r="OM404" s="11"/>
      <c r="ON404" s="11"/>
      <c r="OO404" s="11"/>
      <c r="OP404" s="11"/>
      <c r="OQ404" s="11"/>
      <c r="OR404" s="11"/>
      <c r="OS404" s="11"/>
      <c r="OT404" s="11"/>
      <c r="OU404" s="11"/>
      <c r="OV404" s="11"/>
      <c r="OW404" s="11"/>
      <c r="OX404" s="11"/>
      <c r="OY404" s="11"/>
      <c r="OZ404" s="11"/>
      <c r="PA404" s="11"/>
      <c r="PB404" s="11"/>
      <c r="PC404" s="11"/>
      <c r="PD404" s="11"/>
      <c r="PE404" s="11"/>
      <c r="PF404" s="11"/>
      <c r="PG404" s="11"/>
      <c r="PH404" s="11"/>
      <c r="PI404" s="11"/>
      <c r="PJ404" s="11"/>
      <c r="PK404" s="11"/>
      <c r="PL404" s="11"/>
      <c r="PM404" s="11"/>
      <c r="PN404" s="11"/>
      <c r="PO404" s="11"/>
      <c r="PP404" s="11"/>
      <c r="PQ404" s="11"/>
      <c r="PR404" s="11"/>
      <c r="PS404" s="11"/>
      <c r="PT404" s="11"/>
      <c r="PU404" s="11"/>
      <c r="PV404" s="11"/>
      <c r="PW404" s="11"/>
      <c r="PX404" s="11"/>
      <c r="PY404" s="11"/>
      <c r="PZ404" s="11"/>
      <c r="QA404" s="11"/>
      <c r="QB404" s="11"/>
      <c r="QC404" s="11"/>
      <c r="QD404" s="11"/>
      <c r="QE404" s="11"/>
      <c r="QF404" s="11"/>
      <c r="QG404" s="11"/>
      <c r="QH404" s="11"/>
      <c r="QI404" s="11"/>
      <c r="QJ404" s="11"/>
      <c r="QK404" s="11"/>
      <c r="QL404" s="11"/>
      <c r="QM404" s="11"/>
      <c r="QN404" s="11"/>
      <c r="QO404" s="11"/>
      <c r="QP404" s="11"/>
      <c r="QQ404" s="11"/>
      <c r="QR404" s="11"/>
      <c r="QS404" s="11"/>
      <c r="QT404" s="11"/>
      <c r="QU404" s="11"/>
      <c r="QV404" s="11"/>
      <c r="QW404" s="11"/>
      <c r="QX404" s="11"/>
      <c r="QY404" s="11"/>
      <c r="QZ404" s="11"/>
      <c r="RA404" s="11"/>
      <c r="RB404" s="11"/>
      <c r="RC404" s="11"/>
      <c r="RD404" s="11"/>
      <c r="RE404" s="11"/>
      <c r="RF404" s="11"/>
      <c r="RG404" s="11"/>
      <c r="RH404" s="11"/>
      <c r="RI404" s="11"/>
      <c r="RJ404" s="11"/>
      <c r="RK404" s="11"/>
      <c r="RL404" s="11"/>
      <c r="RM404" s="11"/>
      <c r="RN404" s="11"/>
      <c r="RO404" s="11"/>
      <c r="RP404" s="11"/>
      <c r="RQ404" s="11"/>
      <c r="RR404" s="11"/>
      <c r="RS404" s="11"/>
      <c r="RT404" s="11"/>
      <c r="RU404" s="11"/>
      <c r="RV404" s="11"/>
      <c r="RW404" s="11"/>
      <c r="RX404" s="11"/>
      <c r="RY404" s="11"/>
      <c r="RZ404" s="11"/>
      <c r="SA404" s="11"/>
      <c r="SB404" s="11"/>
      <c r="SC404" s="11"/>
      <c r="SD404" s="11"/>
      <c r="SE404" s="11"/>
      <c r="SF404" s="11"/>
      <c r="SG404" s="11"/>
      <c r="SH404" s="11">
        <v>1</v>
      </c>
    </row>
    <row r="405" spans="1:502" x14ac:dyDescent="0.2">
      <c r="A405" s="10">
        <v>4.2234366349411828E-2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>
        <v>1</v>
      </c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  <c r="OM405" s="11"/>
      <c r="ON405" s="11"/>
      <c r="OO405" s="11"/>
      <c r="OP405" s="11"/>
      <c r="OQ405" s="11"/>
      <c r="OR405" s="11"/>
      <c r="OS405" s="11"/>
      <c r="OT405" s="11"/>
      <c r="OU405" s="11"/>
      <c r="OV405" s="11"/>
      <c r="OW405" s="11"/>
      <c r="OX405" s="11"/>
      <c r="OY405" s="11"/>
      <c r="OZ405" s="11"/>
      <c r="PA405" s="11"/>
      <c r="PB405" s="11"/>
      <c r="PC405" s="11"/>
      <c r="PD405" s="11"/>
      <c r="PE405" s="11"/>
      <c r="PF405" s="11"/>
      <c r="PG405" s="11"/>
      <c r="PH405" s="11"/>
      <c r="PI405" s="11"/>
      <c r="PJ405" s="11"/>
      <c r="PK405" s="11"/>
      <c r="PL405" s="11"/>
      <c r="PM405" s="11"/>
      <c r="PN405" s="11"/>
      <c r="PO405" s="11"/>
      <c r="PP405" s="11"/>
      <c r="PQ405" s="11"/>
      <c r="PR405" s="11"/>
      <c r="PS405" s="11"/>
      <c r="PT405" s="11"/>
      <c r="PU405" s="11"/>
      <c r="PV405" s="11"/>
      <c r="PW405" s="11"/>
      <c r="PX405" s="11"/>
      <c r="PY405" s="11"/>
      <c r="PZ405" s="11"/>
      <c r="QA405" s="11"/>
      <c r="QB405" s="11"/>
      <c r="QC405" s="11"/>
      <c r="QD405" s="11"/>
      <c r="QE405" s="11"/>
      <c r="QF405" s="11"/>
      <c r="QG405" s="11"/>
      <c r="QH405" s="11"/>
      <c r="QI405" s="11"/>
      <c r="QJ405" s="11"/>
      <c r="QK405" s="11"/>
      <c r="QL405" s="11"/>
      <c r="QM405" s="11"/>
      <c r="QN405" s="11"/>
      <c r="QO405" s="11"/>
      <c r="QP405" s="11"/>
      <c r="QQ405" s="11"/>
      <c r="QR405" s="11"/>
      <c r="QS405" s="11"/>
      <c r="QT405" s="11"/>
      <c r="QU405" s="11"/>
      <c r="QV405" s="11"/>
      <c r="QW405" s="11"/>
      <c r="QX405" s="11"/>
      <c r="QY405" s="11"/>
      <c r="QZ405" s="11"/>
      <c r="RA405" s="11"/>
      <c r="RB405" s="11"/>
      <c r="RC405" s="11"/>
      <c r="RD405" s="11"/>
      <c r="RE405" s="11"/>
      <c r="RF405" s="11"/>
      <c r="RG405" s="11"/>
      <c r="RH405" s="11"/>
      <c r="RI405" s="11"/>
      <c r="RJ405" s="11"/>
      <c r="RK405" s="11"/>
      <c r="RL405" s="11"/>
      <c r="RM405" s="11"/>
      <c r="RN405" s="11"/>
      <c r="RO405" s="11"/>
      <c r="RP405" s="11"/>
      <c r="RQ405" s="11"/>
      <c r="RR405" s="11"/>
      <c r="RS405" s="11"/>
      <c r="RT405" s="11"/>
      <c r="RU405" s="11"/>
      <c r="RV405" s="11"/>
      <c r="RW405" s="11"/>
      <c r="RX405" s="11"/>
      <c r="RY405" s="11"/>
      <c r="RZ405" s="11"/>
      <c r="SA405" s="11"/>
      <c r="SB405" s="11"/>
      <c r="SC405" s="11"/>
      <c r="SD405" s="11"/>
      <c r="SE405" s="11"/>
      <c r="SF405" s="11"/>
      <c r="SG405" s="11"/>
      <c r="SH405" s="11">
        <v>1</v>
      </c>
    </row>
    <row r="406" spans="1:502" x14ac:dyDescent="0.2">
      <c r="A406" s="10">
        <v>4.2464086280370537E-2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>
        <v>1</v>
      </c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  <c r="OM406" s="11"/>
      <c r="ON406" s="11"/>
      <c r="OO406" s="11"/>
      <c r="OP406" s="11"/>
      <c r="OQ406" s="11"/>
      <c r="OR406" s="11"/>
      <c r="OS406" s="11"/>
      <c r="OT406" s="11"/>
      <c r="OU406" s="11"/>
      <c r="OV406" s="11"/>
      <c r="OW406" s="11"/>
      <c r="OX406" s="11"/>
      <c r="OY406" s="11"/>
      <c r="OZ406" s="11"/>
      <c r="PA406" s="11"/>
      <c r="PB406" s="11"/>
      <c r="PC406" s="11"/>
      <c r="PD406" s="11"/>
      <c r="PE406" s="11"/>
      <c r="PF406" s="11"/>
      <c r="PG406" s="11"/>
      <c r="PH406" s="11"/>
      <c r="PI406" s="11"/>
      <c r="PJ406" s="11"/>
      <c r="PK406" s="11"/>
      <c r="PL406" s="11"/>
      <c r="PM406" s="11"/>
      <c r="PN406" s="11"/>
      <c r="PO406" s="11"/>
      <c r="PP406" s="11"/>
      <c r="PQ406" s="11"/>
      <c r="PR406" s="11"/>
      <c r="PS406" s="11"/>
      <c r="PT406" s="11"/>
      <c r="PU406" s="11"/>
      <c r="PV406" s="11"/>
      <c r="PW406" s="11"/>
      <c r="PX406" s="11"/>
      <c r="PY406" s="11"/>
      <c r="PZ406" s="11"/>
      <c r="QA406" s="11"/>
      <c r="QB406" s="11"/>
      <c r="QC406" s="11"/>
      <c r="QD406" s="11"/>
      <c r="QE406" s="11"/>
      <c r="QF406" s="11"/>
      <c r="QG406" s="11"/>
      <c r="QH406" s="11"/>
      <c r="QI406" s="11"/>
      <c r="QJ406" s="11"/>
      <c r="QK406" s="11"/>
      <c r="QL406" s="11"/>
      <c r="QM406" s="11"/>
      <c r="QN406" s="11"/>
      <c r="QO406" s="11"/>
      <c r="QP406" s="11"/>
      <c r="QQ406" s="11"/>
      <c r="QR406" s="11"/>
      <c r="QS406" s="11"/>
      <c r="QT406" s="11"/>
      <c r="QU406" s="11"/>
      <c r="QV406" s="11"/>
      <c r="QW406" s="11"/>
      <c r="QX406" s="11"/>
      <c r="QY406" s="11"/>
      <c r="QZ406" s="11"/>
      <c r="RA406" s="11"/>
      <c r="RB406" s="11"/>
      <c r="RC406" s="11"/>
      <c r="RD406" s="11"/>
      <c r="RE406" s="11"/>
      <c r="RF406" s="11"/>
      <c r="RG406" s="11"/>
      <c r="RH406" s="11"/>
      <c r="RI406" s="11"/>
      <c r="RJ406" s="11"/>
      <c r="RK406" s="11"/>
      <c r="RL406" s="11"/>
      <c r="RM406" s="11"/>
      <c r="RN406" s="11"/>
      <c r="RO406" s="11"/>
      <c r="RP406" s="11"/>
      <c r="RQ406" s="11"/>
      <c r="RR406" s="11"/>
      <c r="RS406" s="11"/>
      <c r="RT406" s="11"/>
      <c r="RU406" s="11"/>
      <c r="RV406" s="11"/>
      <c r="RW406" s="11"/>
      <c r="RX406" s="11"/>
      <c r="RY406" s="11"/>
      <c r="RZ406" s="11"/>
      <c r="SA406" s="11"/>
      <c r="SB406" s="11"/>
      <c r="SC406" s="11"/>
      <c r="SD406" s="11"/>
      <c r="SE406" s="11"/>
      <c r="SF406" s="11"/>
      <c r="SG406" s="11"/>
      <c r="SH406" s="11">
        <v>1</v>
      </c>
    </row>
    <row r="407" spans="1:502" x14ac:dyDescent="0.2">
      <c r="A407" s="10">
        <v>4.2747264874032298E-2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  <c r="OM407" s="11"/>
      <c r="ON407" s="11"/>
      <c r="OO407" s="11"/>
      <c r="OP407" s="11"/>
      <c r="OQ407" s="11"/>
      <c r="OR407" s="11"/>
      <c r="OS407" s="11"/>
      <c r="OT407" s="11"/>
      <c r="OU407" s="11"/>
      <c r="OV407" s="11"/>
      <c r="OW407" s="11"/>
      <c r="OX407" s="11"/>
      <c r="OY407" s="11"/>
      <c r="OZ407" s="11"/>
      <c r="PA407" s="11"/>
      <c r="PB407" s="11"/>
      <c r="PC407" s="11"/>
      <c r="PD407" s="11"/>
      <c r="PE407" s="11"/>
      <c r="PF407" s="11"/>
      <c r="PG407" s="11"/>
      <c r="PH407" s="11"/>
      <c r="PI407" s="11"/>
      <c r="PJ407" s="11"/>
      <c r="PK407" s="11"/>
      <c r="PL407" s="11"/>
      <c r="PM407" s="11"/>
      <c r="PN407" s="11"/>
      <c r="PO407" s="11"/>
      <c r="PP407" s="11"/>
      <c r="PQ407" s="11"/>
      <c r="PR407" s="11"/>
      <c r="PS407" s="11"/>
      <c r="PT407" s="11"/>
      <c r="PU407" s="11"/>
      <c r="PV407" s="11"/>
      <c r="PW407" s="11"/>
      <c r="PX407" s="11"/>
      <c r="PY407" s="11"/>
      <c r="PZ407" s="11"/>
      <c r="QA407" s="11"/>
      <c r="QB407" s="11"/>
      <c r="QC407" s="11"/>
      <c r="QD407" s="11"/>
      <c r="QE407" s="11"/>
      <c r="QF407" s="11"/>
      <c r="QG407" s="11"/>
      <c r="QH407" s="11"/>
      <c r="QI407" s="11"/>
      <c r="QJ407" s="11"/>
      <c r="QK407" s="11"/>
      <c r="QL407" s="11"/>
      <c r="QM407" s="11"/>
      <c r="QN407" s="11"/>
      <c r="QO407" s="11"/>
      <c r="QP407" s="11"/>
      <c r="QQ407" s="11"/>
      <c r="QR407" s="11"/>
      <c r="QS407" s="11"/>
      <c r="QT407" s="11"/>
      <c r="QU407" s="11"/>
      <c r="QV407" s="11"/>
      <c r="QW407" s="11"/>
      <c r="QX407" s="11"/>
      <c r="QY407" s="11"/>
      <c r="QZ407" s="11"/>
      <c r="RA407" s="11"/>
      <c r="RB407" s="11"/>
      <c r="RC407" s="11"/>
      <c r="RD407" s="11"/>
      <c r="RE407" s="11"/>
      <c r="RF407" s="11"/>
      <c r="RG407" s="11"/>
      <c r="RH407" s="11"/>
      <c r="RI407" s="11"/>
      <c r="RJ407" s="11"/>
      <c r="RK407" s="11"/>
      <c r="RL407" s="11"/>
      <c r="RM407" s="11"/>
      <c r="RN407" s="11"/>
      <c r="RO407" s="11"/>
      <c r="RP407" s="11"/>
      <c r="RQ407" s="11"/>
      <c r="RR407" s="11"/>
      <c r="RS407" s="11"/>
      <c r="RT407" s="11"/>
      <c r="RU407" s="11"/>
      <c r="RV407" s="11"/>
      <c r="RW407" s="11"/>
      <c r="RX407" s="11"/>
      <c r="RY407" s="11"/>
      <c r="RZ407" s="11"/>
      <c r="SA407" s="11"/>
      <c r="SB407" s="11"/>
      <c r="SC407" s="11">
        <v>1</v>
      </c>
      <c r="SD407" s="11"/>
      <c r="SE407" s="11"/>
      <c r="SF407" s="11"/>
      <c r="SG407" s="11"/>
      <c r="SH407" s="11">
        <v>1</v>
      </c>
    </row>
    <row r="408" spans="1:502" x14ac:dyDescent="0.2">
      <c r="A408" s="10">
        <v>4.3292766503075453E-2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>
        <v>1</v>
      </c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  <c r="OM408" s="11"/>
      <c r="ON408" s="11"/>
      <c r="OO408" s="11"/>
      <c r="OP408" s="11"/>
      <c r="OQ408" s="11"/>
      <c r="OR408" s="11"/>
      <c r="OS408" s="11"/>
      <c r="OT408" s="11"/>
      <c r="OU408" s="11"/>
      <c r="OV408" s="11"/>
      <c r="OW408" s="11"/>
      <c r="OX408" s="11"/>
      <c r="OY408" s="11"/>
      <c r="OZ408" s="11"/>
      <c r="PA408" s="11"/>
      <c r="PB408" s="11"/>
      <c r="PC408" s="11"/>
      <c r="PD408" s="11"/>
      <c r="PE408" s="11"/>
      <c r="PF408" s="11"/>
      <c r="PG408" s="11"/>
      <c r="PH408" s="11"/>
      <c r="PI408" s="11"/>
      <c r="PJ408" s="11"/>
      <c r="PK408" s="11"/>
      <c r="PL408" s="11"/>
      <c r="PM408" s="11"/>
      <c r="PN408" s="11"/>
      <c r="PO408" s="11"/>
      <c r="PP408" s="11"/>
      <c r="PQ408" s="11"/>
      <c r="PR408" s="11"/>
      <c r="PS408" s="11"/>
      <c r="PT408" s="11"/>
      <c r="PU408" s="11"/>
      <c r="PV408" s="11"/>
      <c r="PW408" s="11"/>
      <c r="PX408" s="11"/>
      <c r="PY408" s="11"/>
      <c r="PZ408" s="11"/>
      <c r="QA408" s="11"/>
      <c r="QB408" s="11"/>
      <c r="QC408" s="11"/>
      <c r="QD408" s="11"/>
      <c r="QE408" s="11"/>
      <c r="QF408" s="11"/>
      <c r="QG408" s="11"/>
      <c r="QH408" s="11"/>
      <c r="QI408" s="11"/>
      <c r="QJ408" s="11"/>
      <c r="QK408" s="11"/>
      <c r="QL408" s="11"/>
      <c r="QM408" s="11"/>
      <c r="QN408" s="11"/>
      <c r="QO408" s="11"/>
      <c r="QP408" s="11"/>
      <c r="QQ408" s="11"/>
      <c r="QR408" s="11"/>
      <c r="QS408" s="11"/>
      <c r="QT408" s="11"/>
      <c r="QU408" s="11"/>
      <c r="QV408" s="11"/>
      <c r="QW408" s="11"/>
      <c r="QX408" s="11"/>
      <c r="QY408" s="11"/>
      <c r="QZ408" s="11"/>
      <c r="RA408" s="11"/>
      <c r="RB408" s="11"/>
      <c r="RC408" s="11"/>
      <c r="RD408" s="11"/>
      <c r="RE408" s="11"/>
      <c r="RF408" s="11"/>
      <c r="RG408" s="11"/>
      <c r="RH408" s="11"/>
      <c r="RI408" s="11"/>
      <c r="RJ408" s="11"/>
      <c r="RK408" s="11"/>
      <c r="RL408" s="11"/>
      <c r="RM408" s="11"/>
      <c r="RN408" s="11"/>
      <c r="RO408" s="11"/>
      <c r="RP408" s="11"/>
      <c r="RQ408" s="11"/>
      <c r="RR408" s="11"/>
      <c r="RS408" s="11"/>
      <c r="RT408" s="11"/>
      <c r="RU408" s="11"/>
      <c r="RV408" s="11"/>
      <c r="RW408" s="11"/>
      <c r="RX408" s="11"/>
      <c r="RY408" s="11"/>
      <c r="RZ408" s="11"/>
      <c r="SA408" s="11"/>
      <c r="SB408" s="11"/>
      <c r="SC408" s="11"/>
      <c r="SD408" s="11"/>
      <c r="SE408" s="11"/>
      <c r="SF408" s="11"/>
      <c r="SG408" s="11"/>
      <c r="SH408" s="11">
        <v>1</v>
      </c>
    </row>
    <row r="409" spans="1:502" x14ac:dyDescent="0.2">
      <c r="A409" s="10">
        <v>4.3365321355357055E-2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  <c r="GP409" s="11"/>
      <c r="GQ409" s="11"/>
      <c r="GR409" s="11"/>
      <c r="GS409" s="11"/>
      <c r="GT409" s="11"/>
      <c r="GU409" s="11"/>
      <c r="GV409" s="11"/>
      <c r="GW409" s="11"/>
      <c r="GX409" s="11"/>
      <c r="GY409" s="11"/>
      <c r="GZ409" s="11"/>
      <c r="HA409" s="11"/>
      <c r="HB409" s="11"/>
      <c r="HC409" s="11"/>
      <c r="HD409" s="11"/>
      <c r="HE409" s="11"/>
      <c r="HF409" s="11"/>
      <c r="HG409" s="11"/>
      <c r="HH409" s="11"/>
      <c r="HI409" s="11"/>
      <c r="HJ409" s="11"/>
      <c r="HK409" s="11"/>
      <c r="HL409" s="11"/>
      <c r="HM409" s="11"/>
      <c r="HN409" s="11"/>
      <c r="HO409" s="11"/>
      <c r="HP409" s="11"/>
      <c r="HQ409" s="11"/>
      <c r="HR409" s="11"/>
      <c r="HS409" s="11"/>
      <c r="HT409" s="11"/>
      <c r="HU409" s="11"/>
      <c r="HV409" s="11"/>
      <c r="HW409" s="11"/>
      <c r="HX409" s="11"/>
      <c r="HY409" s="11"/>
      <c r="HZ409" s="11"/>
      <c r="IA409" s="11"/>
      <c r="IB409" s="11"/>
      <c r="IC409" s="11"/>
      <c r="ID409" s="11"/>
      <c r="IE409" s="11"/>
      <c r="IF409" s="11"/>
      <c r="IG409" s="11"/>
      <c r="IH409" s="11"/>
      <c r="II409" s="11"/>
      <c r="IJ409" s="11"/>
      <c r="IK409" s="11"/>
      <c r="IL409" s="11"/>
      <c r="IM409" s="11"/>
      <c r="IN409" s="11"/>
      <c r="IO409" s="11"/>
      <c r="IP409" s="11"/>
      <c r="IQ409" s="11"/>
      <c r="IR409" s="11"/>
      <c r="IS409" s="11"/>
      <c r="IT409" s="11"/>
      <c r="IU409" s="11"/>
      <c r="IV409" s="11"/>
      <c r="IW409" s="11"/>
      <c r="IX409" s="11"/>
      <c r="IY409" s="11"/>
      <c r="IZ409" s="11"/>
      <c r="JA409" s="11"/>
      <c r="JB409" s="11"/>
      <c r="JC409" s="11"/>
      <c r="JD409" s="11"/>
      <c r="JE409" s="11"/>
      <c r="JF409" s="11"/>
      <c r="JG409" s="11"/>
      <c r="JH409" s="11"/>
      <c r="JI409" s="11"/>
      <c r="JJ409" s="11"/>
      <c r="JK409" s="11"/>
      <c r="JL409" s="11"/>
      <c r="JM409" s="11"/>
      <c r="JN409" s="11"/>
      <c r="JO409" s="11"/>
      <c r="JP409" s="11"/>
      <c r="JQ409" s="11"/>
      <c r="JR409" s="11"/>
      <c r="JS409" s="11"/>
      <c r="JT409" s="11"/>
      <c r="JU409" s="11"/>
      <c r="JV409" s="11"/>
      <c r="JW409" s="11"/>
      <c r="JX409" s="11"/>
      <c r="JY409" s="11"/>
      <c r="JZ409" s="11"/>
      <c r="KA409" s="11"/>
      <c r="KB409" s="11"/>
      <c r="KC409" s="11"/>
      <c r="KD409" s="11"/>
      <c r="KE409" s="11"/>
      <c r="KF409" s="11"/>
      <c r="KG409" s="11"/>
      <c r="KH409" s="11"/>
      <c r="KI409" s="11"/>
      <c r="KJ409" s="11"/>
      <c r="KK409" s="11"/>
      <c r="KL409" s="11"/>
      <c r="KM409" s="11"/>
      <c r="KN409" s="11"/>
      <c r="KO409" s="11"/>
      <c r="KP409" s="11"/>
      <c r="KQ409" s="11"/>
      <c r="KR409" s="11">
        <v>1</v>
      </c>
      <c r="KS409" s="11"/>
      <c r="KT409" s="11"/>
      <c r="KU409" s="11"/>
      <c r="KV409" s="11"/>
      <c r="KW409" s="11"/>
      <c r="KX409" s="11"/>
      <c r="KY409" s="11"/>
      <c r="KZ409" s="11"/>
      <c r="LA409" s="11"/>
      <c r="LB409" s="11"/>
      <c r="LC409" s="11"/>
      <c r="LD409" s="11"/>
      <c r="LE409" s="11"/>
      <c r="LF409" s="11"/>
      <c r="LG409" s="11"/>
      <c r="LH409" s="11"/>
      <c r="LI409" s="11"/>
      <c r="LJ409" s="11"/>
      <c r="LK409" s="11"/>
      <c r="LL409" s="11"/>
      <c r="LM409" s="11"/>
      <c r="LN409" s="11"/>
      <c r="LO409" s="11"/>
      <c r="LP409" s="11"/>
      <c r="LQ409" s="11"/>
      <c r="LR409" s="11"/>
      <c r="LS409" s="11"/>
      <c r="LT409" s="11"/>
      <c r="LU409" s="11"/>
      <c r="LV409" s="11"/>
      <c r="LW409" s="11"/>
      <c r="LX409" s="11"/>
      <c r="LY409" s="11"/>
      <c r="LZ409" s="11"/>
      <c r="MA409" s="11"/>
      <c r="MB409" s="11"/>
      <c r="MC409" s="11"/>
      <c r="MD409" s="11"/>
      <c r="ME409" s="11"/>
      <c r="MF409" s="11"/>
      <c r="MG409" s="11"/>
      <c r="MH409" s="11"/>
      <c r="MI409" s="11"/>
      <c r="MJ409" s="11"/>
      <c r="MK409" s="11"/>
      <c r="ML409" s="11"/>
      <c r="MM409" s="11"/>
      <c r="MN409" s="11"/>
      <c r="MO409" s="11"/>
      <c r="MP409" s="11"/>
      <c r="MQ409" s="11"/>
      <c r="MR409" s="11"/>
      <c r="MS409" s="11"/>
      <c r="MT409" s="11"/>
      <c r="MU409" s="11"/>
      <c r="MV409" s="11"/>
      <c r="MW409" s="11"/>
      <c r="MX409" s="11"/>
      <c r="MY409" s="11"/>
      <c r="MZ409" s="11"/>
      <c r="NA409" s="11"/>
      <c r="NB409" s="11"/>
      <c r="NC409" s="11"/>
      <c r="ND409" s="11"/>
      <c r="NE409" s="11"/>
      <c r="NF409" s="11"/>
      <c r="NG409" s="11"/>
      <c r="NH409" s="11"/>
      <c r="NI409" s="11"/>
      <c r="NJ409" s="11"/>
      <c r="NK409" s="11"/>
      <c r="NL409" s="11"/>
      <c r="NM409" s="11"/>
      <c r="NN409" s="11"/>
      <c r="NO409" s="11"/>
      <c r="NP409" s="11"/>
      <c r="NQ409" s="11"/>
      <c r="NR409" s="11"/>
      <c r="NS409" s="11"/>
      <c r="NT409" s="11"/>
      <c r="NU409" s="11"/>
      <c r="NV409" s="11"/>
      <c r="NW409" s="11"/>
      <c r="NX409" s="11"/>
      <c r="NY409" s="11"/>
      <c r="NZ409" s="11"/>
      <c r="OA409" s="11"/>
      <c r="OB409" s="11"/>
      <c r="OC409" s="11"/>
      <c r="OD409" s="11"/>
      <c r="OE409" s="11"/>
      <c r="OF409" s="11"/>
      <c r="OG409" s="11"/>
      <c r="OH409" s="11"/>
      <c r="OI409" s="11"/>
      <c r="OJ409" s="11"/>
      <c r="OK409" s="11"/>
      <c r="OL409" s="11"/>
      <c r="OM409" s="11"/>
      <c r="ON409" s="11"/>
      <c r="OO409" s="11"/>
      <c r="OP409" s="11"/>
      <c r="OQ409" s="11"/>
      <c r="OR409" s="11"/>
      <c r="OS409" s="11"/>
      <c r="OT409" s="11"/>
      <c r="OU409" s="11"/>
      <c r="OV409" s="11"/>
      <c r="OW409" s="11"/>
      <c r="OX409" s="11"/>
      <c r="OY409" s="11"/>
      <c r="OZ409" s="11"/>
      <c r="PA409" s="11"/>
      <c r="PB409" s="11"/>
      <c r="PC409" s="11"/>
      <c r="PD409" s="11"/>
      <c r="PE409" s="11"/>
      <c r="PF409" s="11"/>
      <c r="PG409" s="11"/>
      <c r="PH409" s="11"/>
      <c r="PI409" s="11"/>
      <c r="PJ409" s="11"/>
      <c r="PK409" s="11"/>
      <c r="PL409" s="11"/>
      <c r="PM409" s="11"/>
      <c r="PN409" s="11"/>
      <c r="PO409" s="11"/>
      <c r="PP409" s="11"/>
      <c r="PQ409" s="11"/>
      <c r="PR409" s="11"/>
      <c r="PS409" s="11"/>
      <c r="PT409" s="11"/>
      <c r="PU409" s="11"/>
      <c r="PV409" s="11"/>
      <c r="PW409" s="11"/>
      <c r="PX409" s="11"/>
      <c r="PY409" s="11"/>
      <c r="PZ409" s="11"/>
      <c r="QA409" s="11"/>
      <c r="QB409" s="11"/>
      <c r="QC409" s="11"/>
      <c r="QD409" s="11"/>
      <c r="QE409" s="11"/>
      <c r="QF409" s="11"/>
      <c r="QG409" s="11"/>
      <c r="QH409" s="11"/>
      <c r="QI409" s="11"/>
      <c r="QJ409" s="11"/>
      <c r="QK409" s="11"/>
      <c r="QL409" s="11"/>
      <c r="QM409" s="11"/>
      <c r="QN409" s="11"/>
      <c r="QO409" s="11"/>
      <c r="QP409" s="11"/>
      <c r="QQ409" s="11"/>
      <c r="QR409" s="11"/>
      <c r="QS409" s="11"/>
      <c r="QT409" s="11"/>
      <c r="QU409" s="11"/>
      <c r="QV409" s="11"/>
      <c r="QW409" s="11"/>
      <c r="QX409" s="11"/>
      <c r="QY409" s="11"/>
      <c r="QZ409" s="11"/>
      <c r="RA409" s="11"/>
      <c r="RB409" s="11"/>
      <c r="RC409" s="11"/>
      <c r="RD409" s="11"/>
      <c r="RE409" s="11"/>
      <c r="RF409" s="11"/>
      <c r="RG409" s="11"/>
      <c r="RH409" s="11"/>
      <c r="RI409" s="11"/>
      <c r="RJ409" s="11"/>
      <c r="RK409" s="11"/>
      <c r="RL409" s="11"/>
      <c r="RM409" s="11"/>
      <c r="RN409" s="11"/>
      <c r="RO409" s="11"/>
      <c r="RP409" s="11"/>
      <c r="RQ409" s="11"/>
      <c r="RR409" s="11"/>
      <c r="RS409" s="11"/>
      <c r="RT409" s="11"/>
      <c r="RU409" s="11"/>
      <c r="RV409" s="11"/>
      <c r="RW409" s="11"/>
      <c r="RX409" s="11"/>
      <c r="RY409" s="11"/>
      <c r="RZ409" s="11"/>
      <c r="SA409" s="11"/>
      <c r="SB409" s="11"/>
      <c r="SC409" s="11"/>
      <c r="SD409" s="11"/>
      <c r="SE409" s="11"/>
      <c r="SF409" s="11"/>
      <c r="SG409" s="11"/>
      <c r="SH409" s="11">
        <v>1</v>
      </c>
    </row>
    <row r="410" spans="1:502" x14ac:dyDescent="0.2">
      <c r="A410" s="10">
        <v>4.3443272344871026E-2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  <c r="HO410" s="11"/>
      <c r="HP410" s="11"/>
      <c r="HQ410" s="11"/>
      <c r="HR410" s="11"/>
      <c r="HS410" s="11"/>
      <c r="HT410" s="11"/>
      <c r="HU410" s="11"/>
      <c r="HV410" s="11"/>
      <c r="HW410" s="11"/>
      <c r="HX410" s="11"/>
      <c r="HY410" s="11"/>
      <c r="HZ410" s="11"/>
      <c r="IA410" s="11"/>
      <c r="IB410" s="11"/>
      <c r="IC410" s="11"/>
      <c r="ID410" s="11"/>
      <c r="IE410" s="11"/>
      <c r="IF410" s="11"/>
      <c r="IG410" s="11"/>
      <c r="IH410" s="11"/>
      <c r="II410" s="11"/>
      <c r="IJ410" s="11"/>
      <c r="IK410" s="11"/>
      <c r="IL410" s="11"/>
      <c r="IM410" s="11"/>
      <c r="IN410" s="11"/>
      <c r="IO410" s="11"/>
      <c r="IP410" s="11"/>
      <c r="IQ410" s="11"/>
      <c r="IR410" s="11"/>
      <c r="IS410" s="11"/>
      <c r="IT410" s="11"/>
      <c r="IU410" s="11"/>
      <c r="IV410" s="11"/>
      <c r="IW410" s="11"/>
      <c r="IX410" s="11"/>
      <c r="IY410" s="11"/>
      <c r="IZ410" s="11"/>
      <c r="JA410" s="11"/>
      <c r="JB410" s="11"/>
      <c r="JC410" s="11"/>
      <c r="JD410" s="11"/>
      <c r="JE410" s="11"/>
      <c r="JF410" s="11"/>
      <c r="JG410" s="11"/>
      <c r="JH410" s="11"/>
      <c r="JI410" s="11"/>
      <c r="JJ410" s="11"/>
      <c r="JK410" s="11"/>
      <c r="JL410" s="11"/>
      <c r="JM410" s="11"/>
      <c r="JN410" s="11"/>
      <c r="JO410" s="11"/>
      <c r="JP410" s="11"/>
      <c r="JQ410" s="11"/>
      <c r="JR410" s="11"/>
      <c r="JS410" s="11"/>
      <c r="JT410" s="11"/>
      <c r="JU410" s="11"/>
      <c r="JV410" s="11"/>
      <c r="JW410" s="11"/>
      <c r="JX410" s="11"/>
      <c r="JY410" s="11"/>
      <c r="JZ410" s="11"/>
      <c r="KA410" s="11"/>
      <c r="KB410" s="11"/>
      <c r="KC410" s="11"/>
      <c r="KD410" s="11"/>
      <c r="KE410" s="11"/>
      <c r="KF410" s="11"/>
      <c r="KG410" s="11"/>
      <c r="KH410" s="11"/>
      <c r="KI410" s="11"/>
      <c r="KJ410" s="11"/>
      <c r="KK410" s="11"/>
      <c r="KL410" s="11">
        <v>1</v>
      </c>
      <c r="KM410" s="11"/>
      <c r="KN410" s="11"/>
      <c r="KO410" s="11"/>
      <c r="KP410" s="11"/>
      <c r="KQ410" s="11"/>
      <c r="KR410" s="11"/>
      <c r="KS410" s="11"/>
      <c r="KT410" s="11"/>
      <c r="KU410" s="11"/>
      <c r="KV410" s="11"/>
      <c r="KW410" s="11"/>
      <c r="KX410" s="11"/>
      <c r="KY410" s="11"/>
      <c r="KZ410" s="11"/>
      <c r="LA410" s="11"/>
      <c r="LB410" s="11"/>
      <c r="LC410" s="11"/>
      <c r="LD410" s="11"/>
      <c r="LE410" s="11"/>
      <c r="LF410" s="11"/>
      <c r="LG410" s="11"/>
      <c r="LH410" s="11"/>
      <c r="LI410" s="11"/>
      <c r="LJ410" s="11"/>
      <c r="LK410" s="11"/>
      <c r="LL410" s="11"/>
      <c r="LM410" s="11"/>
      <c r="LN410" s="11"/>
      <c r="LO410" s="11"/>
      <c r="LP410" s="11"/>
      <c r="LQ410" s="11"/>
      <c r="LR410" s="11"/>
      <c r="LS410" s="11"/>
      <c r="LT410" s="11"/>
      <c r="LU410" s="11"/>
      <c r="LV410" s="11"/>
      <c r="LW410" s="11"/>
      <c r="LX410" s="11"/>
      <c r="LY410" s="11"/>
      <c r="LZ410" s="11"/>
      <c r="MA410" s="11"/>
      <c r="MB410" s="11"/>
      <c r="MC410" s="11"/>
      <c r="MD410" s="11"/>
      <c r="ME410" s="11"/>
      <c r="MF410" s="11"/>
      <c r="MG410" s="11"/>
      <c r="MH410" s="11"/>
      <c r="MI410" s="11"/>
      <c r="MJ410" s="11"/>
      <c r="MK410" s="11"/>
      <c r="ML410" s="11"/>
      <c r="MM410" s="11"/>
      <c r="MN410" s="11"/>
      <c r="MO410" s="11"/>
      <c r="MP410" s="11"/>
      <c r="MQ410" s="11"/>
      <c r="MR410" s="11"/>
      <c r="MS410" s="11"/>
      <c r="MT410" s="11"/>
      <c r="MU410" s="11"/>
      <c r="MV410" s="11"/>
      <c r="MW410" s="11"/>
      <c r="MX410" s="11"/>
      <c r="MY410" s="11"/>
      <c r="MZ410" s="11"/>
      <c r="NA410" s="11"/>
      <c r="NB410" s="11"/>
      <c r="NC410" s="11"/>
      <c r="ND410" s="11"/>
      <c r="NE410" s="11"/>
      <c r="NF410" s="11"/>
      <c r="NG410" s="11"/>
      <c r="NH410" s="11"/>
      <c r="NI410" s="11"/>
      <c r="NJ410" s="11"/>
      <c r="NK410" s="11"/>
      <c r="NL410" s="11"/>
      <c r="NM410" s="11"/>
      <c r="NN410" s="11"/>
      <c r="NO410" s="11"/>
      <c r="NP410" s="11"/>
      <c r="NQ410" s="11"/>
      <c r="NR410" s="11"/>
      <c r="NS410" s="11"/>
      <c r="NT410" s="11"/>
      <c r="NU410" s="11"/>
      <c r="NV410" s="11"/>
      <c r="NW410" s="11"/>
      <c r="NX410" s="11"/>
      <c r="NY410" s="11"/>
      <c r="NZ410" s="11"/>
      <c r="OA410" s="11"/>
      <c r="OB410" s="11"/>
      <c r="OC410" s="11"/>
      <c r="OD410" s="11"/>
      <c r="OE410" s="11"/>
      <c r="OF410" s="11"/>
      <c r="OG410" s="11"/>
      <c r="OH410" s="11"/>
      <c r="OI410" s="11"/>
      <c r="OJ410" s="11"/>
      <c r="OK410" s="11"/>
      <c r="OL410" s="11"/>
      <c r="OM410" s="11"/>
      <c r="ON410" s="11"/>
      <c r="OO410" s="11"/>
      <c r="OP410" s="11"/>
      <c r="OQ410" s="11"/>
      <c r="OR410" s="11"/>
      <c r="OS410" s="11"/>
      <c r="OT410" s="11"/>
      <c r="OU410" s="11"/>
      <c r="OV410" s="11"/>
      <c r="OW410" s="11"/>
      <c r="OX410" s="11"/>
      <c r="OY410" s="11"/>
      <c r="OZ410" s="11"/>
      <c r="PA410" s="11"/>
      <c r="PB410" s="11"/>
      <c r="PC410" s="11"/>
      <c r="PD410" s="11"/>
      <c r="PE410" s="11"/>
      <c r="PF410" s="11"/>
      <c r="PG410" s="11"/>
      <c r="PH410" s="11"/>
      <c r="PI410" s="11"/>
      <c r="PJ410" s="11"/>
      <c r="PK410" s="11"/>
      <c r="PL410" s="11"/>
      <c r="PM410" s="11"/>
      <c r="PN410" s="11"/>
      <c r="PO410" s="11"/>
      <c r="PP410" s="11"/>
      <c r="PQ410" s="11"/>
      <c r="PR410" s="11"/>
      <c r="PS410" s="11"/>
      <c r="PT410" s="11"/>
      <c r="PU410" s="11"/>
      <c r="PV410" s="11"/>
      <c r="PW410" s="11"/>
      <c r="PX410" s="11"/>
      <c r="PY410" s="11"/>
      <c r="PZ410" s="11"/>
      <c r="QA410" s="11"/>
      <c r="QB410" s="11"/>
      <c r="QC410" s="11"/>
      <c r="QD410" s="11"/>
      <c r="QE410" s="11"/>
      <c r="QF410" s="11"/>
      <c r="QG410" s="11"/>
      <c r="QH410" s="11"/>
      <c r="QI410" s="11"/>
      <c r="QJ410" s="11"/>
      <c r="QK410" s="11"/>
      <c r="QL410" s="11"/>
      <c r="QM410" s="11"/>
      <c r="QN410" s="11"/>
      <c r="QO410" s="11"/>
      <c r="QP410" s="11"/>
      <c r="QQ410" s="11"/>
      <c r="QR410" s="11"/>
      <c r="QS410" s="11"/>
      <c r="QT410" s="11"/>
      <c r="QU410" s="11"/>
      <c r="QV410" s="11"/>
      <c r="QW410" s="11"/>
      <c r="QX410" s="11"/>
      <c r="QY410" s="11"/>
      <c r="QZ410" s="11"/>
      <c r="RA410" s="11"/>
      <c r="RB410" s="11"/>
      <c r="RC410" s="11"/>
      <c r="RD410" s="11"/>
      <c r="RE410" s="11"/>
      <c r="RF410" s="11"/>
      <c r="RG410" s="11"/>
      <c r="RH410" s="11"/>
      <c r="RI410" s="11"/>
      <c r="RJ410" s="11"/>
      <c r="RK410" s="11"/>
      <c r="RL410" s="11"/>
      <c r="RM410" s="11"/>
      <c r="RN410" s="11"/>
      <c r="RO410" s="11"/>
      <c r="RP410" s="11"/>
      <c r="RQ410" s="11"/>
      <c r="RR410" s="11"/>
      <c r="RS410" s="11"/>
      <c r="RT410" s="11"/>
      <c r="RU410" s="11"/>
      <c r="RV410" s="11"/>
      <c r="RW410" s="11"/>
      <c r="RX410" s="11"/>
      <c r="RY410" s="11"/>
      <c r="RZ410" s="11"/>
      <c r="SA410" s="11"/>
      <c r="SB410" s="11"/>
      <c r="SC410" s="11"/>
      <c r="SD410" s="11"/>
      <c r="SE410" s="11"/>
      <c r="SF410" s="11"/>
      <c r="SG410" s="11"/>
      <c r="SH410" s="11">
        <v>1</v>
      </c>
    </row>
    <row r="411" spans="1:502" x14ac:dyDescent="0.2">
      <c r="A411" s="10">
        <v>4.3629660534120568E-2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>
        <v>1</v>
      </c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  <c r="GP411" s="11"/>
      <c r="GQ411" s="11"/>
      <c r="GR411" s="11"/>
      <c r="GS411" s="11"/>
      <c r="GT411" s="11"/>
      <c r="GU411" s="11"/>
      <c r="GV411" s="11"/>
      <c r="GW411" s="11"/>
      <c r="GX411" s="11"/>
      <c r="GY411" s="11"/>
      <c r="GZ411" s="11"/>
      <c r="HA411" s="11"/>
      <c r="HB411" s="11"/>
      <c r="HC411" s="11"/>
      <c r="HD411" s="11"/>
      <c r="HE411" s="11"/>
      <c r="HF411" s="11"/>
      <c r="HG411" s="11"/>
      <c r="HH411" s="11"/>
      <c r="HI411" s="11"/>
      <c r="HJ411" s="11"/>
      <c r="HK411" s="11"/>
      <c r="HL411" s="11"/>
      <c r="HM411" s="11"/>
      <c r="HN411" s="11"/>
      <c r="HO411" s="11"/>
      <c r="HP411" s="11"/>
      <c r="HQ411" s="11"/>
      <c r="HR411" s="11"/>
      <c r="HS411" s="11"/>
      <c r="HT411" s="11"/>
      <c r="HU411" s="11"/>
      <c r="HV411" s="11"/>
      <c r="HW411" s="11"/>
      <c r="HX411" s="11"/>
      <c r="HY411" s="11"/>
      <c r="HZ411" s="11"/>
      <c r="IA411" s="11"/>
      <c r="IB411" s="11"/>
      <c r="IC411" s="11"/>
      <c r="ID411" s="11"/>
      <c r="IE411" s="11"/>
      <c r="IF411" s="11"/>
      <c r="IG411" s="11"/>
      <c r="IH411" s="11"/>
      <c r="II411" s="11"/>
      <c r="IJ411" s="11"/>
      <c r="IK411" s="11"/>
      <c r="IL411" s="11"/>
      <c r="IM411" s="11"/>
      <c r="IN411" s="11"/>
      <c r="IO411" s="11"/>
      <c r="IP411" s="11"/>
      <c r="IQ411" s="11"/>
      <c r="IR411" s="11"/>
      <c r="IS411" s="11"/>
      <c r="IT411" s="11"/>
      <c r="IU411" s="11"/>
      <c r="IV411" s="11"/>
      <c r="IW411" s="11"/>
      <c r="IX411" s="11"/>
      <c r="IY411" s="11"/>
      <c r="IZ411" s="11"/>
      <c r="JA411" s="11"/>
      <c r="JB411" s="11"/>
      <c r="JC411" s="11"/>
      <c r="JD411" s="11"/>
      <c r="JE411" s="11"/>
      <c r="JF411" s="11"/>
      <c r="JG411" s="11"/>
      <c r="JH411" s="11"/>
      <c r="JI411" s="11"/>
      <c r="JJ411" s="11"/>
      <c r="JK411" s="11"/>
      <c r="JL411" s="11"/>
      <c r="JM411" s="11"/>
      <c r="JN411" s="11"/>
      <c r="JO411" s="11"/>
      <c r="JP411" s="11"/>
      <c r="JQ411" s="11"/>
      <c r="JR411" s="11"/>
      <c r="JS411" s="11"/>
      <c r="JT411" s="11"/>
      <c r="JU411" s="11"/>
      <c r="JV411" s="11"/>
      <c r="JW411" s="11"/>
      <c r="JX411" s="11"/>
      <c r="JY411" s="11"/>
      <c r="JZ411" s="11"/>
      <c r="KA411" s="11"/>
      <c r="KB411" s="11"/>
      <c r="KC411" s="11"/>
      <c r="KD411" s="11"/>
      <c r="KE411" s="11"/>
      <c r="KF411" s="11"/>
      <c r="KG411" s="11"/>
      <c r="KH411" s="11"/>
      <c r="KI411" s="11"/>
      <c r="KJ411" s="11"/>
      <c r="KK411" s="11"/>
      <c r="KL411" s="11"/>
      <c r="KM411" s="11"/>
      <c r="KN411" s="11"/>
      <c r="KO411" s="11"/>
      <c r="KP411" s="11"/>
      <c r="KQ411" s="11"/>
      <c r="KR411" s="11"/>
      <c r="KS411" s="11"/>
      <c r="KT411" s="11"/>
      <c r="KU411" s="11"/>
      <c r="KV411" s="11"/>
      <c r="KW411" s="11"/>
      <c r="KX411" s="11"/>
      <c r="KY411" s="11"/>
      <c r="KZ411" s="11"/>
      <c r="LA411" s="11"/>
      <c r="LB411" s="11"/>
      <c r="LC411" s="11"/>
      <c r="LD411" s="11"/>
      <c r="LE411" s="11"/>
      <c r="LF411" s="11"/>
      <c r="LG411" s="11"/>
      <c r="LH411" s="11"/>
      <c r="LI411" s="11"/>
      <c r="LJ411" s="11"/>
      <c r="LK411" s="11"/>
      <c r="LL411" s="11"/>
      <c r="LM411" s="11"/>
      <c r="LN411" s="11"/>
      <c r="LO411" s="11"/>
      <c r="LP411" s="11"/>
      <c r="LQ411" s="11"/>
      <c r="LR411" s="11"/>
      <c r="LS411" s="11"/>
      <c r="LT411" s="11"/>
      <c r="LU411" s="11"/>
      <c r="LV411" s="11"/>
      <c r="LW411" s="11"/>
      <c r="LX411" s="11"/>
      <c r="LY411" s="11"/>
      <c r="LZ411" s="11"/>
      <c r="MA411" s="11"/>
      <c r="MB411" s="11"/>
      <c r="MC411" s="11"/>
      <c r="MD411" s="11"/>
      <c r="ME411" s="11"/>
      <c r="MF411" s="11"/>
      <c r="MG411" s="11"/>
      <c r="MH411" s="11"/>
      <c r="MI411" s="11"/>
      <c r="MJ411" s="11"/>
      <c r="MK411" s="11"/>
      <c r="ML411" s="11"/>
      <c r="MM411" s="11"/>
      <c r="MN411" s="11"/>
      <c r="MO411" s="11"/>
      <c r="MP411" s="11"/>
      <c r="MQ411" s="11"/>
      <c r="MR411" s="11"/>
      <c r="MS411" s="11"/>
      <c r="MT411" s="11"/>
      <c r="MU411" s="11"/>
      <c r="MV411" s="11"/>
      <c r="MW411" s="11"/>
      <c r="MX411" s="11"/>
      <c r="MY411" s="11"/>
      <c r="MZ411" s="11"/>
      <c r="NA411" s="11"/>
      <c r="NB411" s="11"/>
      <c r="NC411" s="11"/>
      <c r="ND411" s="11"/>
      <c r="NE411" s="11"/>
      <c r="NF411" s="11"/>
      <c r="NG411" s="11"/>
      <c r="NH411" s="11"/>
      <c r="NI411" s="11"/>
      <c r="NJ411" s="11"/>
      <c r="NK411" s="11"/>
      <c r="NL411" s="11"/>
      <c r="NM411" s="11"/>
      <c r="NN411" s="11"/>
      <c r="NO411" s="11"/>
      <c r="NP411" s="11"/>
      <c r="NQ411" s="11"/>
      <c r="NR411" s="11"/>
      <c r="NS411" s="11"/>
      <c r="NT411" s="11"/>
      <c r="NU411" s="11"/>
      <c r="NV411" s="11"/>
      <c r="NW411" s="11"/>
      <c r="NX411" s="11"/>
      <c r="NY411" s="11"/>
      <c r="NZ411" s="11"/>
      <c r="OA411" s="11"/>
      <c r="OB411" s="11"/>
      <c r="OC411" s="11"/>
      <c r="OD411" s="11"/>
      <c r="OE411" s="11"/>
      <c r="OF411" s="11"/>
      <c r="OG411" s="11"/>
      <c r="OH411" s="11"/>
      <c r="OI411" s="11"/>
      <c r="OJ411" s="11"/>
      <c r="OK411" s="11"/>
      <c r="OL411" s="11"/>
      <c r="OM411" s="11"/>
      <c r="ON411" s="11"/>
      <c r="OO411" s="11"/>
      <c r="OP411" s="11"/>
      <c r="OQ411" s="11"/>
      <c r="OR411" s="11"/>
      <c r="OS411" s="11"/>
      <c r="OT411" s="11"/>
      <c r="OU411" s="11"/>
      <c r="OV411" s="11"/>
      <c r="OW411" s="11"/>
      <c r="OX411" s="11"/>
      <c r="OY411" s="11"/>
      <c r="OZ411" s="11"/>
      <c r="PA411" s="11"/>
      <c r="PB411" s="11"/>
      <c r="PC411" s="11"/>
      <c r="PD411" s="11"/>
      <c r="PE411" s="11"/>
      <c r="PF411" s="11"/>
      <c r="PG411" s="11"/>
      <c r="PH411" s="11"/>
      <c r="PI411" s="11"/>
      <c r="PJ411" s="11"/>
      <c r="PK411" s="11"/>
      <c r="PL411" s="11"/>
      <c r="PM411" s="11"/>
      <c r="PN411" s="11"/>
      <c r="PO411" s="11"/>
      <c r="PP411" s="11"/>
      <c r="PQ411" s="11"/>
      <c r="PR411" s="11"/>
      <c r="PS411" s="11"/>
      <c r="PT411" s="11"/>
      <c r="PU411" s="11"/>
      <c r="PV411" s="11"/>
      <c r="PW411" s="11"/>
      <c r="PX411" s="11"/>
      <c r="PY411" s="11"/>
      <c r="PZ411" s="11"/>
      <c r="QA411" s="11"/>
      <c r="QB411" s="11"/>
      <c r="QC411" s="11"/>
      <c r="QD411" s="11"/>
      <c r="QE411" s="11"/>
      <c r="QF411" s="11"/>
      <c r="QG411" s="11"/>
      <c r="QH411" s="11"/>
      <c r="QI411" s="11"/>
      <c r="QJ411" s="11"/>
      <c r="QK411" s="11"/>
      <c r="QL411" s="11"/>
      <c r="QM411" s="11"/>
      <c r="QN411" s="11"/>
      <c r="QO411" s="11"/>
      <c r="QP411" s="11"/>
      <c r="QQ411" s="11"/>
      <c r="QR411" s="11"/>
      <c r="QS411" s="11"/>
      <c r="QT411" s="11"/>
      <c r="QU411" s="11"/>
      <c r="QV411" s="11"/>
      <c r="QW411" s="11"/>
      <c r="QX411" s="11"/>
      <c r="QY411" s="11"/>
      <c r="QZ411" s="11"/>
      <c r="RA411" s="11"/>
      <c r="RB411" s="11"/>
      <c r="RC411" s="11"/>
      <c r="RD411" s="11"/>
      <c r="RE411" s="11"/>
      <c r="RF411" s="11"/>
      <c r="RG411" s="11"/>
      <c r="RH411" s="11"/>
      <c r="RI411" s="11"/>
      <c r="RJ411" s="11"/>
      <c r="RK411" s="11"/>
      <c r="RL411" s="11"/>
      <c r="RM411" s="11"/>
      <c r="RN411" s="11"/>
      <c r="RO411" s="11"/>
      <c r="RP411" s="11"/>
      <c r="RQ411" s="11"/>
      <c r="RR411" s="11"/>
      <c r="RS411" s="11"/>
      <c r="RT411" s="11"/>
      <c r="RU411" s="11"/>
      <c r="RV411" s="11"/>
      <c r="RW411" s="11"/>
      <c r="RX411" s="11"/>
      <c r="RY411" s="11"/>
      <c r="RZ411" s="11"/>
      <c r="SA411" s="11"/>
      <c r="SB411" s="11"/>
      <c r="SC411" s="11"/>
      <c r="SD411" s="11"/>
      <c r="SE411" s="11"/>
      <c r="SF411" s="11"/>
      <c r="SG411" s="11"/>
      <c r="SH411" s="11">
        <v>1</v>
      </c>
    </row>
    <row r="412" spans="1:502" x14ac:dyDescent="0.2">
      <c r="A412" s="10">
        <v>4.3937454893872331E-2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>
        <v>1</v>
      </c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  <c r="GP412" s="11"/>
      <c r="GQ412" s="11"/>
      <c r="GR412" s="11"/>
      <c r="GS412" s="11"/>
      <c r="GT412" s="11"/>
      <c r="GU412" s="11"/>
      <c r="GV412" s="11"/>
      <c r="GW412" s="11"/>
      <c r="GX412" s="11"/>
      <c r="GY412" s="11"/>
      <c r="GZ412" s="11"/>
      <c r="HA412" s="11"/>
      <c r="HB412" s="11"/>
      <c r="HC412" s="11"/>
      <c r="HD412" s="11"/>
      <c r="HE412" s="11"/>
      <c r="HF412" s="11"/>
      <c r="HG412" s="11"/>
      <c r="HH412" s="11"/>
      <c r="HI412" s="11"/>
      <c r="HJ412" s="11"/>
      <c r="HK412" s="11"/>
      <c r="HL412" s="11"/>
      <c r="HM412" s="11"/>
      <c r="HN412" s="11"/>
      <c r="HO412" s="11"/>
      <c r="HP412" s="11"/>
      <c r="HQ412" s="11"/>
      <c r="HR412" s="11"/>
      <c r="HS412" s="11"/>
      <c r="HT412" s="11"/>
      <c r="HU412" s="11"/>
      <c r="HV412" s="11"/>
      <c r="HW412" s="11"/>
      <c r="HX412" s="11"/>
      <c r="HY412" s="11"/>
      <c r="HZ412" s="11"/>
      <c r="IA412" s="11"/>
      <c r="IB412" s="11"/>
      <c r="IC412" s="11"/>
      <c r="ID412" s="11"/>
      <c r="IE412" s="11"/>
      <c r="IF412" s="11"/>
      <c r="IG412" s="11"/>
      <c r="IH412" s="11"/>
      <c r="II412" s="11"/>
      <c r="IJ412" s="11"/>
      <c r="IK412" s="11"/>
      <c r="IL412" s="11"/>
      <c r="IM412" s="11"/>
      <c r="IN412" s="11"/>
      <c r="IO412" s="11"/>
      <c r="IP412" s="11"/>
      <c r="IQ412" s="11"/>
      <c r="IR412" s="11"/>
      <c r="IS412" s="11"/>
      <c r="IT412" s="11"/>
      <c r="IU412" s="11"/>
      <c r="IV412" s="11"/>
      <c r="IW412" s="11"/>
      <c r="IX412" s="11"/>
      <c r="IY412" s="11"/>
      <c r="IZ412" s="11"/>
      <c r="JA412" s="11"/>
      <c r="JB412" s="11"/>
      <c r="JC412" s="11"/>
      <c r="JD412" s="11"/>
      <c r="JE412" s="11"/>
      <c r="JF412" s="11"/>
      <c r="JG412" s="11"/>
      <c r="JH412" s="11"/>
      <c r="JI412" s="11"/>
      <c r="JJ412" s="11"/>
      <c r="JK412" s="11"/>
      <c r="JL412" s="11"/>
      <c r="JM412" s="11"/>
      <c r="JN412" s="11"/>
      <c r="JO412" s="11"/>
      <c r="JP412" s="11"/>
      <c r="JQ412" s="11"/>
      <c r="JR412" s="11"/>
      <c r="JS412" s="11"/>
      <c r="JT412" s="11"/>
      <c r="JU412" s="11"/>
      <c r="JV412" s="11"/>
      <c r="JW412" s="11"/>
      <c r="JX412" s="11"/>
      <c r="JY412" s="11"/>
      <c r="JZ412" s="11"/>
      <c r="KA412" s="11"/>
      <c r="KB412" s="11"/>
      <c r="KC412" s="11"/>
      <c r="KD412" s="11"/>
      <c r="KE412" s="11"/>
      <c r="KF412" s="11"/>
      <c r="KG412" s="11"/>
      <c r="KH412" s="11"/>
      <c r="KI412" s="11"/>
      <c r="KJ412" s="11"/>
      <c r="KK412" s="11"/>
      <c r="KL412" s="11"/>
      <c r="KM412" s="11"/>
      <c r="KN412" s="11"/>
      <c r="KO412" s="11"/>
      <c r="KP412" s="11"/>
      <c r="KQ412" s="11"/>
      <c r="KR412" s="11"/>
      <c r="KS412" s="11"/>
      <c r="KT412" s="11"/>
      <c r="KU412" s="11"/>
      <c r="KV412" s="11"/>
      <c r="KW412" s="11"/>
      <c r="KX412" s="11"/>
      <c r="KY412" s="11"/>
      <c r="KZ412" s="11"/>
      <c r="LA412" s="11"/>
      <c r="LB412" s="11"/>
      <c r="LC412" s="11"/>
      <c r="LD412" s="11"/>
      <c r="LE412" s="11"/>
      <c r="LF412" s="11"/>
      <c r="LG412" s="11"/>
      <c r="LH412" s="11"/>
      <c r="LI412" s="11"/>
      <c r="LJ412" s="11"/>
      <c r="LK412" s="11"/>
      <c r="LL412" s="11"/>
      <c r="LM412" s="11"/>
      <c r="LN412" s="11"/>
      <c r="LO412" s="11"/>
      <c r="LP412" s="11"/>
      <c r="LQ412" s="11"/>
      <c r="LR412" s="11"/>
      <c r="LS412" s="11"/>
      <c r="LT412" s="11"/>
      <c r="LU412" s="11"/>
      <c r="LV412" s="11"/>
      <c r="LW412" s="11"/>
      <c r="LX412" s="11"/>
      <c r="LY412" s="11"/>
      <c r="LZ412" s="11"/>
      <c r="MA412" s="11"/>
      <c r="MB412" s="11"/>
      <c r="MC412" s="11"/>
      <c r="MD412" s="11"/>
      <c r="ME412" s="11"/>
      <c r="MF412" s="11"/>
      <c r="MG412" s="11"/>
      <c r="MH412" s="11"/>
      <c r="MI412" s="11"/>
      <c r="MJ412" s="11"/>
      <c r="MK412" s="11"/>
      <c r="ML412" s="11"/>
      <c r="MM412" s="11"/>
      <c r="MN412" s="11"/>
      <c r="MO412" s="11"/>
      <c r="MP412" s="11"/>
      <c r="MQ412" s="11"/>
      <c r="MR412" s="11"/>
      <c r="MS412" s="11"/>
      <c r="MT412" s="11"/>
      <c r="MU412" s="11"/>
      <c r="MV412" s="11"/>
      <c r="MW412" s="11"/>
      <c r="MX412" s="11"/>
      <c r="MY412" s="11"/>
      <c r="MZ412" s="11"/>
      <c r="NA412" s="11"/>
      <c r="NB412" s="11"/>
      <c r="NC412" s="11"/>
      <c r="ND412" s="11"/>
      <c r="NE412" s="11"/>
      <c r="NF412" s="11"/>
      <c r="NG412" s="11"/>
      <c r="NH412" s="11"/>
      <c r="NI412" s="11"/>
      <c r="NJ412" s="11"/>
      <c r="NK412" s="11"/>
      <c r="NL412" s="11"/>
      <c r="NM412" s="11"/>
      <c r="NN412" s="11"/>
      <c r="NO412" s="11"/>
      <c r="NP412" s="11"/>
      <c r="NQ412" s="11"/>
      <c r="NR412" s="11"/>
      <c r="NS412" s="11"/>
      <c r="NT412" s="11"/>
      <c r="NU412" s="11"/>
      <c r="NV412" s="11"/>
      <c r="NW412" s="11"/>
      <c r="NX412" s="11"/>
      <c r="NY412" s="11"/>
      <c r="NZ412" s="11"/>
      <c r="OA412" s="11"/>
      <c r="OB412" s="11"/>
      <c r="OC412" s="11"/>
      <c r="OD412" s="11"/>
      <c r="OE412" s="11"/>
      <c r="OF412" s="11"/>
      <c r="OG412" s="11"/>
      <c r="OH412" s="11"/>
      <c r="OI412" s="11"/>
      <c r="OJ412" s="11"/>
      <c r="OK412" s="11"/>
      <c r="OL412" s="11"/>
      <c r="OM412" s="11"/>
      <c r="ON412" s="11"/>
      <c r="OO412" s="11"/>
      <c r="OP412" s="11"/>
      <c r="OQ412" s="11"/>
      <c r="OR412" s="11"/>
      <c r="OS412" s="11"/>
      <c r="OT412" s="11"/>
      <c r="OU412" s="11"/>
      <c r="OV412" s="11"/>
      <c r="OW412" s="11"/>
      <c r="OX412" s="11"/>
      <c r="OY412" s="11"/>
      <c r="OZ412" s="11"/>
      <c r="PA412" s="11"/>
      <c r="PB412" s="11"/>
      <c r="PC412" s="11"/>
      <c r="PD412" s="11"/>
      <c r="PE412" s="11"/>
      <c r="PF412" s="11"/>
      <c r="PG412" s="11"/>
      <c r="PH412" s="11"/>
      <c r="PI412" s="11"/>
      <c r="PJ412" s="11"/>
      <c r="PK412" s="11"/>
      <c r="PL412" s="11"/>
      <c r="PM412" s="11"/>
      <c r="PN412" s="11"/>
      <c r="PO412" s="11"/>
      <c r="PP412" s="11"/>
      <c r="PQ412" s="11"/>
      <c r="PR412" s="11"/>
      <c r="PS412" s="11"/>
      <c r="PT412" s="11"/>
      <c r="PU412" s="11"/>
      <c r="PV412" s="11"/>
      <c r="PW412" s="11"/>
      <c r="PX412" s="11"/>
      <c r="PY412" s="11"/>
      <c r="PZ412" s="11"/>
      <c r="QA412" s="11"/>
      <c r="QB412" s="11"/>
      <c r="QC412" s="11"/>
      <c r="QD412" s="11"/>
      <c r="QE412" s="11"/>
      <c r="QF412" s="11"/>
      <c r="QG412" s="11"/>
      <c r="QH412" s="11"/>
      <c r="QI412" s="11"/>
      <c r="QJ412" s="11"/>
      <c r="QK412" s="11"/>
      <c r="QL412" s="11"/>
      <c r="QM412" s="11"/>
      <c r="QN412" s="11"/>
      <c r="QO412" s="11"/>
      <c r="QP412" s="11"/>
      <c r="QQ412" s="11"/>
      <c r="QR412" s="11"/>
      <c r="QS412" s="11"/>
      <c r="QT412" s="11"/>
      <c r="QU412" s="11"/>
      <c r="QV412" s="11"/>
      <c r="QW412" s="11"/>
      <c r="QX412" s="11"/>
      <c r="QY412" s="11"/>
      <c r="QZ412" s="11"/>
      <c r="RA412" s="11"/>
      <c r="RB412" s="11"/>
      <c r="RC412" s="11"/>
      <c r="RD412" s="11"/>
      <c r="RE412" s="11"/>
      <c r="RF412" s="11"/>
      <c r="RG412" s="11"/>
      <c r="RH412" s="11"/>
      <c r="RI412" s="11"/>
      <c r="RJ412" s="11"/>
      <c r="RK412" s="11"/>
      <c r="RL412" s="11"/>
      <c r="RM412" s="11"/>
      <c r="RN412" s="11"/>
      <c r="RO412" s="11"/>
      <c r="RP412" s="11"/>
      <c r="RQ412" s="11"/>
      <c r="RR412" s="11"/>
      <c r="RS412" s="11"/>
      <c r="RT412" s="11"/>
      <c r="RU412" s="11"/>
      <c r="RV412" s="11"/>
      <c r="RW412" s="11"/>
      <c r="RX412" s="11"/>
      <c r="RY412" s="11"/>
      <c r="RZ412" s="11"/>
      <c r="SA412" s="11"/>
      <c r="SB412" s="11"/>
      <c r="SC412" s="11"/>
      <c r="SD412" s="11"/>
      <c r="SE412" s="11"/>
      <c r="SF412" s="11"/>
      <c r="SG412" s="11"/>
      <c r="SH412" s="11">
        <v>1</v>
      </c>
    </row>
    <row r="413" spans="1:502" x14ac:dyDescent="0.2">
      <c r="A413" s="10">
        <v>4.4004752112061937E-2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  <c r="FW413" s="11"/>
      <c r="FX413" s="11"/>
      <c r="FY413" s="11"/>
      <c r="FZ413" s="11"/>
      <c r="GA413" s="11"/>
      <c r="GB413" s="11"/>
      <c r="GC413" s="11"/>
      <c r="GD413" s="11"/>
      <c r="GE413" s="11"/>
      <c r="GF413" s="11"/>
      <c r="GG413" s="11"/>
      <c r="GH413" s="11"/>
      <c r="GI413" s="11"/>
      <c r="GJ413" s="11"/>
      <c r="GK413" s="11"/>
      <c r="GL413" s="11"/>
      <c r="GM413" s="11"/>
      <c r="GN413" s="11"/>
      <c r="GO413" s="11"/>
      <c r="GP413" s="11"/>
      <c r="GQ413" s="11"/>
      <c r="GR413" s="11"/>
      <c r="GS413" s="11"/>
      <c r="GT413" s="11"/>
      <c r="GU413" s="11"/>
      <c r="GV413" s="11"/>
      <c r="GW413" s="11"/>
      <c r="GX413" s="11"/>
      <c r="GY413" s="11"/>
      <c r="GZ413" s="11"/>
      <c r="HA413" s="11"/>
      <c r="HB413" s="11"/>
      <c r="HC413" s="11"/>
      <c r="HD413" s="11"/>
      <c r="HE413" s="11"/>
      <c r="HF413" s="11"/>
      <c r="HG413" s="11"/>
      <c r="HH413" s="11"/>
      <c r="HI413" s="11"/>
      <c r="HJ413" s="11"/>
      <c r="HK413" s="11"/>
      <c r="HL413" s="11"/>
      <c r="HM413" s="11"/>
      <c r="HN413" s="11"/>
      <c r="HO413" s="11"/>
      <c r="HP413" s="11"/>
      <c r="HQ413" s="11"/>
      <c r="HR413" s="11"/>
      <c r="HS413" s="11"/>
      <c r="HT413" s="11"/>
      <c r="HU413" s="11"/>
      <c r="HV413" s="11"/>
      <c r="HW413" s="11"/>
      <c r="HX413" s="11"/>
      <c r="HY413" s="11"/>
      <c r="HZ413" s="11"/>
      <c r="IA413" s="11"/>
      <c r="IB413" s="11"/>
      <c r="IC413" s="11"/>
      <c r="ID413" s="11"/>
      <c r="IE413" s="11"/>
      <c r="IF413" s="11"/>
      <c r="IG413" s="11"/>
      <c r="IH413" s="11"/>
      <c r="II413" s="11"/>
      <c r="IJ413" s="11"/>
      <c r="IK413" s="11"/>
      <c r="IL413" s="11"/>
      <c r="IM413" s="11"/>
      <c r="IN413" s="11"/>
      <c r="IO413" s="11"/>
      <c r="IP413" s="11"/>
      <c r="IQ413" s="11"/>
      <c r="IR413" s="11"/>
      <c r="IS413" s="11"/>
      <c r="IT413" s="11"/>
      <c r="IU413" s="11"/>
      <c r="IV413" s="11"/>
      <c r="IW413" s="11"/>
      <c r="IX413" s="11"/>
      <c r="IY413" s="11"/>
      <c r="IZ413" s="11"/>
      <c r="JA413" s="11"/>
      <c r="JB413" s="11"/>
      <c r="JC413" s="11"/>
      <c r="JD413" s="11"/>
      <c r="JE413" s="11"/>
      <c r="JF413" s="11"/>
      <c r="JG413" s="11"/>
      <c r="JH413" s="11"/>
      <c r="JI413" s="11"/>
      <c r="JJ413" s="11"/>
      <c r="JK413" s="11"/>
      <c r="JL413" s="11"/>
      <c r="JM413" s="11"/>
      <c r="JN413" s="11"/>
      <c r="JO413" s="11"/>
      <c r="JP413" s="11"/>
      <c r="JQ413" s="11"/>
      <c r="JR413" s="11"/>
      <c r="JS413" s="11"/>
      <c r="JT413" s="11"/>
      <c r="JU413" s="11"/>
      <c r="JV413" s="11"/>
      <c r="JW413" s="11"/>
      <c r="JX413" s="11"/>
      <c r="JY413" s="11"/>
      <c r="JZ413" s="11"/>
      <c r="KA413" s="11"/>
      <c r="KB413" s="11"/>
      <c r="KC413" s="11"/>
      <c r="KD413" s="11"/>
      <c r="KE413" s="11"/>
      <c r="KF413" s="11"/>
      <c r="KG413" s="11"/>
      <c r="KH413" s="11"/>
      <c r="KI413" s="11"/>
      <c r="KJ413" s="11"/>
      <c r="KK413" s="11"/>
      <c r="KL413" s="11"/>
      <c r="KM413" s="11"/>
      <c r="KN413" s="11"/>
      <c r="KO413" s="11"/>
      <c r="KP413" s="11"/>
      <c r="KQ413" s="11"/>
      <c r="KR413" s="11"/>
      <c r="KS413" s="11"/>
      <c r="KT413" s="11"/>
      <c r="KU413" s="11"/>
      <c r="KV413" s="11"/>
      <c r="KW413" s="11"/>
      <c r="KX413" s="11"/>
      <c r="KY413" s="11"/>
      <c r="KZ413" s="11"/>
      <c r="LA413" s="11"/>
      <c r="LB413" s="11"/>
      <c r="LC413" s="11"/>
      <c r="LD413" s="11"/>
      <c r="LE413" s="11"/>
      <c r="LF413" s="11"/>
      <c r="LG413" s="11"/>
      <c r="LH413" s="11"/>
      <c r="LI413" s="11"/>
      <c r="LJ413" s="11"/>
      <c r="LK413" s="11"/>
      <c r="LL413" s="11"/>
      <c r="LM413" s="11"/>
      <c r="LN413" s="11"/>
      <c r="LO413" s="11"/>
      <c r="LP413" s="11"/>
      <c r="LQ413" s="11"/>
      <c r="LR413" s="11"/>
      <c r="LS413" s="11"/>
      <c r="LT413" s="11"/>
      <c r="LU413" s="11"/>
      <c r="LV413" s="11"/>
      <c r="LW413" s="11"/>
      <c r="LX413" s="11"/>
      <c r="LY413" s="11"/>
      <c r="LZ413" s="11"/>
      <c r="MA413" s="11"/>
      <c r="MB413" s="11"/>
      <c r="MC413" s="11"/>
      <c r="MD413" s="11"/>
      <c r="ME413" s="11"/>
      <c r="MF413" s="11"/>
      <c r="MG413" s="11"/>
      <c r="MH413" s="11"/>
      <c r="MI413" s="11"/>
      <c r="MJ413" s="11"/>
      <c r="MK413" s="11"/>
      <c r="ML413" s="11"/>
      <c r="MM413" s="11"/>
      <c r="MN413" s="11"/>
      <c r="MO413" s="11"/>
      <c r="MP413" s="11"/>
      <c r="MQ413" s="11"/>
      <c r="MR413" s="11"/>
      <c r="MS413" s="11"/>
      <c r="MT413" s="11"/>
      <c r="MU413" s="11"/>
      <c r="MV413" s="11"/>
      <c r="MW413" s="11"/>
      <c r="MX413" s="11"/>
      <c r="MY413" s="11"/>
      <c r="MZ413" s="11"/>
      <c r="NA413" s="11"/>
      <c r="NB413" s="11"/>
      <c r="NC413" s="11"/>
      <c r="ND413" s="11"/>
      <c r="NE413" s="11"/>
      <c r="NF413" s="11"/>
      <c r="NG413" s="11"/>
      <c r="NH413" s="11"/>
      <c r="NI413" s="11"/>
      <c r="NJ413" s="11"/>
      <c r="NK413" s="11"/>
      <c r="NL413" s="11"/>
      <c r="NM413" s="11"/>
      <c r="NN413" s="11"/>
      <c r="NO413" s="11"/>
      <c r="NP413" s="11"/>
      <c r="NQ413" s="11"/>
      <c r="NR413" s="11"/>
      <c r="NS413" s="11"/>
      <c r="NT413" s="11"/>
      <c r="NU413" s="11"/>
      <c r="NV413" s="11"/>
      <c r="NW413" s="11"/>
      <c r="NX413" s="11"/>
      <c r="NY413" s="11"/>
      <c r="NZ413" s="11"/>
      <c r="OA413" s="11"/>
      <c r="OB413" s="11"/>
      <c r="OC413" s="11"/>
      <c r="OD413" s="11"/>
      <c r="OE413" s="11"/>
      <c r="OF413" s="11"/>
      <c r="OG413" s="11"/>
      <c r="OH413" s="11"/>
      <c r="OI413" s="11"/>
      <c r="OJ413" s="11"/>
      <c r="OK413" s="11"/>
      <c r="OL413" s="11"/>
      <c r="OM413" s="11"/>
      <c r="ON413" s="11"/>
      <c r="OO413" s="11"/>
      <c r="OP413" s="11"/>
      <c r="OQ413" s="11"/>
      <c r="OR413" s="11"/>
      <c r="OS413" s="11"/>
      <c r="OT413" s="11"/>
      <c r="OU413" s="11"/>
      <c r="OV413" s="11"/>
      <c r="OW413" s="11"/>
      <c r="OX413" s="11"/>
      <c r="OY413" s="11"/>
      <c r="OZ413" s="11"/>
      <c r="PA413" s="11"/>
      <c r="PB413" s="11"/>
      <c r="PC413" s="11"/>
      <c r="PD413" s="11"/>
      <c r="PE413" s="11"/>
      <c r="PF413" s="11"/>
      <c r="PG413" s="11"/>
      <c r="PH413" s="11"/>
      <c r="PI413" s="11"/>
      <c r="PJ413" s="11"/>
      <c r="PK413" s="11">
        <v>1</v>
      </c>
      <c r="PL413" s="11"/>
      <c r="PM413" s="11"/>
      <c r="PN413" s="11"/>
      <c r="PO413" s="11"/>
      <c r="PP413" s="11"/>
      <c r="PQ413" s="11"/>
      <c r="PR413" s="11"/>
      <c r="PS413" s="11"/>
      <c r="PT413" s="11"/>
      <c r="PU413" s="11"/>
      <c r="PV413" s="11"/>
      <c r="PW413" s="11"/>
      <c r="PX413" s="11"/>
      <c r="PY413" s="11"/>
      <c r="PZ413" s="11"/>
      <c r="QA413" s="11"/>
      <c r="QB413" s="11"/>
      <c r="QC413" s="11"/>
      <c r="QD413" s="11"/>
      <c r="QE413" s="11"/>
      <c r="QF413" s="11"/>
      <c r="QG413" s="11"/>
      <c r="QH413" s="11"/>
      <c r="QI413" s="11"/>
      <c r="QJ413" s="11"/>
      <c r="QK413" s="11"/>
      <c r="QL413" s="11"/>
      <c r="QM413" s="11"/>
      <c r="QN413" s="11"/>
      <c r="QO413" s="11"/>
      <c r="QP413" s="11"/>
      <c r="QQ413" s="11"/>
      <c r="QR413" s="11"/>
      <c r="QS413" s="11"/>
      <c r="QT413" s="11"/>
      <c r="QU413" s="11"/>
      <c r="QV413" s="11"/>
      <c r="QW413" s="11"/>
      <c r="QX413" s="11"/>
      <c r="QY413" s="11"/>
      <c r="QZ413" s="11"/>
      <c r="RA413" s="11"/>
      <c r="RB413" s="11"/>
      <c r="RC413" s="11"/>
      <c r="RD413" s="11"/>
      <c r="RE413" s="11"/>
      <c r="RF413" s="11"/>
      <c r="RG413" s="11"/>
      <c r="RH413" s="11"/>
      <c r="RI413" s="11"/>
      <c r="RJ413" s="11"/>
      <c r="RK413" s="11"/>
      <c r="RL413" s="11"/>
      <c r="RM413" s="11"/>
      <c r="RN413" s="11"/>
      <c r="RO413" s="11"/>
      <c r="RP413" s="11"/>
      <c r="RQ413" s="11"/>
      <c r="RR413" s="11"/>
      <c r="RS413" s="11"/>
      <c r="RT413" s="11"/>
      <c r="RU413" s="11"/>
      <c r="RV413" s="11"/>
      <c r="RW413" s="11"/>
      <c r="RX413" s="11"/>
      <c r="RY413" s="11"/>
      <c r="RZ413" s="11"/>
      <c r="SA413" s="11"/>
      <c r="SB413" s="11"/>
      <c r="SC413" s="11"/>
      <c r="SD413" s="11"/>
      <c r="SE413" s="11"/>
      <c r="SF413" s="11"/>
      <c r="SG413" s="11"/>
      <c r="SH413" s="11">
        <v>1</v>
      </c>
    </row>
    <row r="414" spans="1:502" x14ac:dyDescent="0.2">
      <c r="A414" s="10">
        <v>4.4111189751238414E-2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  <c r="GP414" s="11"/>
      <c r="GQ414" s="11"/>
      <c r="GR414" s="11"/>
      <c r="GS414" s="11"/>
      <c r="GT414" s="11"/>
      <c r="GU414" s="11"/>
      <c r="GV414" s="11"/>
      <c r="GW414" s="11"/>
      <c r="GX414" s="11"/>
      <c r="GY414" s="11"/>
      <c r="GZ414" s="11"/>
      <c r="HA414" s="11"/>
      <c r="HB414" s="11"/>
      <c r="HC414" s="11"/>
      <c r="HD414" s="11"/>
      <c r="HE414" s="11"/>
      <c r="HF414" s="11"/>
      <c r="HG414" s="11"/>
      <c r="HH414" s="11"/>
      <c r="HI414" s="11"/>
      <c r="HJ414" s="11"/>
      <c r="HK414" s="11"/>
      <c r="HL414" s="11"/>
      <c r="HM414" s="11"/>
      <c r="HN414" s="11"/>
      <c r="HO414" s="11"/>
      <c r="HP414" s="11"/>
      <c r="HQ414" s="11"/>
      <c r="HR414" s="11"/>
      <c r="HS414" s="11"/>
      <c r="HT414" s="11"/>
      <c r="HU414" s="11"/>
      <c r="HV414" s="11"/>
      <c r="HW414" s="11"/>
      <c r="HX414" s="11"/>
      <c r="HY414" s="11"/>
      <c r="HZ414" s="11"/>
      <c r="IA414" s="11"/>
      <c r="IB414" s="11"/>
      <c r="IC414" s="11"/>
      <c r="ID414" s="11"/>
      <c r="IE414" s="11"/>
      <c r="IF414" s="11"/>
      <c r="IG414" s="11"/>
      <c r="IH414" s="11"/>
      <c r="II414" s="11"/>
      <c r="IJ414" s="11"/>
      <c r="IK414" s="11"/>
      <c r="IL414" s="11"/>
      <c r="IM414" s="11"/>
      <c r="IN414" s="11"/>
      <c r="IO414" s="11"/>
      <c r="IP414" s="11"/>
      <c r="IQ414" s="11"/>
      <c r="IR414" s="11"/>
      <c r="IS414" s="11"/>
      <c r="IT414" s="11"/>
      <c r="IU414" s="11"/>
      <c r="IV414" s="11"/>
      <c r="IW414" s="11"/>
      <c r="IX414" s="11"/>
      <c r="IY414" s="11"/>
      <c r="IZ414" s="11"/>
      <c r="JA414" s="11"/>
      <c r="JB414" s="11"/>
      <c r="JC414" s="11"/>
      <c r="JD414" s="11"/>
      <c r="JE414" s="11"/>
      <c r="JF414" s="11"/>
      <c r="JG414" s="11"/>
      <c r="JH414" s="11"/>
      <c r="JI414" s="11">
        <v>1</v>
      </c>
      <c r="JJ414" s="11"/>
      <c r="JK414" s="11"/>
      <c r="JL414" s="11"/>
      <c r="JM414" s="11"/>
      <c r="JN414" s="11"/>
      <c r="JO414" s="11"/>
      <c r="JP414" s="11"/>
      <c r="JQ414" s="11"/>
      <c r="JR414" s="11"/>
      <c r="JS414" s="11"/>
      <c r="JT414" s="11"/>
      <c r="JU414" s="11"/>
      <c r="JV414" s="11"/>
      <c r="JW414" s="11"/>
      <c r="JX414" s="11"/>
      <c r="JY414" s="11"/>
      <c r="JZ414" s="11"/>
      <c r="KA414" s="11"/>
      <c r="KB414" s="11"/>
      <c r="KC414" s="11"/>
      <c r="KD414" s="11"/>
      <c r="KE414" s="11"/>
      <c r="KF414" s="11"/>
      <c r="KG414" s="11"/>
      <c r="KH414" s="11"/>
      <c r="KI414" s="11"/>
      <c r="KJ414" s="11"/>
      <c r="KK414" s="11"/>
      <c r="KL414" s="11"/>
      <c r="KM414" s="11"/>
      <c r="KN414" s="11"/>
      <c r="KO414" s="11"/>
      <c r="KP414" s="11"/>
      <c r="KQ414" s="11"/>
      <c r="KR414" s="11"/>
      <c r="KS414" s="11"/>
      <c r="KT414" s="11"/>
      <c r="KU414" s="11"/>
      <c r="KV414" s="11"/>
      <c r="KW414" s="11"/>
      <c r="KX414" s="11"/>
      <c r="KY414" s="11"/>
      <c r="KZ414" s="11"/>
      <c r="LA414" s="11"/>
      <c r="LB414" s="11"/>
      <c r="LC414" s="11"/>
      <c r="LD414" s="11"/>
      <c r="LE414" s="11"/>
      <c r="LF414" s="11"/>
      <c r="LG414" s="11"/>
      <c r="LH414" s="11"/>
      <c r="LI414" s="11"/>
      <c r="LJ414" s="11"/>
      <c r="LK414" s="11"/>
      <c r="LL414" s="11"/>
      <c r="LM414" s="11"/>
      <c r="LN414" s="11"/>
      <c r="LO414" s="11"/>
      <c r="LP414" s="11"/>
      <c r="LQ414" s="11"/>
      <c r="LR414" s="11"/>
      <c r="LS414" s="11"/>
      <c r="LT414" s="11"/>
      <c r="LU414" s="11"/>
      <c r="LV414" s="11"/>
      <c r="LW414" s="11"/>
      <c r="LX414" s="11"/>
      <c r="LY414" s="11"/>
      <c r="LZ414" s="11"/>
      <c r="MA414" s="11"/>
      <c r="MB414" s="11"/>
      <c r="MC414" s="11"/>
      <c r="MD414" s="11"/>
      <c r="ME414" s="11"/>
      <c r="MF414" s="11"/>
      <c r="MG414" s="11"/>
      <c r="MH414" s="11"/>
      <c r="MI414" s="11"/>
      <c r="MJ414" s="11"/>
      <c r="MK414" s="11"/>
      <c r="ML414" s="11"/>
      <c r="MM414" s="11"/>
      <c r="MN414" s="11"/>
      <c r="MO414" s="11"/>
      <c r="MP414" s="11"/>
      <c r="MQ414" s="11"/>
      <c r="MR414" s="11"/>
      <c r="MS414" s="11"/>
      <c r="MT414" s="11"/>
      <c r="MU414" s="11"/>
      <c r="MV414" s="11"/>
      <c r="MW414" s="11"/>
      <c r="MX414" s="11"/>
      <c r="MY414" s="11"/>
      <c r="MZ414" s="11"/>
      <c r="NA414" s="11"/>
      <c r="NB414" s="11"/>
      <c r="NC414" s="11"/>
      <c r="ND414" s="11"/>
      <c r="NE414" s="11"/>
      <c r="NF414" s="11"/>
      <c r="NG414" s="11"/>
      <c r="NH414" s="11"/>
      <c r="NI414" s="11"/>
      <c r="NJ414" s="11"/>
      <c r="NK414" s="11"/>
      <c r="NL414" s="11"/>
      <c r="NM414" s="11"/>
      <c r="NN414" s="11"/>
      <c r="NO414" s="11"/>
      <c r="NP414" s="11"/>
      <c r="NQ414" s="11"/>
      <c r="NR414" s="11"/>
      <c r="NS414" s="11"/>
      <c r="NT414" s="11"/>
      <c r="NU414" s="11"/>
      <c r="NV414" s="11"/>
      <c r="NW414" s="11"/>
      <c r="NX414" s="11"/>
      <c r="NY414" s="11"/>
      <c r="NZ414" s="11"/>
      <c r="OA414" s="11"/>
      <c r="OB414" s="11"/>
      <c r="OC414" s="11"/>
      <c r="OD414" s="11"/>
      <c r="OE414" s="11"/>
      <c r="OF414" s="11"/>
      <c r="OG414" s="11"/>
      <c r="OH414" s="11"/>
      <c r="OI414" s="11"/>
      <c r="OJ414" s="11"/>
      <c r="OK414" s="11"/>
      <c r="OL414" s="11"/>
      <c r="OM414" s="11"/>
      <c r="ON414" s="11"/>
      <c r="OO414" s="11"/>
      <c r="OP414" s="11"/>
      <c r="OQ414" s="11"/>
      <c r="OR414" s="11"/>
      <c r="OS414" s="11"/>
      <c r="OT414" s="11"/>
      <c r="OU414" s="11"/>
      <c r="OV414" s="11"/>
      <c r="OW414" s="11"/>
      <c r="OX414" s="11"/>
      <c r="OY414" s="11"/>
      <c r="OZ414" s="11"/>
      <c r="PA414" s="11"/>
      <c r="PB414" s="11"/>
      <c r="PC414" s="11"/>
      <c r="PD414" s="11"/>
      <c r="PE414" s="11"/>
      <c r="PF414" s="11"/>
      <c r="PG414" s="11"/>
      <c r="PH414" s="11"/>
      <c r="PI414" s="11"/>
      <c r="PJ414" s="11"/>
      <c r="PK414" s="11"/>
      <c r="PL414" s="11"/>
      <c r="PM414" s="11"/>
      <c r="PN414" s="11"/>
      <c r="PO414" s="11"/>
      <c r="PP414" s="11"/>
      <c r="PQ414" s="11"/>
      <c r="PR414" s="11"/>
      <c r="PS414" s="11"/>
      <c r="PT414" s="11"/>
      <c r="PU414" s="11"/>
      <c r="PV414" s="11"/>
      <c r="PW414" s="11"/>
      <c r="PX414" s="11"/>
      <c r="PY414" s="11"/>
      <c r="PZ414" s="11"/>
      <c r="QA414" s="11"/>
      <c r="QB414" s="11"/>
      <c r="QC414" s="11"/>
      <c r="QD414" s="11"/>
      <c r="QE414" s="11"/>
      <c r="QF414" s="11"/>
      <c r="QG414" s="11"/>
      <c r="QH414" s="11"/>
      <c r="QI414" s="11"/>
      <c r="QJ414" s="11"/>
      <c r="QK414" s="11"/>
      <c r="QL414" s="11"/>
      <c r="QM414" s="11"/>
      <c r="QN414" s="11"/>
      <c r="QO414" s="11"/>
      <c r="QP414" s="11"/>
      <c r="QQ414" s="11"/>
      <c r="QR414" s="11"/>
      <c r="QS414" s="11"/>
      <c r="QT414" s="11"/>
      <c r="QU414" s="11"/>
      <c r="QV414" s="11"/>
      <c r="QW414" s="11"/>
      <c r="QX414" s="11"/>
      <c r="QY414" s="11"/>
      <c r="QZ414" s="11"/>
      <c r="RA414" s="11"/>
      <c r="RB414" s="11"/>
      <c r="RC414" s="11"/>
      <c r="RD414" s="11"/>
      <c r="RE414" s="11"/>
      <c r="RF414" s="11"/>
      <c r="RG414" s="11"/>
      <c r="RH414" s="11"/>
      <c r="RI414" s="11"/>
      <c r="RJ414" s="11"/>
      <c r="RK414" s="11"/>
      <c r="RL414" s="11"/>
      <c r="RM414" s="11"/>
      <c r="RN414" s="11"/>
      <c r="RO414" s="11"/>
      <c r="RP414" s="11"/>
      <c r="RQ414" s="11"/>
      <c r="RR414" s="11"/>
      <c r="RS414" s="11"/>
      <c r="RT414" s="11"/>
      <c r="RU414" s="11"/>
      <c r="RV414" s="11"/>
      <c r="RW414" s="11"/>
      <c r="RX414" s="11"/>
      <c r="RY414" s="11"/>
      <c r="RZ414" s="11"/>
      <c r="SA414" s="11"/>
      <c r="SB414" s="11"/>
      <c r="SC414" s="11"/>
      <c r="SD414" s="11"/>
      <c r="SE414" s="11"/>
      <c r="SF414" s="11"/>
      <c r="SG414" s="11"/>
      <c r="SH414" s="11">
        <v>1</v>
      </c>
    </row>
    <row r="415" spans="1:502" x14ac:dyDescent="0.2">
      <c r="A415" s="10">
        <v>4.446897508613467E-2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  <c r="GP415" s="11"/>
      <c r="GQ415" s="11"/>
      <c r="GR415" s="11"/>
      <c r="GS415" s="11"/>
      <c r="GT415" s="11"/>
      <c r="GU415" s="11"/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/>
      <c r="HG415" s="11"/>
      <c r="HH415" s="11"/>
      <c r="HI415" s="11"/>
      <c r="HJ415" s="11"/>
      <c r="HK415" s="11"/>
      <c r="HL415" s="11"/>
      <c r="HM415" s="11"/>
      <c r="HN415" s="11"/>
      <c r="HO415" s="11"/>
      <c r="HP415" s="11"/>
      <c r="HQ415" s="11"/>
      <c r="HR415" s="11"/>
      <c r="HS415" s="11"/>
      <c r="HT415" s="11"/>
      <c r="HU415" s="11"/>
      <c r="HV415" s="11"/>
      <c r="HW415" s="11"/>
      <c r="HX415" s="11"/>
      <c r="HY415" s="11"/>
      <c r="HZ415" s="11"/>
      <c r="IA415" s="11"/>
      <c r="IB415" s="11"/>
      <c r="IC415" s="11"/>
      <c r="ID415" s="11"/>
      <c r="IE415" s="11"/>
      <c r="IF415" s="11"/>
      <c r="IG415" s="11"/>
      <c r="IH415" s="11"/>
      <c r="II415" s="11"/>
      <c r="IJ415" s="11"/>
      <c r="IK415" s="11"/>
      <c r="IL415" s="11"/>
      <c r="IM415" s="11"/>
      <c r="IN415" s="11"/>
      <c r="IO415" s="11"/>
      <c r="IP415" s="11"/>
      <c r="IQ415" s="11"/>
      <c r="IR415" s="11"/>
      <c r="IS415" s="11"/>
      <c r="IT415" s="11"/>
      <c r="IU415" s="11"/>
      <c r="IV415" s="11"/>
      <c r="IW415" s="11"/>
      <c r="IX415" s="11"/>
      <c r="IY415" s="11"/>
      <c r="IZ415" s="11"/>
      <c r="JA415" s="11"/>
      <c r="JB415" s="11"/>
      <c r="JC415" s="11"/>
      <c r="JD415" s="11"/>
      <c r="JE415" s="11"/>
      <c r="JF415" s="11"/>
      <c r="JG415" s="11"/>
      <c r="JH415" s="11"/>
      <c r="JI415" s="11"/>
      <c r="JJ415" s="11"/>
      <c r="JK415" s="11"/>
      <c r="JL415" s="11"/>
      <c r="JM415" s="11"/>
      <c r="JN415" s="11"/>
      <c r="JO415" s="11"/>
      <c r="JP415" s="11"/>
      <c r="JQ415" s="11"/>
      <c r="JR415" s="11"/>
      <c r="JS415" s="11"/>
      <c r="JT415" s="11"/>
      <c r="JU415" s="11"/>
      <c r="JV415" s="11"/>
      <c r="JW415" s="11"/>
      <c r="JX415" s="11"/>
      <c r="JY415" s="11"/>
      <c r="JZ415" s="11"/>
      <c r="KA415" s="11"/>
      <c r="KB415" s="11"/>
      <c r="KC415" s="11"/>
      <c r="KD415" s="11"/>
      <c r="KE415" s="11"/>
      <c r="KF415" s="11"/>
      <c r="KG415" s="11"/>
      <c r="KH415" s="11"/>
      <c r="KI415" s="11"/>
      <c r="KJ415" s="11"/>
      <c r="KK415" s="11"/>
      <c r="KL415" s="11"/>
      <c r="KM415" s="11"/>
      <c r="KN415" s="11"/>
      <c r="KO415" s="11"/>
      <c r="KP415" s="11"/>
      <c r="KQ415" s="11"/>
      <c r="KR415" s="11"/>
      <c r="KS415" s="11"/>
      <c r="KT415" s="11"/>
      <c r="KU415" s="11"/>
      <c r="KV415" s="11"/>
      <c r="KW415" s="11"/>
      <c r="KX415" s="11"/>
      <c r="KY415" s="11"/>
      <c r="KZ415" s="11"/>
      <c r="LA415" s="11"/>
      <c r="LB415" s="11"/>
      <c r="LC415" s="11"/>
      <c r="LD415" s="11"/>
      <c r="LE415" s="11"/>
      <c r="LF415" s="11"/>
      <c r="LG415" s="11"/>
      <c r="LH415" s="11"/>
      <c r="LI415" s="11"/>
      <c r="LJ415" s="11"/>
      <c r="LK415" s="11"/>
      <c r="LL415" s="11"/>
      <c r="LM415" s="11"/>
      <c r="LN415" s="11"/>
      <c r="LO415" s="11"/>
      <c r="LP415" s="11"/>
      <c r="LQ415" s="11"/>
      <c r="LR415" s="11"/>
      <c r="LS415" s="11"/>
      <c r="LT415" s="11"/>
      <c r="LU415" s="11"/>
      <c r="LV415" s="11"/>
      <c r="LW415" s="11"/>
      <c r="LX415" s="11"/>
      <c r="LY415" s="11"/>
      <c r="LZ415" s="11"/>
      <c r="MA415" s="11"/>
      <c r="MB415" s="11"/>
      <c r="MC415" s="11"/>
      <c r="MD415" s="11"/>
      <c r="ME415" s="11"/>
      <c r="MF415" s="11"/>
      <c r="MG415" s="11"/>
      <c r="MH415" s="11"/>
      <c r="MI415" s="11"/>
      <c r="MJ415" s="11"/>
      <c r="MK415" s="11"/>
      <c r="ML415" s="11"/>
      <c r="MM415" s="11"/>
      <c r="MN415" s="11"/>
      <c r="MO415" s="11"/>
      <c r="MP415" s="11"/>
      <c r="MQ415" s="11"/>
      <c r="MR415" s="11"/>
      <c r="MS415" s="11"/>
      <c r="MT415" s="11"/>
      <c r="MU415" s="11"/>
      <c r="MV415" s="11"/>
      <c r="MW415" s="11"/>
      <c r="MX415" s="11"/>
      <c r="MY415" s="11"/>
      <c r="MZ415" s="11"/>
      <c r="NA415" s="11"/>
      <c r="NB415" s="11"/>
      <c r="NC415" s="11"/>
      <c r="ND415" s="11"/>
      <c r="NE415" s="11"/>
      <c r="NF415" s="11"/>
      <c r="NG415" s="11"/>
      <c r="NH415" s="11"/>
      <c r="NI415" s="11"/>
      <c r="NJ415" s="11"/>
      <c r="NK415" s="11"/>
      <c r="NL415" s="11"/>
      <c r="NM415" s="11"/>
      <c r="NN415" s="11"/>
      <c r="NO415" s="11"/>
      <c r="NP415" s="11"/>
      <c r="NQ415" s="11"/>
      <c r="NR415" s="11"/>
      <c r="NS415" s="11"/>
      <c r="NT415" s="11">
        <v>1</v>
      </c>
      <c r="NU415" s="11"/>
      <c r="NV415" s="11"/>
      <c r="NW415" s="11"/>
      <c r="NX415" s="11"/>
      <c r="NY415" s="11"/>
      <c r="NZ415" s="11"/>
      <c r="OA415" s="11"/>
      <c r="OB415" s="11"/>
      <c r="OC415" s="11"/>
      <c r="OD415" s="11"/>
      <c r="OE415" s="11"/>
      <c r="OF415" s="11"/>
      <c r="OG415" s="11"/>
      <c r="OH415" s="11"/>
      <c r="OI415" s="11"/>
      <c r="OJ415" s="11"/>
      <c r="OK415" s="11"/>
      <c r="OL415" s="11"/>
      <c r="OM415" s="11"/>
      <c r="ON415" s="11"/>
      <c r="OO415" s="11"/>
      <c r="OP415" s="11"/>
      <c r="OQ415" s="11"/>
      <c r="OR415" s="11"/>
      <c r="OS415" s="11"/>
      <c r="OT415" s="11"/>
      <c r="OU415" s="11"/>
      <c r="OV415" s="11"/>
      <c r="OW415" s="11"/>
      <c r="OX415" s="11"/>
      <c r="OY415" s="11"/>
      <c r="OZ415" s="11"/>
      <c r="PA415" s="11"/>
      <c r="PB415" s="11"/>
      <c r="PC415" s="11"/>
      <c r="PD415" s="11"/>
      <c r="PE415" s="11"/>
      <c r="PF415" s="11"/>
      <c r="PG415" s="11"/>
      <c r="PH415" s="11"/>
      <c r="PI415" s="11"/>
      <c r="PJ415" s="11"/>
      <c r="PK415" s="11"/>
      <c r="PL415" s="11"/>
      <c r="PM415" s="11"/>
      <c r="PN415" s="11"/>
      <c r="PO415" s="11"/>
      <c r="PP415" s="11"/>
      <c r="PQ415" s="11"/>
      <c r="PR415" s="11"/>
      <c r="PS415" s="11"/>
      <c r="PT415" s="11"/>
      <c r="PU415" s="11"/>
      <c r="PV415" s="11"/>
      <c r="PW415" s="11"/>
      <c r="PX415" s="11"/>
      <c r="PY415" s="11"/>
      <c r="PZ415" s="11"/>
      <c r="QA415" s="11"/>
      <c r="QB415" s="11"/>
      <c r="QC415" s="11"/>
      <c r="QD415" s="11"/>
      <c r="QE415" s="11"/>
      <c r="QF415" s="11"/>
      <c r="QG415" s="11"/>
      <c r="QH415" s="11"/>
      <c r="QI415" s="11"/>
      <c r="QJ415" s="11"/>
      <c r="QK415" s="11"/>
      <c r="QL415" s="11"/>
      <c r="QM415" s="11"/>
      <c r="QN415" s="11"/>
      <c r="QO415" s="11"/>
      <c r="QP415" s="11"/>
      <c r="QQ415" s="11"/>
      <c r="QR415" s="11"/>
      <c r="QS415" s="11"/>
      <c r="QT415" s="11"/>
      <c r="QU415" s="11"/>
      <c r="QV415" s="11"/>
      <c r="QW415" s="11"/>
      <c r="QX415" s="11"/>
      <c r="QY415" s="11"/>
      <c r="QZ415" s="11"/>
      <c r="RA415" s="11"/>
      <c r="RB415" s="11"/>
      <c r="RC415" s="11"/>
      <c r="RD415" s="11"/>
      <c r="RE415" s="11"/>
      <c r="RF415" s="11"/>
      <c r="RG415" s="11"/>
      <c r="RH415" s="11"/>
      <c r="RI415" s="11"/>
      <c r="RJ415" s="11"/>
      <c r="RK415" s="11"/>
      <c r="RL415" s="11"/>
      <c r="RM415" s="11"/>
      <c r="RN415" s="11"/>
      <c r="RO415" s="11"/>
      <c r="RP415" s="11"/>
      <c r="RQ415" s="11"/>
      <c r="RR415" s="11"/>
      <c r="RS415" s="11"/>
      <c r="RT415" s="11"/>
      <c r="RU415" s="11"/>
      <c r="RV415" s="11"/>
      <c r="RW415" s="11"/>
      <c r="RX415" s="11"/>
      <c r="RY415" s="11"/>
      <c r="RZ415" s="11"/>
      <c r="SA415" s="11"/>
      <c r="SB415" s="11"/>
      <c r="SC415" s="11"/>
      <c r="SD415" s="11"/>
      <c r="SE415" s="11"/>
      <c r="SF415" s="11"/>
      <c r="SG415" s="11"/>
      <c r="SH415" s="11">
        <v>1</v>
      </c>
    </row>
    <row r="416" spans="1:502" x14ac:dyDescent="0.2">
      <c r="A416" s="10">
        <v>4.4540963073781033E-2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/>
      <c r="GU416" s="11"/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/>
      <c r="HG416" s="11"/>
      <c r="HH416" s="11"/>
      <c r="HI416" s="11"/>
      <c r="HJ416" s="11"/>
      <c r="HK416" s="11"/>
      <c r="HL416" s="11"/>
      <c r="HM416" s="11"/>
      <c r="HN416" s="11"/>
      <c r="HO416" s="11"/>
      <c r="HP416" s="11"/>
      <c r="HQ416" s="11"/>
      <c r="HR416" s="11"/>
      <c r="HS416" s="11"/>
      <c r="HT416" s="11"/>
      <c r="HU416" s="11"/>
      <c r="HV416" s="11"/>
      <c r="HW416" s="11"/>
      <c r="HX416" s="11"/>
      <c r="HY416" s="11"/>
      <c r="HZ416" s="11"/>
      <c r="IA416" s="11"/>
      <c r="IB416" s="11"/>
      <c r="IC416" s="11"/>
      <c r="ID416" s="11"/>
      <c r="IE416" s="11"/>
      <c r="IF416" s="11"/>
      <c r="IG416" s="11"/>
      <c r="IH416" s="11"/>
      <c r="II416" s="11"/>
      <c r="IJ416" s="11"/>
      <c r="IK416" s="11"/>
      <c r="IL416" s="11"/>
      <c r="IM416" s="11"/>
      <c r="IN416" s="11"/>
      <c r="IO416" s="11"/>
      <c r="IP416" s="11"/>
      <c r="IQ416" s="11"/>
      <c r="IR416" s="11"/>
      <c r="IS416" s="11"/>
      <c r="IT416" s="11"/>
      <c r="IU416" s="11"/>
      <c r="IV416" s="11"/>
      <c r="IW416" s="11"/>
      <c r="IX416" s="11"/>
      <c r="IY416" s="11"/>
      <c r="IZ416" s="11"/>
      <c r="JA416" s="11"/>
      <c r="JB416" s="11"/>
      <c r="JC416" s="11"/>
      <c r="JD416" s="11"/>
      <c r="JE416" s="11"/>
      <c r="JF416" s="11"/>
      <c r="JG416" s="11"/>
      <c r="JH416" s="11"/>
      <c r="JI416" s="11"/>
      <c r="JJ416" s="11"/>
      <c r="JK416" s="11"/>
      <c r="JL416" s="11"/>
      <c r="JM416" s="11"/>
      <c r="JN416" s="11"/>
      <c r="JO416" s="11"/>
      <c r="JP416" s="11"/>
      <c r="JQ416" s="11"/>
      <c r="JR416" s="11"/>
      <c r="JS416" s="11"/>
      <c r="JT416" s="11"/>
      <c r="JU416" s="11"/>
      <c r="JV416" s="11"/>
      <c r="JW416" s="11"/>
      <c r="JX416" s="11"/>
      <c r="JY416" s="11"/>
      <c r="JZ416" s="11"/>
      <c r="KA416" s="11"/>
      <c r="KB416" s="11"/>
      <c r="KC416" s="11"/>
      <c r="KD416" s="11"/>
      <c r="KE416" s="11"/>
      <c r="KF416" s="11"/>
      <c r="KG416" s="11"/>
      <c r="KH416" s="11"/>
      <c r="KI416" s="11"/>
      <c r="KJ416" s="11"/>
      <c r="KK416" s="11"/>
      <c r="KL416" s="11"/>
      <c r="KM416" s="11"/>
      <c r="KN416" s="11"/>
      <c r="KO416" s="11"/>
      <c r="KP416" s="11"/>
      <c r="KQ416" s="11"/>
      <c r="KR416" s="11"/>
      <c r="KS416" s="11"/>
      <c r="KT416" s="11"/>
      <c r="KU416" s="11"/>
      <c r="KV416" s="11"/>
      <c r="KW416" s="11"/>
      <c r="KX416" s="11"/>
      <c r="KY416" s="11"/>
      <c r="KZ416" s="11"/>
      <c r="LA416" s="11"/>
      <c r="LB416" s="11"/>
      <c r="LC416" s="11"/>
      <c r="LD416" s="11"/>
      <c r="LE416" s="11"/>
      <c r="LF416" s="11"/>
      <c r="LG416" s="11"/>
      <c r="LH416" s="11"/>
      <c r="LI416" s="11"/>
      <c r="LJ416" s="11"/>
      <c r="LK416" s="11"/>
      <c r="LL416" s="11"/>
      <c r="LM416" s="11"/>
      <c r="LN416" s="11">
        <v>1</v>
      </c>
      <c r="LO416" s="11"/>
      <c r="LP416" s="11"/>
      <c r="LQ416" s="11"/>
      <c r="LR416" s="11"/>
      <c r="LS416" s="11"/>
      <c r="LT416" s="11"/>
      <c r="LU416" s="11"/>
      <c r="LV416" s="11"/>
      <c r="LW416" s="11"/>
      <c r="LX416" s="11"/>
      <c r="LY416" s="11"/>
      <c r="LZ416" s="11"/>
      <c r="MA416" s="11"/>
      <c r="MB416" s="11"/>
      <c r="MC416" s="11"/>
      <c r="MD416" s="11"/>
      <c r="ME416" s="11"/>
      <c r="MF416" s="11"/>
      <c r="MG416" s="11"/>
      <c r="MH416" s="11"/>
      <c r="MI416" s="11"/>
      <c r="MJ416" s="11"/>
      <c r="MK416" s="11"/>
      <c r="ML416" s="11"/>
      <c r="MM416" s="11"/>
      <c r="MN416" s="11"/>
      <c r="MO416" s="11"/>
      <c r="MP416" s="11"/>
      <c r="MQ416" s="11"/>
      <c r="MR416" s="11"/>
      <c r="MS416" s="11"/>
      <c r="MT416" s="11"/>
      <c r="MU416" s="11"/>
      <c r="MV416" s="11"/>
      <c r="MW416" s="11"/>
      <c r="MX416" s="11"/>
      <c r="MY416" s="11"/>
      <c r="MZ416" s="11"/>
      <c r="NA416" s="11"/>
      <c r="NB416" s="11"/>
      <c r="NC416" s="11"/>
      <c r="ND416" s="11"/>
      <c r="NE416" s="11"/>
      <c r="NF416" s="11"/>
      <c r="NG416" s="11"/>
      <c r="NH416" s="11"/>
      <c r="NI416" s="11"/>
      <c r="NJ416" s="11"/>
      <c r="NK416" s="11"/>
      <c r="NL416" s="11"/>
      <c r="NM416" s="11"/>
      <c r="NN416" s="11"/>
      <c r="NO416" s="11"/>
      <c r="NP416" s="11"/>
      <c r="NQ416" s="11"/>
      <c r="NR416" s="11"/>
      <c r="NS416" s="11"/>
      <c r="NT416" s="11"/>
      <c r="NU416" s="11"/>
      <c r="NV416" s="11"/>
      <c r="NW416" s="11"/>
      <c r="NX416" s="11"/>
      <c r="NY416" s="11"/>
      <c r="NZ416" s="11"/>
      <c r="OA416" s="11"/>
      <c r="OB416" s="11"/>
      <c r="OC416" s="11"/>
      <c r="OD416" s="11"/>
      <c r="OE416" s="11"/>
      <c r="OF416" s="11"/>
      <c r="OG416" s="11"/>
      <c r="OH416" s="11"/>
      <c r="OI416" s="11"/>
      <c r="OJ416" s="11"/>
      <c r="OK416" s="11"/>
      <c r="OL416" s="11"/>
      <c r="OM416" s="11"/>
      <c r="ON416" s="11"/>
      <c r="OO416" s="11"/>
      <c r="OP416" s="11"/>
      <c r="OQ416" s="11"/>
      <c r="OR416" s="11"/>
      <c r="OS416" s="11"/>
      <c r="OT416" s="11"/>
      <c r="OU416" s="11"/>
      <c r="OV416" s="11"/>
      <c r="OW416" s="11"/>
      <c r="OX416" s="11"/>
      <c r="OY416" s="11"/>
      <c r="OZ416" s="11"/>
      <c r="PA416" s="11"/>
      <c r="PB416" s="11"/>
      <c r="PC416" s="11"/>
      <c r="PD416" s="11"/>
      <c r="PE416" s="11"/>
      <c r="PF416" s="11"/>
      <c r="PG416" s="11"/>
      <c r="PH416" s="11"/>
      <c r="PI416" s="11"/>
      <c r="PJ416" s="11"/>
      <c r="PK416" s="11"/>
      <c r="PL416" s="11"/>
      <c r="PM416" s="11"/>
      <c r="PN416" s="11"/>
      <c r="PO416" s="11"/>
      <c r="PP416" s="11"/>
      <c r="PQ416" s="11"/>
      <c r="PR416" s="11"/>
      <c r="PS416" s="11"/>
      <c r="PT416" s="11"/>
      <c r="PU416" s="11"/>
      <c r="PV416" s="11"/>
      <c r="PW416" s="11"/>
      <c r="PX416" s="11"/>
      <c r="PY416" s="11"/>
      <c r="PZ416" s="11"/>
      <c r="QA416" s="11"/>
      <c r="QB416" s="11"/>
      <c r="QC416" s="11"/>
      <c r="QD416" s="11"/>
      <c r="QE416" s="11"/>
      <c r="QF416" s="11"/>
      <c r="QG416" s="11"/>
      <c r="QH416" s="11"/>
      <c r="QI416" s="11"/>
      <c r="QJ416" s="11"/>
      <c r="QK416" s="11"/>
      <c r="QL416" s="11"/>
      <c r="QM416" s="11"/>
      <c r="QN416" s="11"/>
      <c r="QO416" s="11"/>
      <c r="QP416" s="11"/>
      <c r="QQ416" s="11"/>
      <c r="QR416" s="11"/>
      <c r="QS416" s="11"/>
      <c r="QT416" s="11"/>
      <c r="QU416" s="11"/>
      <c r="QV416" s="11"/>
      <c r="QW416" s="11"/>
      <c r="QX416" s="11"/>
      <c r="QY416" s="11"/>
      <c r="QZ416" s="11"/>
      <c r="RA416" s="11"/>
      <c r="RB416" s="11"/>
      <c r="RC416" s="11"/>
      <c r="RD416" s="11"/>
      <c r="RE416" s="11"/>
      <c r="RF416" s="11"/>
      <c r="RG416" s="11"/>
      <c r="RH416" s="11"/>
      <c r="RI416" s="11"/>
      <c r="RJ416" s="11"/>
      <c r="RK416" s="11"/>
      <c r="RL416" s="11"/>
      <c r="RM416" s="11"/>
      <c r="RN416" s="11"/>
      <c r="RO416" s="11"/>
      <c r="RP416" s="11"/>
      <c r="RQ416" s="11"/>
      <c r="RR416" s="11"/>
      <c r="RS416" s="11"/>
      <c r="RT416" s="11"/>
      <c r="RU416" s="11"/>
      <c r="RV416" s="11"/>
      <c r="RW416" s="11"/>
      <c r="RX416" s="11"/>
      <c r="RY416" s="11"/>
      <c r="RZ416" s="11"/>
      <c r="SA416" s="11"/>
      <c r="SB416" s="11"/>
      <c r="SC416" s="11"/>
      <c r="SD416" s="11"/>
      <c r="SE416" s="11"/>
      <c r="SF416" s="11"/>
      <c r="SG416" s="11"/>
      <c r="SH416" s="11">
        <v>1</v>
      </c>
    </row>
    <row r="417" spans="1:502" x14ac:dyDescent="0.2">
      <c r="A417" s="10">
        <v>4.4608832101432808E-2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  <c r="GP417" s="11"/>
      <c r="GQ417" s="11"/>
      <c r="GR417" s="11"/>
      <c r="GS417" s="11"/>
      <c r="GT417" s="11"/>
      <c r="GU417" s="11"/>
      <c r="GV417" s="11"/>
      <c r="GW417" s="11"/>
      <c r="GX417" s="11"/>
      <c r="GY417" s="11"/>
      <c r="GZ417" s="11"/>
      <c r="HA417" s="11"/>
      <c r="HB417" s="11"/>
      <c r="HC417" s="11"/>
      <c r="HD417" s="11"/>
      <c r="HE417" s="11"/>
      <c r="HF417" s="11"/>
      <c r="HG417" s="11"/>
      <c r="HH417" s="11"/>
      <c r="HI417" s="11"/>
      <c r="HJ417" s="11"/>
      <c r="HK417" s="11"/>
      <c r="HL417" s="11"/>
      <c r="HM417" s="11"/>
      <c r="HN417" s="11"/>
      <c r="HO417" s="11"/>
      <c r="HP417" s="11"/>
      <c r="HQ417" s="11"/>
      <c r="HR417" s="11"/>
      <c r="HS417" s="11"/>
      <c r="HT417" s="11"/>
      <c r="HU417" s="11"/>
      <c r="HV417" s="11"/>
      <c r="HW417" s="11"/>
      <c r="HX417" s="11"/>
      <c r="HY417" s="11"/>
      <c r="HZ417" s="11"/>
      <c r="IA417" s="11"/>
      <c r="IB417" s="11"/>
      <c r="IC417" s="11"/>
      <c r="ID417" s="11"/>
      <c r="IE417" s="11"/>
      <c r="IF417" s="11"/>
      <c r="IG417" s="11"/>
      <c r="IH417" s="11"/>
      <c r="II417" s="11"/>
      <c r="IJ417" s="11"/>
      <c r="IK417" s="11"/>
      <c r="IL417" s="11"/>
      <c r="IM417" s="11"/>
      <c r="IN417" s="11"/>
      <c r="IO417" s="11"/>
      <c r="IP417" s="11"/>
      <c r="IQ417" s="11"/>
      <c r="IR417" s="11"/>
      <c r="IS417" s="11"/>
      <c r="IT417" s="11"/>
      <c r="IU417" s="11"/>
      <c r="IV417" s="11"/>
      <c r="IW417" s="11"/>
      <c r="IX417" s="11"/>
      <c r="IY417" s="11"/>
      <c r="IZ417" s="11"/>
      <c r="JA417" s="11"/>
      <c r="JB417" s="11"/>
      <c r="JC417" s="11"/>
      <c r="JD417" s="11"/>
      <c r="JE417" s="11"/>
      <c r="JF417" s="11"/>
      <c r="JG417" s="11"/>
      <c r="JH417" s="11"/>
      <c r="JI417" s="11"/>
      <c r="JJ417" s="11"/>
      <c r="JK417" s="11"/>
      <c r="JL417" s="11"/>
      <c r="JM417" s="11"/>
      <c r="JN417" s="11"/>
      <c r="JO417" s="11"/>
      <c r="JP417" s="11"/>
      <c r="JQ417" s="11"/>
      <c r="JR417" s="11"/>
      <c r="JS417" s="11"/>
      <c r="JT417" s="11"/>
      <c r="JU417" s="11"/>
      <c r="JV417" s="11"/>
      <c r="JW417" s="11"/>
      <c r="JX417" s="11"/>
      <c r="JY417" s="11"/>
      <c r="JZ417" s="11"/>
      <c r="KA417" s="11"/>
      <c r="KB417" s="11"/>
      <c r="KC417" s="11"/>
      <c r="KD417" s="11"/>
      <c r="KE417" s="11"/>
      <c r="KF417" s="11"/>
      <c r="KG417" s="11"/>
      <c r="KH417" s="11"/>
      <c r="KI417" s="11"/>
      <c r="KJ417" s="11"/>
      <c r="KK417" s="11"/>
      <c r="KL417" s="11"/>
      <c r="KM417" s="11"/>
      <c r="KN417" s="11"/>
      <c r="KO417" s="11"/>
      <c r="KP417" s="11"/>
      <c r="KQ417" s="11"/>
      <c r="KR417" s="11"/>
      <c r="KS417" s="11"/>
      <c r="KT417" s="11"/>
      <c r="KU417" s="11"/>
      <c r="KV417" s="11"/>
      <c r="KW417" s="11"/>
      <c r="KX417" s="11"/>
      <c r="KY417" s="11"/>
      <c r="KZ417" s="11"/>
      <c r="LA417" s="11"/>
      <c r="LB417" s="11"/>
      <c r="LC417" s="11"/>
      <c r="LD417" s="11"/>
      <c r="LE417" s="11"/>
      <c r="LF417" s="11"/>
      <c r="LG417" s="11"/>
      <c r="LH417" s="11"/>
      <c r="LI417" s="11"/>
      <c r="LJ417" s="11"/>
      <c r="LK417" s="11"/>
      <c r="LL417" s="11"/>
      <c r="LM417" s="11"/>
      <c r="LN417" s="11"/>
      <c r="LO417" s="11"/>
      <c r="LP417" s="11"/>
      <c r="LQ417" s="11"/>
      <c r="LR417" s="11"/>
      <c r="LS417" s="11"/>
      <c r="LT417" s="11"/>
      <c r="LU417" s="11"/>
      <c r="LV417" s="11"/>
      <c r="LW417" s="11"/>
      <c r="LX417" s="11"/>
      <c r="LY417" s="11"/>
      <c r="LZ417" s="11"/>
      <c r="MA417" s="11"/>
      <c r="MB417" s="11"/>
      <c r="MC417" s="11"/>
      <c r="MD417" s="11"/>
      <c r="ME417" s="11"/>
      <c r="MF417" s="11"/>
      <c r="MG417" s="11"/>
      <c r="MH417" s="11"/>
      <c r="MI417" s="11"/>
      <c r="MJ417" s="11"/>
      <c r="MK417" s="11"/>
      <c r="ML417" s="11"/>
      <c r="MM417" s="11"/>
      <c r="MN417" s="11"/>
      <c r="MO417" s="11"/>
      <c r="MP417" s="11"/>
      <c r="MQ417" s="11"/>
      <c r="MR417" s="11"/>
      <c r="MS417" s="11"/>
      <c r="MT417" s="11"/>
      <c r="MU417" s="11"/>
      <c r="MV417" s="11"/>
      <c r="MW417" s="11"/>
      <c r="MX417" s="11"/>
      <c r="MY417" s="11"/>
      <c r="MZ417" s="11"/>
      <c r="NA417" s="11"/>
      <c r="NB417" s="11"/>
      <c r="NC417" s="11"/>
      <c r="ND417" s="11"/>
      <c r="NE417" s="11"/>
      <c r="NF417" s="11"/>
      <c r="NG417" s="11"/>
      <c r="NH417" s="11">
        <v>1</v>
      </c>
      <c r="NI417" s="11"/>
      <c r="NJ417" s="11"/>
      <c r="NK417" s="11"/>
      <c r="NL417" s="11"/>
      <c r="NM417" s="11"/>
      <c r="NN417" s="11"/>
      <c r="NO417" s="11"/>
      <c r="NP417" s="11"/>
      <c r="NQ417" s="11"/>
      <c r="NR417" s="11"/>
      <c r="NS417" s="11"/>
      <c r="NT417" s="11"/>
      <c r="NU417" s="11"/>
      <c r="NV417" s="11"/>
      <c r="NW417" s="11"/>
      <c r="NX417" s="11"/>
      <c r="NY417" s="11"/>
      <c r="NZ417" s="11"/>
      <c r="OA417" s="11"/>
      <c r="OB417" s="11"/>
      <c r="OC417" s="11"/>
      <c r="OD417" s="11"/>
      <c r="OE417" s="11"/>
      <c r="OF417" s="11"/>
      <c r="OG417" s="11"/>
      <c r="OH417" s="11"/>
      <c r="OI417" s="11"/>
      <c r="OJ417" s="11"/>
      <c r="OK417" s="11"/>
      <c r="OL417" s="11"/>
      <c r="OM417" s="11"/>
      <c r="ON417" s="11"/>
      <c r="OO417" s="11"/>
      <c r="OP417" s="11"/>
      <c r="OQ417" s="11"/>
      <c r="OR417" s="11"/>
      <c r="OS417" s="11"/>
      <c r="OT417" s="11"/>
      <c r="OU417" s="11"/>
      <c r="OV417" s="11"/>
      <c r="OW417" s="11"/>
      <c r="OX417" s="11"/>
      <c r="OY417" s="11"/>
      <c r="OZ417" s="11"/>
      <c r="PA417" s="11"/>
      <c r="PB417" s="11"/>
      <c r="PC417" s="11"/>
      <c r="PD417" s="11"/>
      <c r="PE417" s="11"/>
      <c r="PF417" s="11"/>
      <c r="PG417" s="11"/>
      <c r="PH417" s="11"/>
      <c r="PI417" s="11"/>
      <c r="PJ417" s="11"/>
      <c r="PK417" s="11"/>
      <c r="PL417" s="11"/>
      <c r="PM417" s="11"/>
      <c r="PN417" s="11"/>
      <c r="PO417" s="11"/>
      <c r="PP417" s="11"/>
      <c r="PQ417" s="11"/>
      <c r="PR417" s="11"/>
      <c r="PS417" s="11"/>
      <c r="PT417" s="11"/>
      <c r="PU417" s="11"/>
      <c r="PV417" s="11"/>
      <c r="PW417" s="11"/>
      <c r="PX417" s="11"/>
      <c r="PY417" s="11"/>
      <c r="PZ417" s="11"/>
      <c r="QA417" s="11"/>
      <c r="QB417" s="11"/>
      <c r="QC417" s="11"/>
      <c r="QD417" s="11"/>
      <c r="QE417" s="11"/>
      <c r="QF417" s="11"/>
      <c r="QG417" s="11"/>
      <c r="QH417" s="11"/>
      <c r="QI417" s="11"/>
      <c r="QJ417" s="11"/>
      <c r="QK417" s="11"/>
      <c r="QL417" s="11"/>
      <c r="QM417" s="11"/>
      <c r="QN417" s="11"/>
      <c r="QO417" s="11"/>
      <c r="QP417" s="11"/>
      <c r="QQ417" s="11"/>
      <c r="QR417" s="11"/>
      <c r="QS417" s="11"/>
      <c r="QT417" s="11"/>
      <c r="QU417" s="11"/>
      <c r="QV417" s="11"/>
      <c r="QW417" s="11"/>
      <c r="QX417" s="11"/>
      <c r="QY417" s="11"/>
      <c r="QZ417" s="11"/>
      <c r="RA417" s="11"/>
      <c r="RB417" s="11"/>
      <c r="RC417" s="11"/>
      <c r="RD417" s="11"/>
      <c r="RE417" s="11"/>
      <c r="RF417" s="11"/>
      <c r="RG417" s="11"/>
      <c r="RH417" s="11"/>
      <c r="RI417" s="11"/>
      <c r="RJ417" s="11"/>
      <c r="RK417" s="11"/>
      <c r="RL417" s="11"/>
      <c r="RM417" s="11"/>
      <c r="RN417" s="11"/>
      <c r="RO417" s="11"/>
      <c r="RP417" s="11"/>
      <c r="RQ417" s="11"/>
      <c r="RR417" s="11"/>
      <c r="RS417" s="11"/>
      <c r="RT417" s="11"/>
      <c r="RU417" s="11"/>
      <c r="RV417" s="11"/>
      <c r="RW417" s="11"/>
      <c r="RX417" s="11"/>
      <c r="RY417" s="11"/>
      <c r="RZ417" s="11"/>
      <c r="SA417" s="11"/>
      <c r="SB417" s="11"/>
      <c r="SC417" s="11"/>
      <c r="SD417" s="11"/>
      <c r="SE417" s="11"/>
      <c r="SF417" s="11"/>
      <c r="SG417" s="11"/>
      <c r="SH417" s="11">
        <v>1</v>
      </c>
    </row>
    <row r="418" spans="1:502" x14ac:dyDescent="0.2">
      <c r="A418" s="10">
        <v>4.5024045383676055E-2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  <c r="GP418" s="11"/>
      <c r="GQ418" s="11"/>
      <c r="GR418" s="11"/>
      <c r="GS418" s="11"/>
      <c r="GT418" s="11"/>
      <c r="GU418" s="11"/>
      <c r="GV418" s="11"/>
      <c r="GW418" s="11"/>
      <c r="GX418" s="11"/>
      <c r="GY418" s="11"/>
      <c r="GZ418" s="11"/>
      <c r="HA418" s="11"/>
      <c r="HB418" s="11"/>
      <c r="HC418" s="11"/>
      <c r="HD418" s="11"/>
      <c r="HE418" s="11"/>
      <c r="HF418" s="11"/>
      <c r="HG418" s="11"/>
      <c r="HH418" s="11"/>
      <c r="HI418" s="11"/>
      <c r="HJ418" s="11"/>
      <c r="HK418" s="11"/>
      <c r="HL418" s="11"/>
      <c r="HM418" s="11"/>
      <c r="HN418" s="11"/>
      <c r="HO418" s="11"/>
      <c r="HP418" s="11"/>
      <c r="HQ418" s="11"/>
      <c r="HR418" s="11"/>
      <c r="HS418" s="11"/>
      <c r="HT418" s="11"/>
      <c r="HU418" s="11"/>
      <c r="HV418" s="11"/>
      <c r="HW418" s="11"/>
      <c r="HX418" s="11"/>
      <c r="HY418" s="11"/>
      <c r="HZ418" s="11"/>
      <c r="IA418" s="11"/>
      <c r="IB418" s="11"/>
      <c r="IC418" s="11"/>
      <c r="ID418" s="11"/>
      <c r="IE418" s="11"/>
      <c r="IF418" s="11"/>
      <c r="IG418" s="11"/>
      <c r="IH418" s="11"/>
      <c r="II418" s="11"/>
      <c r="IJ418" s="11"/>
      <c r="IK418" s="11"/>
      <c r="IL418" s="11"/>
      <c r="IM418" s="11"/>
      <c r="IN418" s="11"/>
      <c r="IO418" s="11"/>
      <c r="IP418" s="11"/>
      <c r="IQ418" s="11"/>
      <c r="IR418" s="11"/>
      <c r="IS418" s="11"/>
      <c r="IT418" s="11"/>
      <c r="IU418" s="11"/>
      <c r="IV418" s="11"/>
      <c r="IW418" s="11"/>
      <c r="IX418" s="11"/>
      <c r="IY418" s="11"/>
      <c r="IZ418" s="11"/>
      <c r="JA418" s="11"/>
      <c r="JB418" s="11"/>
      <c r="JC418" s="11"/>
      <c r="JD418" s="11"/>
      <c r="JE418" s="11"/>
      <c r="JF418" s="11"/>
      <c r="JG418" s="11"/>
      <c r="JH418" s="11"/>
      <c r="JI418" s="11"/>
      <c r="JJ418" s="11"/>
      <c r="JK418" s="11"/>
      <c r="JL418" s="11"/>
      <c r="JM418" s="11"/>
      <c r="JN418" s="11"/>
      <c r="JO418" s="11"/>
      <c r="JP418" s="11"/>
      <c r="JQ418" s="11"/>
      <c r="JR418" s="11"/>
      <c r="JS418" s="11"/>
      <c r="JT418" s="11"/>
      <c r="JU418" s="11"/>
      <c r="JV418" s="11"/>
      <c r="JW418" s="11"/>
      <c r="JX418" s="11"/>
      <c r="JY418" s="11"/>
      <c r="JZ418" s="11"/>
      <c r="KA418" s="11"/>
      <c r="KB418" s="11"/>
      <c r="KC418" s="11"/>
      <c r="KD418" s="11"/>
      <c r="KE418" s="11"/>
      <c r="KF418" s="11"/>
      <c r="KG418" s="11"/>
      <c r="KH418" s="11"/>
      <c r="KI418" s="11"/>
      <c r="KJ418" s="11"/>
      <c r="KK418" s="11"/>
      <c r="KL418" s="11"/>
      <c r="KM418" s="11"/>
      <c r="KN418" s="11"/>
      <c r="KO418" s="11"/>
      <c r="KP418" s="11"/>
      <c r="KQ418" s="11"/>
      <c r="KR418" s="11"/>
      <c r="KS418" s="11"/>
      <c r="KT418" s="11"/>
      <c r="KU418" s="11"/>
      <c r="KV418" s="11"/>
      <c r="KW418" s="11"/>
      <c r="KX418" s="11"/>
      <c r="KY418" s="11"/>
      <c r="KZ418" s="11">
        <v>1</v>
      </c>
      <c r="LA418" s="11"/>
      <c r="LB418" s="11"/>
      <c r="LC418" s="11"/>
      <c r="LD418" s="11"/>
      <c r="LE418" s="11"/>
      <c r="LF418" s="11"/>
      <c r="LG418" s="11"/>
      <c r="LH418" s="11"/>
      <c r="LI418" s="11"/>
      <c r="LJ418" s="11"/>
      <c r="LK418" s="11"/>
      <c r="LL418" s="11"/>
      <c r="LM418" s="11"/>
      <c r="LN418" s="11"/>
      <c r="LO418" s="11"/>
      <c r="LP418" s="11"/>
      <c r="LQ418" s="11"/>
      <c r="LR418" s="11"/>
      <c r="LS418" s="11"/>
      <c r="LT418" s="11"/>
      <c r="LU418" s="11"/>
      <c r="LV418" s="11"/>
      <c r="LW418" s="11"/>
      <c r="LX418" s="11"/>
      <c r="LY418" s="11"/>
      <c r="LZ418" s="11"/>
      <c r="MA418" s="11"/>
      <c r="MB418" s="11"/>
      <c r="MC418" s="11"/>
      <c r="MD418" s="11"/>
      <c r="ME418" s="11"/>
      <c r="MF418" s="11"/>
      <c r="MG418" s="11"/>
      <c r="MH418" s="11"/>
      <c r="MI418" s="11"/>
      <c r="MJ418" s="11"/>
      <c r="MK418" s="11"/>
      <c r="ML418" s="11"/>
      <c r="MM418" s="11"/>
      <c r="MN418" s="11"/>
      <c r="MO418" s="11"/>
      <c r="MP418" s="11"/>
      <c r="MQ418" s="11"/>
      <c r="MR418" s="11"/>
      <c r="MS418" s="11"/>
      <c r="MT418" s="11"/>
      <c r="MU418" s="11"/>
      <c r="MV418" s="11"/>
      <c r="MW418" s="11"/>
      <c r="MX418" s="11"/>
      <c r="MY418" s="11"/>
      <c r="MZ418" s="11"/>
      <c r="NA418" s="11"/>
      <c r="NB418" s="11"/>
      <c r="NC418" s="11"/>
      <c r="ND418" s="11"/>
      <c r="NE418" s="11"/>
      <c r="NF418" s="11"/>
      <c r="NG418" s="11"/>
      <c r="NH418" s="11"/>
      <c r="NI418" s="11"/>
      <c r="NJ418" s="11"/>
      <c r="NK418" s="11"/>
      <c r="NL418" s="11"/>
      <c r="NM418" s="11"/>
      <c r="NN418" s="11"/>
      <c r="NO418" s="11"/>
      <c r="NP418" s="11"/>
      <c r="NQ418" s="11"/>
      <c r="NR418" s="11"/>
      <c r="NS418" s="11"/>
      <c r="NT418" s="11"/>
      <c r="NU418" s="11"/>
      <c r="NV418" s="11"/>
      <c r="NW418" s="11"/>
      <c r="NX418" s="11"/>
      <c r="NY418" s="11"/>
      <c r="NZ418" s="11"/>
      <c r="OA418" s="11"/>
      <c r="OB418" s="11"/>
      <c r="OC418" s="11"/>
      <c r="OD418" s="11"/>
      <c r="OE418" s="11"/>
      <c r="OF418" s="11"/>
      <c r="OG418" s="11"/>
      <c r="OH418" s="11"/>
      <c r="OI418" s="11"/>
      <c r="OJ418" s="11"/>
      <c r="OK418" s="11"/>
      <c r="OL418" s="11"/>
      <c r="OM418" s="11"/>
      <c r="ON418" s="11"/>
      <c r="OO418" s="11"/>
      <c r="OP418" s="11"/>
      <c r="OQ418" s="11"/>
      <c r="OR418" s="11"/>
      <c r="OS418" s="11"/>
      <c r="OT418" s="11"/>
      <c r="OU418" s="11"/>
      <c r="OV418" s="11"/>
      <c r="OW418" s="11"/>
      <c r="OX418" s="11"/>
      <c r="OY418" s="11"/>
      <c r="OZ418" s="11"/>
      <c r="PA418" s="11"/>
      <c r="PB418" s="11"/>
      <c r="PC418" s="11"/>
      <c r="PD418" s="11"/>
      <c r="PE418" s="11"/>
      <c r="PF418" s="11"/>
      <c r="PG418" s="11"/>
      <c r="PH418" s="11"/>
      <c r="PI418" s="11"/>
      <c r="PJ418" s="11"/>
      <c r="PK418" s="11"/>
      <c r="PL418" s="11"/>
      <c r="PM418" s="11"/>
      <c r="PN418" s="11"/>
      <c r="PO418" s="11"/>
      <c r="PP418" s="11"/>
      <c r="PQ418" s="11"/>
      <c r="PR418" s="11"/>
      <c r="PS418" s="11"/>
      <c r="PT418" s="11"/>
      <c r="PU418" s="11"/>
      <c r="PV418" s="11"/>
      <c r="PW418" s="11"/>
      <c r="PX418" s="11"/>
      <c r="PY418" s="11"/>
      <c r="PZ418" s="11"/>
      <c r="QA418" s="11"/>
      <c r="QB418" s="11"/>
      <c r="QC418" s="11"/>
      <c r="QD418" s="11"/>
      <c r="QE418" s="11"/>
      <c r="QF418" s="11"/>
      <c r="QG418" s="11"/>
      <c r="QH418" s="11"/>
      <c r="QI418" s="11"/>
      <c r="QJ418" s="11"/>
      <c r="QK418" s="11"/>
      <c r="QL418" s="11"/>
      <c r="QM418" s="11"/>
      <c r="QN418" s="11"/>
      <c r="QO418" s="11"/>
      <c r="QP418" s="11"/>
      <c r="QQ418" s="11"/>
      <c r="QR418" s="11"/>
      <c r="QS418" s="11"/>
      <c r="QT418" s="11"/>
      <c r="QU418" s="11"/>
      <c r="QV418" s="11"/>
      <c r="QW418" s="11"/>
      <c r="QX418" s="11"/>
      <c r="QY418" s="11"/>
      <c r="QZ418" s="11"/>
      <c r="RA418" s="11"/>
      <c r="RB418" s="11"/>
      <c r="RC418" s="11"/>
      <c r="RD418" s="11"/>
      <c r="RE418" s="11"/>
      <c r="RF418" s="11"/>
      <c r="RG418" s="11"/>
      <c r="RH418" s="11"/>
      <c r="RI418" s="11"/>
      <c r="RJ418" s="11"/>
      <c r="RK418" s="11"/>
      <c r="RL418" s="11"/>
      <c r="RM418" s="11"/>
      <c r="RN418" s="11"/>
      <c r="RO418" s="11"/>
      <c r="RP418" s="11"/>
      <c r="RQ418" s="11"/>
      <c r="RR418" s="11"/>
      <c r="RS418" s="11"/>
      <c r="RT418" s="11"/>
      <c r="RU418" s="11"/>
      <c r="RV418" s="11"/>
      <c r="RW418" s="11"/>
      <c r="RX418" s="11"/>
      <c r="RY418" s="11"/>
      <c r="RZ418" s="11"/>
      <c r="SA418" s="11"/>
      <c r="SB418" s="11"/>
      <c r="SC418" s="11"/>
      <c r="SD418" s="11"/>
      <c r="SE418" s="11"/>
      <c r="SF418" s="11"/>
      <c r="SG418" s="11"/>
      <c r="SH418" s="11">
        <v>1</v>
      </c>
    </row>
    <row r="419" spans="1:502" x14ac:dyDescent="0.2">
      <c r="A419" s="10">
        <v>4.5035313518050242E-2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  <c r="GP419" s="11"/>
      <c r="GQ419" s="11"/>
      <c r="GR419" s="11"/>
      <c r="GS419" s="11"/>
      <c r="GT419" s="11"/>
      <c r="GU419" s="11"/>
      <c r="GV419" s="11"/>
      <c r="GW419" s="11"/>
      <c r="GX419" s="11"/>
      <c r="GY419" s="11"/>
      <c r="GZ419" s="11"/>
      <c r="HA419" s="11"/>
      <c r="HB419" s="11"/>
      <c r="HC419" s="11"/>
      <c r="HD419" s="11"/>
      <c r="HE419" s="11"/>
      <c r="HF419" s="11"/>
      <c r="HG419" s="11"/>
      <c r="HH419" s="11"/>
      <c r="HI419" s="11"/>
      <c r="HJ419" s="11"/>
      <c r="HK419" s="11"/>
      <c r="HL419" s="11"/>
      <c r="HM419" s="11"/>
      <c r="HN419" s="11"/>
      <c r="HO419" s="11"/>
      <c r="HP419" s="11"/>
      <c r="HQ419" s="11"/>
      <c r="HR419" s="11"/>
      <c r="HS419" s="11"/>
      <c r="HT419" s="11"/>
      <c r="HU419" s="11"/>
      <c r="HV419" s="11"/>
      <c r="HW419" s="11"/>
      <c r="HX419" s="11"/>
      <c r="HY419" s="11"/>
      <c r="HZ419" s="11"/>
      <c r="IA419" s="11"/>
      <c r="IB419" s="11"/>
      <c r="IC419" s="11"/>
      <c r="ID419" s="11"/>
      <c r="IE419" s="11"/>
      <c r="IF419" s="11"/>
      <c r="IG419" s="11"/>
      <c r="IH419" s="11"/>
      <c r="II419" s="11"/>
      <c r="IJ419" s="11"/>
      <c r="IK419" s="11"/>
      <c r="IL419" s="11"/>
      <c r="IM419" s="11"/>
      <c r="IN419" s="11"/>
      <c r="IO419" s="11"/>
      <c r="IP419" s="11"/>
      <c r="IQ419" s="11"/>
      <c r="IR419" s="11"/>
      <c r="IS419" s="11"/>
      <c r="IT419" s="11"/>
      <c r="IU419" s="11"/>
      <c r="IV419" s="11"/>
      <c r="IW419" s="11"/>
      <c r="IX419" s="11"/>
      <c r="IY419" s="11"/>
      <c r="IZ419" s="11"/>
      <c r="JA419" s="11"/>
      <c r="JB419" s="11"/>
      <c r="JC419" s="11"/>
      <c r="JD419" s="11"/>
      <c r="JE419" s="11"/>
      <c r="JF419" s="11"/>
      <c r="JG419" s="11"/>
      <c r="JH419" s="11"/>
      <c r="JI419" s="11"/>
      <c r="JJ419" s="11"/>
      <c r="JK419" s="11"/>
      <c r="JL419" s="11"/>
      <c r="JM419" s="11"/>
      <c r="JN419" s="11"/>
      <c r="JO419" s="11"/>
      <c r="JP419" s="11"/>
      <c r="JQ419" s="11"/>
      <c r="JR419" s="11"/>
      <c r="JS419" s="11"/>
      <c r="JT419" s="11"/>
      <c r="JU419" s="11"/>
      <c r="JV419" s="11"/>
      <c r="JW419" s="11"/>
      <c r="JX419" s="11"/>
      <c r="JY419" s="11"/>
      <c r="JZ419" s="11"/>
      <c r="KA419" s="11"/>
      <c r="KB419" s="11"/>
      <c r="KC419" s="11"/>
      <c r="KD419" s="11"/>
      <c r="KE419" s="11"/>
      <c r="KF419" s="11"/>
      <c r="KG419" s="11"/>
      <c r="KH419" s="11"/>
      <c r="KI419" s="11"/>
      <c r="KJ419" s="11"/>
      <c r="KK419" s="11"/>
      <c r="KL419" s="11"/>
      <c r="KM419" s="11"/>
      <c r="KN419" s="11"/>
      <c r="KO419" s="11"/>
      <c r="KP419" s="11"/>
      <c r="KQ419" s="11"/>
      <c r="KR419" s="11"/>
      <c r="KS419" s="11"/>
      <c r="KT419" s="11"/>
      <c r="KU419" s="11"/>
      <c r="KV419" s="11"/>
      <c r="KW419" s="11"/>
      <c r="KX419" s="11"/>
      <c r="KY419" s="11"/>
      <c r="KZ419" s="11"/>
      <c r="LA419" s="11"/>
      <c r="LB419" s="11"/>
      <c r="LC419" s="11"/>
      <c r="LD419" s="11"/>
      <c r="LE419" s="11"/>
      <c r="LF419" s="11"/>
      <c r="LG419" s="11"/>
      <c r="LH419" s="11"/>
      <c r="LI419" s="11"/>
      <c r="LJ419" s="11"/>
      <c r="LK419" s="11"/>
      <c r="LL419" s="11"/>
      <c r="LM419" s="11"/>
      <c r="LN419" s="11"/>
      <c r="LO419" s="11"/>
      <c r="LP419" s="11"/>
      <c r="LQ419" s="11"/>
      <c r="LR419" s="11"/>
      <c r="LS419" s="11"/>
      <c r="LT419" s="11"/>
      <c r="LU419" s="11"/>
      <c r="LV419" s="11"/>
      <c r="LW419" s="11"/>
      <c r="LX419" s="11"/>
      <c r="LY419" s="11"/>
      <c r="LZ419" s="11"/>
      <c r="MA419" s="11"/>
      <c r="MB419" s="11"/>
      <c r="MC419" s="11"/>
      <c r="MD419" s="11"/>
      <c r="ME419" s="11"/>
      <c r="MF419" s="11"/>
      <c r="MG419" s="11"/>
      <c r="MH419" s="11"/>
      <c r="MI419" s="11"/>
      <c r="MJ419" s="11"/>
      <c r="MK419" s="11"/>
      <c r="ML419" s="11"/>
      <c r="MM419" s="11"/>
      <c r="MN419" s="11"/>
      <c r="MO419" s="11"/>
      <c r="MP419" s="11"/>
      <c r="MQ419" s="11"/>
      <c r="MR419" s="11"/>
      <c r="MS419" s="11"/>
      <c r="MT419" s="11"/>
      <c r="MU419" s="11"/>
      <c r="MV419" s="11"/>
      <c r="MW419" s="11"/>
      <c r="MX419" s="11"/>
      <c r="MY419" s="11"/>
      <c r="MZ419" s="11"/>
      <c r="NA419" s="11"/>
      <c r="NB419" s="11"/>
      <c r="NC419" s="11"/>
      <c r="ND419" s="11"/>
      <c r="NE419" s="11"/>
      <c r="NF419" s="11"/>
      <c r="NG419" s="11"/>
      <c r="NH419" s="11"/>
      <c r="NI419" s="11"/>
      <c r="NJ419" s="11"/>
      <c r="NK419" s="11"/>
      <c r="NL419" s="11"/>
      <c r="NM419" s="11">
        <v>1</v>
      </c>
      <c r="NN419" s="11"/>
      <c r="NO419" s="11"/>
      <c r="NP419" s="11"/>
      <c r="NQ419" s="11"/>
      <c r="NR419" s="11"/>
      <c r="NS419" s="11"/>
      <c r="NT419" s="11"/>
      <c r="NU419" s="11"/>
      <c r="NV419" s="11"/>
      <c r="NW419" s="11"/>
      <c r="NX419" s="11"/>
      <c r="NY419" s="11"/>
      <c r="NZ419" s="11"/>
      <c r="OA419" s="11"/>
      <c r="OB419" s="11"/>
      <c r="OC419" s="11"/>
      <c r="OD419" s="11"/>
      <c r="OE419" s="11"/>
      <c r="OF419" s="11"/>
      <c r="OG419" s="11"/>
      <c r="OH419" s="11"/>
      <c r="OI419" s="11"/>
      <c r="OJ419" s="11"/>
      <c r="OK419" s="11"/>
      <c r="OL419" s="11"/>
      <c r="OM419" s="11"/>
      <c r="ON419" s="11"/>
      <c r="OO419" s="11"/>
      <c r="OP419" s="11"/>
      <c r="OQ419" s="11"/>
      <c r="OR419" s="11"/>
      <c r="OS419" s="11"/>
      <c r="OT419" s="11"/>
      <c r="OU419" s="11"/>
      <c r="OV419" s="11"/>
      <c r="OW419" s="11"/>
      <c r="OX419" s="11"/>
      <c r="OY419" s="11"/>
      <c r="OZ419" s="11"/>
      <c r="PA419" s="11"/>
      <c r="PB419" s="11"/>
      <c r="PC419" s="11"/>
      <c r="PD419" s="11"/>
      <c r="PE419" s="11"/>
      <c r="PF419" s="11"/>
      <c r="PG419" s="11"/>
      <c r="PH419" s="11"/>
      <c r="PI419" s="11"/>
      <c r="PJ419" s="11"/>
      <c r="PK419" s="11"/>
      <c r="PL419" s="11"/>
      <c r="PM419" s="11"/>
      <c r="PN419" s="11"/>
      <c r="PO419" s="11"/>
      <c r="PP419" s="11"/>
      <c r="PQ419" s="11"/>
      <c r="PR419" s="11"/>
      <c r="PS419" s="11"/>
      <c r="PT419" s="11"/>
      <c r="PU419" s="11"/>
      <c r="PV419" s="11"/>
      <c r="PW419" s="11"/>
      <c r="PX419" s="11"/>
      <c r="PY419" s="11"/>
      <c r="PZ419" s="11"/>
      <c r="QA419" s="11"/>
      <c r="QB419" s="11"/>
      <c r="QC419" s="11"/>
      <c r="QD419" s="11"/>
      <c r="QE419" s="11"/>
      <c r="QF419" s="11"/>
      <c r="QG419" s="11"/>
      <c r="QH419" s="11"/>
      <c r="QI419" s="11"/>
      <c r="QJ419" s="11"/>
      <c r="QK419" s="11"/>
      <c r="QL419" s="11"/>
      <c r="QM419" s="11"/>
      <c r="QN419" s="11"/>
      <c r="QO419" s="11"/>
      <c r="QP419" s="11"/>
      <c r="QQ419" s="11"/>
      <c r="QR419" s="11"/>
      <c r="QS419" s="11"/>
      <c r="QT419" s="11"/>
      <c r="QU419" s="11"/>
      <c r="QV419" s="11"/>
      <c r="QW419" s="11"/>
      <c r="QX419" s="11"/>
      <c r="QY419" s="11"/>
      <c r="QZ419" s="11"/>
      <c r="RA419" s="11"/>
      <c r="RB419" s="11"/>
      <c r="RC419" s="11"/>
      <c r="RD419" s="11"/>
      <c r="RE419" s="11"/>
      <c r="RF419" s="11"/>
      <c r="RG419" s="11"/>
      <c r="RH419" s="11"/>
      <c r="RI419" s="11"/>
      <c r="RJ419" s="11"/>
      <c r="RK419" s="11"/>
      <c r="RL419" s="11"/>
      <c r="RM419" s="11"/>
      <c r="RN419" s="11"/>
      <c r="RO419" s="11"/>
      <c r="RP419" s="11"/>
      <c r="RQ419" s="11"/>
      <c r="RR419" s="11"/>
      <c r="RS419" s="11"/>
      <c r="RT419" s="11"/>
      <c r="RU419" s="11"/>
      <c r="RV419" s="11"/>
      <c r="RW419" s="11"/>
      <c r="RX419" s="11"/>
      <c r="RY419" s="11"/>
      <c r="RZ419" s="11"/>
      <c r="SA419" s="11"/>
      <c r="SB419" s="11"/>
      <c r="SC419" s="11"/>
      <c r="SD419" s="11"/>
      <c r="SE419" s="11"/>
      <c r="SF419" s="11"/>
      <c r="SG419" s="11"/>
      <c r="SH419" s="11">
        <v>1</v>
      </c>
    </row>
    <row r="420" spans="1:502" x14ac:dyDescent="0.2">
      <c r="A420" s="10">
        <v>4.5057728537293139E-2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  <c r="GP420" s="11"/>
      <c r="GQ420" s="11"/>
      <c r="GR420" s="11"/>
      <c r="GS420" s="11"/>
      <c r="GT420" s="11">
        <v>1</v>
      </c>
      <c r="GU420" s="11"/>
      <c r="GV420" s="11"/>
      <c r="GW420" s="11"/>
      <c r="GX420" s="11"/>
      <c r="GY420" s="11"/>
      <c r="GZ420" s="11"/>
      <c r="HA420" s="11"/>
      <c r="HB420" s="11"/>
      <c r="HC420" s="11"/>
      <c r="HD420" s="11"/>
      <c r="HE420" s="11"/>
      <c r="HF420" s="11"/>
      <c r="HG420" s="11"/>
      <c r="HH420" s="11"/>
      <c r="HI420" s="11"/>
      <c r="HJ420" s="11"/>
      <c r="HK420" s="11"/>
      <c r="HL420" s="11"/>
      <c r="HM420" s="11"/>
      <c r="HN420" s="11"/>
      <c r="HO420" s="11"/>
      <c r="HP420" s="11"/>
      <c r="HQ420" s="11"/>
      <c r="HR420" s="11"/>
      <c r="HS420" s="11"/>
      <c r="HT420" s="11"/>
      <c r="HU420" s="11"/>
      <c r="HV420" s="11"/>
      <c r="HW420" s="11"/>
      <c r="HX420" s="11"/>
      <c r="HY420" s="11"/>
      <c r="HZ420" s="11"/>
      <c r="IA420" s="11"/>
      <c r="IB420" s="11"/>
      <c r="IC420" s="11"/>
      <c r="ID420" s="11"/>
      <c r="IE420" s="11"/>
      <c r="IF420" s="11"/>
      <c r="IG420" s="11"/>
      <c r="IH420" s="11"/>
      <c r="II420" s="11"/>
      <c r="IJ420" s="11"/>
      <c r="IK420" s="11"/>
      <c r="IL420" s="11"/>
      <c r="IM420" s="11"/>
      <c r="IN420" s="11"/>
      <c r="IO420" s="11"/>
      <c r="IP420" s="11"/>
      <c r="IQ420" s="11"/>
      <c r="IR420" s="11"/>
      <c r="IS420" s="11"/>
      <c r="IT420" s="11"/>
      <c r="IU420" s="11"/>
      <c r="IV420" s="11"/>
      <c r="IW420" s="11"/>
      <c r="IX420" s="11"/>
      <c r="IY420" s="11"/>
      <c r="IZ420" s="11"/>
      <c r="JA420" s="11"/>
      <c r="JB420" s="11"/>
      <c r="JC420" s="11"/>
      <c r="JD420" s="11"/>
      <c r="JE420" s="11"/>
      <c r="JF420" s="11"/>
      <c r="JG420" s="11"/>
      <c r="JH420" s="11"/>
      <c r="JI420" s="11"/>
      <c r="JJ420" s="11"/>
      <c r="JK420" s="11"/>
      <c r="JL420" s="11"/>
      <c r="JM420" s="11"/>
      <c r="JN420" s="11"/>
      <c r="JO420" s="11"/>
      <c r="JP420" s="11"/>
      <c r="JQ420" s="11"/>
      <c r="JR420" s="11"/>
      <c r="JS420" s="11"/>
      <c r="JT420" s="11"/>
      <c r="JU420" s="11"/>
      <c r="JV420" s="11"/>
      <c r="JW420" s="11"/>
      <c r="JX420" s="11"/>
      <c r="JY420" s="11"/>
      <c r="JZ420" s="11"/>
      <c r="KA420" s="11"/>
      <c r="KB420" s="11"/>
      <c r="KC420" s="11"/>
      <c r="KD420" s="11"/>
      <c r="KE420" s="11"/>
      <c r="KF420" s="11"/>
      <c r="KG420" s="11"/>
      <c r="KH420" s="11"/>
      <c r="KI420" s="11"/>
      <c r="KJ420" s="11"/>
      <c r="KK420" s="11"/>
      <c r="KL420" s="11"/>
      <c r="KM420" s="11"/>
      <c r="KN420" s="11"/>
      <c r="KO420" s="11"/>
      <c r="KP420" s="11"/>
      <c r="KQ420" s="11"/>
      <c r="KR420" s="11"/>
      <c r="KS420" s="11"/>
      <c r="KT420" s="11"/>
      <c r="KU420" s="11"/>
      <c r="KV420" s="11"/>
      <c r="KW420" s="11"/>
      <c r="KX420" s="11"/>
      <c r="KY420" s="11"/>
      <c r="KZ420" s="11"/>
      <c r="LA420" s="11"/>
      <c r="LB420" s="11"/>
      <c r="LC420" s="11"/>
      <c r="LD420" s="11"/>
      <c r="LE420" s="11"/>
      <c r="LF420" s="11"/>
      <c r="LG420" s="11"/>
      <c r="LH420" s="11"/>
      <c r="LI420" s="11"/>
      <c r="LJ420" s="11"/>
      <c r="LK420" s="11"/>
      <c r="LL420" s="11"/>
      <c r="LM420" s="11"/>
      <c r="LN420" s="11"/>
      <c r="LO420" s="11"/>
      <c r="LP420" s="11"/>
      <c r="LQ420" s="11"/>
      <c r="LR420" s="11"/>
      <c r="LS420" s="11"/>
      <c r="LT420" s="11"/>
      <c r="LU420" s="11"/>
      <c r="LV420" s="11"/>
      <c r="LW420" s="11"/>
      <c r="LX420" s="11"/>
      <c r="LY420" s="11"/>
      <c r="LZ420" s="11"/>
      <c r="MA420" s="11"/>
      <c r="MB420" s="11"/>
      <c r="MC420" s="11"/>
      <c r="MD420" s="11"/>
      <c r="ME420" s="11"/>
      <c r="MF420" s="11"/>
      <c r="MG420" s="11"/>
      <c r="MH420" s="11"/>
      <c r="MI420" s="11"/>
      <c r="MJ420" s="11"/>
      <c r="MK420" s="11"/>
      <c r="ML420" s="11"/>
      <c r="MM420" s="11"/>
      <c r="MN420" s="11"/>
      <c r="MO420" s="11"/>
      <c r="MP420" s="11"/>
      <c r="MQ420" s="11"/>
      <c r="MR420" s="11"/>
      <c r="MS420" s="11"/>
      <c r="MT420" s="11"/>
      <c r="MU420" s="11"/>
      <c r="MV420" s="11"/>
      <c r="MW420" s="11"/>
      <c r="MX420" s="11"/>
      <c r="MY420" s="11"/>
      <c r="MZ420" s="11"/>
      <c r="NA420" s="11"/>
      <c r="NB420" s="11"/>
      <c r="NC420" s="11"/>
      <c r="ND420" s="11"/>
      <c r="NE420" s="11"/>
      <c r="NF420" s="11"/>
      <c r="NG420" s="11"/>
      <c r="NH420" s="11"/>
      <c r="NI420" s="11"/>
      <c r="NJ420" s="11"/>
      <c r="NK420" s="11"/>
      <c r="NL420" s="11"/>
      <c r="NM420" s="11"/>
      <c r="NN420" s="11"/>
      <c r="NO420" s="11"/>
      <c r="NP420" s="11"/>
      <c r="NQ420" s="11"/>
      <c r="NR420" s="11"/>
      <c r="NS420" s="11"/>
      <c r="NT420" s="11"/>
      <c r="NU420" s="11"/>
      <c r="NV420" s="11"/>
      <c r="NW420" s="11"/>
      <c r="NX420" s="11"/>
      <c r="NY420" s="11"/>
      <c r="NZ420" s="11"/>
      <c r="OA420" s="11"/>
      <c r="OB420" s="11"/>
      <c r="OC420" s="11"/>
      <c r="OD420" s="11"/>
      <c r="OE420" s="11"/>
      <c r="OF420" s="11"/>
      <c r="OG420" s="11"/>
      <c r="OH420" s="11"/>
      <c r="OI420" s="11"/>
      <c r="OJ420" s="11"/>
      <c r="OK420" s="11"/>
      <c r="OL420" s="11"/>
      <c r="OM420" s="11"/>
      <c r="ON420" s="11"/>
      <c r="OO420" s="11"/>
      <c r="OP420" s="11"/>
      <c r="OQ420" s="11"/>
      <c r="OR420" s="11"/>
      <c r="OS420" s="11"/>
      <c r="OT420" s="11"/>
      <c r="OU420" s="11"/>
      <c r="OV420" s="11"/>
      <c r="OW420" s="11"/>
      <c r="OX420" s="11"/>
      <c r="OY420" s="11"/>
      <c r="OZ420" s="11"/>
      <c r="PA420" s="11"/>
      <c r="PB420" s="11"/>
      <c r="PC420" s="11"/>
      <c r="PD420" s="11"/>
      <c r="PE420" s="11"/>
      <c r="PF420" s="11"/>
      <c r="PG420" s="11"/>
      <c r="PH420" s="11"/>
      <c r="PI420" s="11"/>
      <c r="PJ420" s="11"/>
      <c r="PK420" s="11"/>
      <c r="PL420" s="11"/>
      <c r="PM420" s="11"/>
      <c r="PN420" s="11"/>
      <c r="PO420" s="11"/>
      <c r="PP420" s="11"/>
      <c r="PQ420" s="11"/>
      <c r="PR420" s="11"/>
      <c r="PS420" s="11"/>
      <c r="PT420" s="11"/>
      <c r="PU420" s="11"/>
      <c r="PV420" s="11"/>
      <c r="PW420" s="11"/>
      <c r="PX420" s="11"/>
      <c r="PY420" s="11"/>
      <c r="PZ420" s="11"/>
      <c r="QA420" s="11"/>
      <c r="QB420" s="11"/>
      <c r="QC420" s="11"/>
      <c r="QD420" s="11"/>
      <c r="QE420" s="11"/>
      <c r="QF420" s="11"/>
      <c r="QG420" s="11"/>
      <c r="QH420" s="11"/>
      <c r="QI420" s="11"/>
      <c r="QJ420" s="11"/>
      <c r="QK420" s="11"/>
      <c r="QL420" s="11"/>
      <c r="QM420" s="11"/>
      <c r="QN420" s="11"/>
      <c r="QO420" s="11"/>
      <c r="QP420" s="11"/>
      <c r="QQ420" s="11"/>
      <c r="QR420" s="11"/>
      <c r="QS420" s="11"/>
      <c r="QT420" s="11"/>
      <c r="QU420" s="11"/>
      <c r="QV420" s="11"/>
      <c r="QW420" s="11"/>
      <c r="QX420" s="11"/>
      <c r="QY420" s="11"/>
      <c r="QZ420" s="11"/>
      <c r="RA420" s="11"/>
      <c r="RB420" s="11"/>
      <c r="RC420" s="11"/>
      <c r="RD420" s="11"/>
      <c r="RE420" s="11"/>
      <c r="RF420" s="11"/>
      <c r="RG420" s="11"/>
      <c r="RH420" s="11"/>
      <c r="RI420" s="11"/>
      <c r="RJ420" s="11"/>
      <c r="RK420" s="11"/>
      <c r="RL420" s="11"/>
      <c r="RM420" s="11"/>
      <c r="RN420" s="11"/>
      <c r="RO420" s="11"/>
      <c r="RP420" s="11"/>
      <c r="RQ420" s="11"/>
      <c r="RR420" s="11"/>
      <c r="RS420" s="11"/>
      <c r="RT420" s="11"/>
      <c r="RU420" s="11"/>
      <c r="RV420" s="11"/>
      <c r="RW420" s="11"/>
      <c r="RX420" s="11"/>
      <c r="RY420" s="11"/>
      <c r="RZ420" s="11"/>
      <c r="SA420" s="11"/>
      <c r="SB420" s="11"/>
      <c r="SC420" s="11"/>
      <c r="SD420" s="11"/>
      <c r="SE420" s="11"/>
      <c r="SF420" s="11"/>
      <c r="SG420" s="11"/>
      <c r="SH420" s="11">
        <v>1</v>
      </c>
    </row>
    <row r="421" spans="1:502" x14ac:dyDescent="0.2">
      <c r="A421" s="10">
        <v>4.5209631447151157E-2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  <c r="FW421" s="11"/>
      <c r="FX421" s="11"/>
      <c r="FY421" s="11"/>
      <c r="FZ421" s="11"/>
      <c r="GA421" s="11"/>
      <c r="GB421" s="11"/>
      <c r="GC421" s="11"/>
      <c r="GD421" s="11"/>
      <c r="GE421" s="11"/>
      <c r="GF421" s="11"/>
      <c r="GG421" s="11"/>
      <c r="GH421" s="11"/>
      <c r="GI421" s="11"/>
      <c r="GJ421" s="11"/>
      <c r="GK421" s="11"/>
      <c r="GL421" s="11"/>
      <c r="GM421" s="11"/>
      <c r="GN421" s="11"/>
      <c r="GO421" s="11"/>
      <c r="GP421" s="11"/>
      <c r="GQ421" s="11"/>
      <c r="GR421" s="11"/>
      <c r="GS421" s="11"/>
      <c r="GT421" s="11"/>
      <c r="GU421" s="11"/>
      <c r="GV421" s="11"/>
      <c r="GW421" s="11"/>
      <c r="GX421" s="11"/>
      <c r="GY421" s="11"/>
      <c r="GZ421" s="11"/>
      <c r="HA421" s="11"/>
      <c r="HB421" s="11"/>
      <c r="HC421" s="11"/>
      <c r="HD421" s="11"/>
      <c r="HE421" s="11"/>
      <c r="HF421" s="11"/>
      <c r="HG421" s="11"/>
      <c r="HH421" s="11"/>
      <c r="HI421" s="11"/>
      <c r="HJ421" s="11"/>
      <c r="HK421" s="11"/>
      <c r="HL421" s="11"/>
      <c r="HM421" s="11"/>
      <c r="HN421" s="11"/>
      <c r="HO421" s="11"/>
      <c r="HP421" s="11"/>
      <c r="HQ421" s="11"/>
      <c r="HR421" s="11"/>
      <c r="HS421" s="11"/>
      <c r="HT421" s="11"/>
      <c r="HU421" s="11"/>
      <c r="HV421" s="11"/>
      <c r="HW421" s="11"/>
      <c r="HX421" s="11"/>
      <c r="HY421" s="11"/>
      <c r="HZ421" s="11"/>
      <c r="IA421" s="11"/>
      <c r="IB421" s="11"/>
      <c r="IC421" s="11"/>
      <c r="ID421" s="11"/>
      <c r="IE421" s="11"/>
      <c r="IF421" s="11"/>
      <c r="IG421" s="11"/>
      <c r="IH421" s="11"/>
      <c r="II421" s="11"/>
      <c r="IJ421" s="11"/>
      <c r="IK421" s="11"/>
      <c r="IL421" s="11"/>
      <c r="IM421" s="11"/>
      <c r="IN421" s="11"/>
      <c r="IO421" s="11"/>
      <c r="IP421" s="11"/>
      <c r="IQ421" s="11"/>
      <c r="IR421" s="11"/>
      <c r="IS421" s="11"/>
      <c r="IT421" s="11"/>
      <c r="IU421" s="11"/>
      <c r="IV421" s="11"/>
      <c r="IW421" s="11"/>
      <c r="IX421" s="11"/>
      <c r="IY421" s="11"/>
      <c r="IZ421" s="11"/>
      <c r="JA421" s="11"/>
      <c r="JB421" s="11"/>
      <c r="JC421" s="11"/>
      <c r="JD421" s="11"/>
      <c r="JE421" s="11"/>
      <c r="JF421" s="11"/>
      <c r="JG421" s="11"/>
      <c r="JH421" s="11"/>
      <c r="JI421" s="11"/>
      <c r="JJ421" s="11"/>
      <c r="JK421" s="11"/>
      <c r="JL421" s="11"/>
      <c r="JM421" s="11"/>
      <c r="JN421" s="11"/>
      <c r="JO421" s="11"/>
      <c r="JP421" s="11"/>
      <c r="JQ421" s="11"/>
      <c r="JR421" s="11"/>
      <c r="JS421" s="11"/>
      <c r="JT421" s="11"/>
      <c r="JU421" s="11"/>
      <c r="JV421" s="11"/>
      <c r="JW421" s="11"/>
      <c r="JX421" s="11"/>
      <c r="JY421" s="11"/>
      <c r="JZ421" s="11"/>
      <c r="KA421" s="11"/>
      <c r="KB421" s="11"/>
      <c r="KC421" s="11"/>
      <c r="KD421" s="11"/>
      <c r="KE421" s="11"/>
      <c r="KF421" s="11"/>
      <c r="KG421" s="11"/>
      <c r="KH421" s="11"/>
      <c r="KI421" s="11"/>
      <c r="KJ421" s="11"/>
      <c r="KK421" s="11"/>
      <c r="KL421" s="11"/>
      <c r="KM421" s="11"/>
      <c r="KN421" s="11"/>
      <c r="KO421" s="11"/>
      <c r="KP421" s="11"/>
      <c r="KQ421" s="11"/>
      <c r="KR421" s="11"/>
      <c r="KS421" s="11"/>
      <c r="KT421" s="11"/>
      <c r="KU421" s="11"/>
      <c r="KV421" s="11"/>
      <c r="KW421" s="11"/>
      <c r="KX421" s="11"/>
      <c r="KY421" s="11"/>
      <c r="KZ421" s="11"/>
      <c r="LA421" s="11"/>
      <c r="LB421" s="11"/>
      <c r="LC421" s="11"/>
      <c r="LD421" s="11"/>
      <c r="LE421" s="11"/>
      <c r="LF421" s="11"/>
      <c r="LG421" s="11"/>
      <c r="LH421" s="11"/>
      <c r="LI421" s="11"/>
      <c r="LJ421" s="11"/>
      <c r="LK421" s="11"/>
      <c r="LL421" s="11"/>
      <c r="LM421" s="11"/>
      <c r="LN421" s="11"/>
      <c r="LO421" s="11"/>
      <c r="LP421" s="11"/>
      <c r="LQ421" s="11"/>
      <c r="LR421" s="11"/>
      <c r="LS421" s="11"/>
      <c r="LT421" s="11"/>
      <c r="LU421" s="11"/>
      <c r="LV421" s="11"/>
      <c r="LW421" s="11"/>
      <c r="LX421" s="11"/>
      <c r="LY421" s="11"/>
      <c r="LZ421" s="11"/>
      <c r="MA421" s="11"/>
      <c r="MB421" s="11"/>
      <c r="MC421" s="11"/>
      <c r="MD421" s="11"/>
      <c r="ME421" s="11"/>
      <c r="MF421" s="11"/>
      <c r="MG421" s="11"/>
      <c r="MH421" s="11"/>
      <c r="MI421" s="11"/>
      <c r="MJ421" s="11"/>
      <c r="MK421" s="11"/>
      <c r="ML421" s="11"/>
      <c r="MM421" s="11"/>
      <c r="MN421" s="11"/>
      <c r="MO421" s="11"/>
      <c r="MP421" s="11"/>
      <c r="MQ421" s="11"/>
      <c r="MR421" s="11"/>
      <c r="MS421" s="11"/>
      <c r="MT421" s="11"/>
      <c r="MU421" s="11"/>
      <c r="MV421" s="11"/>
      <c r="MW421" s="11"/>
      <c r="MX421" s="11"/>
      <c r="MY421" s="11"/>
      <c r="MZ421" s="11"/>
      <c r="NA421" s="11"/>
      <c r="NB421" s="11"/>
      <c r="NC421" s="11"/>
      <c r="ND421" s="11"/>
      <c r="NE421" s="11"/>
      <c r="NF421" s="11"/>
      <c r="NG421" s="11"/>
      <c r="NH421" s="11"/>
      <c r="NI421" s="11"/>
      <c r="NJ421" s="11"/>
      <c r="NK421" s="11"/>
      <c r="NL421" s="11"/>
      <c r="NM421" s="11"/>
      <c r="NN421" s="11"/>
      <c r="NO421" s="11"/>
      <c r="NP421" s="11"/>
      <c r="NQ421" s="11"/>
      <c r="NR421" s="11"/>
      <c r="NS421" s="11"/>
      <c r="NT421" s="11"/>
      <c r="NU421" s="11"/>
      <c r="NV421" s="11"/>
      <c r="NW421" s="11"/>
      <c r="NX421" s="11"/>
      <c r="NY421" s="11"/>
      <c r="NZ421" s="11">
        <v>1</v>
      </c>
      <c r="OA421" s="11"/>
      <c r="OB421" s="11"/>
      <c r="OC421" s="11"/>
      <c r="OD421" s="11"/>
      <c r="OE421" s="11"/>
      <c r="OF421" s="11"/>
      <c r="OG421" s="11"/>
      <c r="OH421" s="11"/>
      <c r="OI421" s="11"/>
      <c r="OJ421" s="11"/>
      <c r="OK421" s="11"/>
      <c r="OL421" s="11"/>
      <c r="OM421" s="11"/>
      <c r="ON421" s="11"/>
      <c r="OO421" s="11"/>
      <c r="OP421" s="11"/>
      <c r="OQ421" s="11"/>
      <c r="OR421" s="11"/>
      <c r="OS421" s="11"/>
      <c r="OT421" s="11"/>
      <c r="OU421" s="11"/>
      <c r="OV421" s="11"/>
      <c r="OW421" s="11"/>
      <c r="OX421" s="11"/>
      <c r="OY421" s="11"/>
      <c r="OZ421" s="11"/>
      <c r="PA421" s="11"/>
      <c r="PB421" s="11"/>
      <c r="PC421" s="11"/>
      <c r="PD421" s="11"/>
      <c r="PE421" s="11"/>
      <c r="PF421" s="11"/>
      <c r="PG421" s="11"/>
      <c r="PH421" s="11"/>
      <c r="PI421" s="11"/>
      <c r="PJ421" s="11"/>
      <c r="PK421" s="11"/>
      <c r="PL421" s="11"/>
      <c r="PM421" s="11"/>
      <c r="PN421" s="11"/>
      <c r="PO421" s="11"/>
      <c r="PP421" s="11"/>
      <c r="PQ421" s="11"/>
      <c r="PR421" s="11"/>
      <c r="PS421" s="11"/>
      <c r="PT421" s="11"/>
      <c r="PU421" s="11"/>
      <c r="PV421" s="11"/>
      <c r="PW421" s="11"/>
      <c r="PX421" s="11"/>
      <c r="PY421" s="11"/>
      <c r="PZ421" s="11"/>
      <c r="QA421" s="11"/>
      <c r="QB421" s="11"/>
      <c r="QC421" s="11"/>
      <c r="QD421" s="11"/>
      <c r="QE421" s="11"/>
      <c r="QF421" s="11"/>
      <c r="QG421" s="11"/>
      <c r="QH421" s="11"/>
      <c r="QI421" s="11"/>
      <c r="QJ421" s="11"/>
      <c r="QK421" s="11"/>
      <c r="QL421" s="11"/>
      <c r="QM421" s="11"/>
      <c r="QN421" s="11"/>
      <c r="QO421" s="11"/>
      <c r="QP421" s="11"/>
      <c r="QQ421" s="11"/>
      <c r="QR421" s="11"/>
      <c r="QS421" s="11"/>
      <c r="QT421" s="11"/>
      <c r="QU421" s="11"/>
      <c r="QV421" s="11"/>
      <c r="QW421" s="11"/>
      <c r="QX421" s="11"/>
      <c r="QY421" s="11"/>
      <c r="QZ421" s="11"/>
      <c r="RA421" s="11"/>
      <c r="RB421" s="11"/>
      <c r="RC421" s="11"/>
      <c r="RD421" s="11"/>
      <c r="RE421" s="11"/>
      <c r="RF421" s="11"/>
      <c r="RG421" s="11"/>
      <c r="RH421" s="11"/>
      <c r="RI421" s="11"/>
      <c r="RJ421" s="11"/>
      <c r="RK421" s="11"/>
      <c r="RL421" s="11"/>
      <c r="RM421" s="11"/>
      <c r="RN421" s="11"/>
      <c r="RO421" s="11"/>
      <c r="RP421" s="11"/>
      <c r="RQ421" s="11"/>
      <c r="RR421" s="11"/>
      <c r="RS421" s="11"/>
      <c r="RT421" s="11"/>
      <c r="RU421" s="11"/>
      <c r="RV421" s="11"/>
      <c r="RW421" s="11"/>
      <c r="RX421" s="11"/>
      <c r="RY421" s="11"/>
      <c r="RZ421" s="11"/>
      <c r="SA421" s="11"/>
      <c r="SB421" s="11"/>
      <c r="SC421" s="11"/>
      <c r="SD421" s="11"/>
      <c r="SE421" s="11"/>
      <c r="SF421" s="11"/>
      <c r="SG421" s="11"/>
      <c r="SH421" s="11">
        <v>1</v>
      </c>
    </row>
    <row r="422" spans="1:502" x14ac:dyDescent="0.2">
      <c r="A422" s="10">
        <v>4.5851479805982337E-2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  <c r="FW422" s="11"/>
      <c r="FX422" s="11"/>
      <c r="FY422" s="11"/>
      <c r="FZ422" s="11"/>
      <c r="GA422" s="11"/>
      <c r="GB422" s="11"/>
      <c r="GC422" s="11"/>
      <c r="GD422" s="11"/>
      <c r="GE422" s="11"/>
      <c r="GF422" s="11"/>
      <c r="GG422" s="11"/>
      <c r="GH422" s="11"/>
      <c r="GI422" s="11"/>
      <c r="GJ422" s="11"/>
      <c r="GK422" s="11"/>
      <c r="GL422" s="11"/>
      <c r="GM422" s="11"/>
      <c r="GN422" s="11"/>
      <c r="GO422" s="11"/>
      <c r="GP422" s="11"/>
      <c r="GQ422" s="11"/>
      <c r="GR422" s="11"/>
      <c r="GS422" s="11"/>
      <c r="GT422" s="11"/>
      <c r="GU422" s="11"/>
      <c r="GV422" s="11"/>
      <c r="GW422" s="11"/>
      <c r="GX422" s="11"/>
      <c r="GY422" s="11"/>
      <c r="GZ422" s="11"/>
      <c r="HA422" s="11"/>
      <c r="HB422" s="11"/>
      <c r="HC422" s="11"/>
      <c r="HD422" s="11"/>
      <c r="HE422" s="11"/>
      <c r="HF422" s="11"/>
      <c r="HG422" s="11"/>
      <c r="HH422" s="11"/>
      <c r="HI422" s="11"/>
      <c r="HJ422" s="11"/>
      <c r="HK422" s="11"/>
      <c r="HL422" s="11"/>
      <c r="HM422" s="11"/>
      <c r="HN422" s="11"/>
      <c r="HO422" s="11"/>
      <c r="HP422" s="11"/>
      <c r="HQ422" s="11"/>
      <c r="HR422" s="11"/>
      <c r="HS422" s="11"/>
      <c r="HT422" s="11"/>
      <c r="HU422" s="11"/>
      <c r="HV422" s="11"/>
      <c r="HW422" s="11"/>
      <c r="HX422" s="11"/>
      <c r="HY422" s="11"/>
      <c r="HZ422" s="11"/>
      <c r="IA422" s="11"/>
      <c r="IB422" s="11"/>
      <c r="IC422" s="11"/>
      <c r="ID422" s="11"/>
      <c r="IE422" s="11"/>
      <c r="IF422" s="11"/>
      <c r="IG422" s="11"/>
      <c r="IH422" s="11"/>
      <c r="II422" s="11"/>
      <c r="IJ422" s="11"/>
      <c r="IK422" s="11"/>
      <c r="IL422" s="11"/>
      <c r="IM422" s="11"/>
      <c r="IN422" s="11"/>
      <c r="IO422" s="11"/>
      <c r="IP422" s="11"/>
      <c r="IQ422" s="11"/>
      <c r="IR422" s="11"/>
      <c r="IS422" s="11"/>
      <c r="IT422" s="11"/>
      <c r="IU422" s="11"/>
      <c r="IV422" s="11"/>
      <c r="IW422" s="11"/>
      <c r="IX422" s="11"/>
      <c r="IY422" s="11"/>
      <c r="IZ422" s="11"/>
      <c r="JA422" s="11"/>
      <c r="JB422" s="11"/>
      <c r="JC422" s="11"/>
      <c r="JD422" s="11"/>
      <c r="JE422" s="11"/>
      <c r="JF422" s="11"/>
      <c r="JG422" s="11"/>
      <c r="JH422" s="11"/>
      <c r="JI422" s="11"/>
      <c r="JJ422" s="11"/>
      <c r="JK422" s="11"/>
      <c r="JL422" s="11"/>
      <c r="JM422" s="11"/>
      <c r="JN422" s="11"/>
      <c r="JO422" s="11"/>
      <c r="JP422" s="11"/>
      <c r="JQ422" s="11"/>
      <c r="JR422" s="11"/>
      <c r="JS422" s="11"/>
      <c r="JT422" s="11"/>
      <c r="JU422" s="11"/>
      <c r="JV422" s="11"/>
      <c r="JW422" s="11"/>
      <c r="JX422" s="11"/>
      <c r="JY422" s="11"/>
      <c r="JZ422" s="11"/>
      <c r="KA422" s="11"/>
      <c r="KB422" s="11"/>
      <c r="KC422" s="11"/>
      <c r="KD422" s="11"/>
      <c r="KE422" s="11"/>
      <c r="KF422" s="11"/>
      <c r="KG422" s="11"/>
      <c r="KH422" s="11"/>
      <c r="KI422" s="11"/>
      <c r="KJ422" s="11"/>
      <c r="KK422" s="11"/>
      <c r="KL422" s="11"/>
      <c r="KM422" s="11"/>
      <c r="KN422" s="11"/>
      <c r="KO422" s="11"/>
      <c r="KP422" s="11"/>
      <c r="KQ422" s="11"/>
      <c r="KR422" s="11"/>
      <c r="KS422" s="11"/>
      <c r="KT422" s="11"/>
      <c r="KU422" s="11"/>
      <c r="KV422" s="11"/>
      <c r="KW422" s="11"/>
      <c r="KX422" s="11"/>
      <c r="KY422" s="11"/>
      <c r="KZ422" s="11"/>
      <c r="LA422" s="11"/>
      <c r="LB422" s="11"/>
      <c r="LC422" s="11"/>
      <c r="LD422" s="11"/>
      <c r="LE422" s="11"/>
      <c r="LF422" s="11"/>
      <c r="LG422" s="11"/>
      <c r="LH422" s="11"/>
      <c r="LI422" s="11">
        <v>1</v>
      </c>
      <c r="LJ422" s="11"/>
      <c r="LK422" s="11"/>
      <c r="LL422" s="11"/>
      <c r="LM422" s="11"/>
      <c r="LN422" s="11"/>
      <c r="LO422" s="11"/>
      <c r="LP422" s="11"/>
      <c r="LQ422" s="11"/>
      <c r="LR422" s="11"/>
      <c r="LS422" s="11"/>
      <c r="LT422" s="11"/>
      <c r="LU422" s="11"/>
      <c r="LV422" s="11"/>
      <c r="LW422" s="11"/>
      <c r="LX422" s="11"/>
      <c r="LY422" s="11"/>
      <c r="LZ422" s="11"/>
      <c r="MA422" s="11"/>
      <c r="MB422" s="11"/>
      <c r="MC422" s="11"/>
      <c r="MD422" s="11"/>
      <c r="ME422" s="11"/>
      <c r="MF422" s="11"/>
      <c r="MG422" s="11"/>
      <c r="MH422" s="11"/>
      <c r="MI422" s="11"/>
      <c r="MJ422" s="11"/>
      <c r="MK422" s="11"/>
      <c r="ML422" s="11"/>
      <c r="MM422" s="11"/>
      <c r="MN422" s="11"/>
      <c r="MO422" s="11"/>
      <c r="MP422" s="11"/>
      <c r="MQ422" s="11"/>
      <c r="MR422" s="11"/>
      <c r="MS422" s="11"/>
      <c r="MT422" s="11"/>
      <c r="MU422" s="11"/>
      <c r="MV422" s="11"/>
      <c r="MW422" s="11"/>
      <c r="MX422" s="11"/>
      <c r="MY422" s="11"/>
      <c r="MZ422" s="11"/>
      <c r="NA422" s="11"/>
      <c r="NB422" s="11"/>
      <c r="NC422" s="11"/>
      <c r="ND422" s="11"/>
      <c r="NE422" s="11"/>
      <c r="NF422" s="11"/>
      <c r="NG422" s="11"/>
      <c r="NH422" s="11"/>
      <c r="NI422" s="11"/>
      <c r="NJ422" s="11"/>
      <c r="NK422" s="11"/>
      <c r="NL422" s="11"/>
      <c r="NM422" s="11"/>
      <c r="NN422" s="11"/>
      <c r="NO422" s="11"/>
      <c r="NP422" s="11"/>
      <c r="NQ422" s="11"/>
      <c r="NR422" s="11"/>
      <c r="NS422" s="11"/>
      <c r="NT422" s="11"/>
      <c r="NU422" s="11"/>
      <c r="NV422" s="11"/>
      <c r="NW422" s="11"/>
      <c r="NX422" s="11"/>
      <c r="NY422" s="11"/>
      <c r="NZ422" s="11"/>
      <c r="OA422" s="11"/>
      <c r="OB422" s="11"/>
      <c r="OC422" s="11"/>
      <c r="OD422" s="11"/>
      <c r="OE422" s="11"/>
      <c r="OF422" s="11"/>
      <c r="OG422" s="11"/>
      <c r="OH422" s="11"/>
      <c r="OI422" s="11"/>
      <c r="OJ422" s="11"/>
      <c r="OK422" s="11"/>
      <c r="OL422" s="11"/>
      <c r="OM422" s="11"/>
      <c r="ON422" s="11"/>
      <c r="OO422" s="11"/>
      <c r="OP422" s="11"/>
      <c r="OQ422" s="11"/>
      <c r="OR422" s="11"/>
      <c r="OS422" s="11"/>
      <c r="OT422" s="11"/>
      <c r="OU422" s="11"/>
      <c r="OV422" s="11"/>
      <c r="OW422" s="11"/>
      <c r="OX422" s="11"/>
      <c r="OY422" s="11"/>
      <c r="OZ422" s="11"/>
      <c r="PA422" s="11"/>
      <c r="PB422" s="11"/>
      <c r="PC422" s="11"/>
      <c r="PD422" s="11"/>
      <c r="PE422" s="11"/>
      <c r="PF422" s="11"/>
      <c r="PG422" s="11"/>
      <c r="PH422" s="11"/>
      <c r="PI422" s="11"/>
      <c r="PJ422" s="11"/>
      <c r="PK422" s="11"/>
      <c r="PL422" s="11"/>
      <c r="PM422" s="11"/>
      <c r="PN422" s="11"/>
      <c r="PO422" s="11"/>
      <c r="PP422" s="11"/>
      <c r="PQ422" s="11"/>
      <c r="PR422" s="11"/>
      <c r="PS422" s="11"/>
      <c r="PT422" s="11"/>
      <c r="PU422" s="11"/>
      <c r="PV422" s="11"/>
      <c r="PW422" s="11"/>
      <c r="PX422" s="11"/>
      <c r="PY422" s="11"/>
      <c r="PZ422" s="11"/>
      <c r="QA422" s="11"/>
      <c r="QB422" s="11"/>
      <c r="QC422" s="11"/>
      <c r="QD422" s="11"/>
      <c r="QE422" s="11"/>
      <c r="QF422" s="11"/>
      <c r="QG422" s="11"/>
      <c r="QH422" s="11"/>
      <c r="QI422" s="11"/>
      <c r="QJ422" s="11"/>
      <c r="QK422" s="11"/>
      <c r="QL422" s="11"/>
      <c r="QM422" s="11"/>
      <c r="QN422" s="11"/>
      <c r="QO422" s="11"/>
      <c r="QP422" s="11"/>
      <c r="QQ422" s="11"/>
      <c r="QR422" s="11"/>
      <c r="QS422" s="11"/>
      <c r="QT422" s="11"/>
      <c r="QU422" s="11"/>
      <c r="QV422" s="11"/>
      <c r="QW422" s="11"/>
      <c r="QX422" s="11"/>
      <c r="QY422" s="11"/>
      <c r="QZ422" s="11"/>
      <c r="RA422" s="11"/>
      <c r="RB422" s="11"/>
      <c r="RC422" s="11"/>
      <c r="RD422" s="11"/>
      <c r="RE422" s="11"/>
      <c r="RF422" s="11"/>
      <c r="RG422" s="11"/>
      <c r="RH422" s="11"/>
      <c r="RI422" s="11"/>
      <c r="RJ422" s="11"/>
      <c r="RK422" s="11"/>
      <c r="RL422" s="11"/>
      <c r="RM422" s="11"/>
      <c r="RN422" s="11"/>
      <c r="RO422" s="11"/>
      <c r="RP422" s="11"/>
      <c r="RQ422" s="11"/>
      <c r="RR422" s="11"/>
      <c r="RS422" s="11"/>
      <c r="RT422" s="11"/>
      <c r="RU422" s="11"/>
      <c r="RV422" s="11"/>
      <c r="RW422" s="11"/>
      <c r="RX422" s="11"/>
      <c r="RY422" s="11"/>
      <c r="RZ422" s="11"/>
      <c r="SA422" s="11"/>
      <c r="SB422" s="11"/>
      <c r="SC422" s="11"/>
      <c r="SD422" s="11"/>
      <c r="SE422" s="11"/>
      <c r="SF422" s="11"/>
      <c r="SG422" s="11"/>
      <c r="SH422" s="11">
        <v>1</v>
      </c>
    </row>
    <row r="423" spans="1:502" x14ac:dyDescent="0.2">
      <c r="A423" s="10">
        <v>4.6076159377520458E-2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>
        <v>1</v>
      </c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/>
      <c r="FX423" s="11"/>
      <c r="FY423" s="11"/>
      <c r="FZ423" s="11"/>
      <c r="GA423" s="11"/>
      <c r="GB423" s="11"/>
      <c r="GC423" s="11"/>
      <c r="GD423" s="11"/>
      <c r="GE423" s="11"/>
      <c r="GF423" s="11"/>
      <c r="GG423" s="11"/>
      <c r="GH423" s="11"/>
      <c r="GI423" s="11"/>
      <c r="GJ423" s="11"/>
      <c r="GK423" s="11"/>
      <c r="GL423" s="11"/>
      <c r="GM423" s="11"/>
      <c r="GN423" s="11"/>
      <c r="GO423" s="11"/>
      <c r="GP423" s="11"/>
      <c r="GQ423" s="11"/>
      <c r="GR423" s="11"/>
      <c r="GS423" s="11"/>
      <c r="GT423" s="11"/>
      <c r="GU423" s="11"/>
      <c r="GV423" s="11"/>
      <c r="GW423" s="11"/>
      <c r="GX423" s="11"/>
      <c r="GY423" s="11"/>
      <c r="GZ423" s="11"/>
      <c r="HA423" s="11"/>
      <c r="HB423" s="11"/>
      <c r="HC423" s="11"/>
      <c r="HD423" s="11"/>
      <c r="HE423" s="11"/>
      <c r="HF423" s="11"/>
      <c r="HG423" s="11"/>
      <c r="HH423" s="11"/>
      <c r="HI423" s="11"/>
      <c r="HJ423" s="11"/>
      <c r="HK423" s="11"/>
      <c r="HL423" s="11"/>
      <c r="HM423" s="11"/>
      <c r="HN423" s="11"/>
      <c r="HO423" s="11"/>
      <c r="HP423" s="11"/>
      <c r="HQ423" s="11"/>
      <c r="HR423" s="11"/>
      <c r="HS423" s="11"/>
      <c r="HT423" s="11"/>
      <c r="HU423" s="11"/>
      <c r="HV423" s="11"/>
      <c r="HW423" s="11"/>
      <c r="HX423" s="11"/>
      <c r="HY423" s="11"/>
      <c r="HZ423" s="11"/>
      <c r="IA423" s="11"/>
      <c r="IB423" s="11"/>
      <c r="IC423" s="11"/>
      <c r="ID423" s="11"/>
      <c r="IE423" s="11"/>
      <c r="IF423" s="11"/>
      <c r="IG423" s="11"/>
      <c r="IH423" s="11"/>
      <c r="II423" s="11"/>
      <c r="IJ423" s="11"/>
      <c r="IK423" s="11"/>
      <c r="IL423" s="11"/>
      <c r="IM423" s="11"/>
      <c r="IN423" s="11"/>
      <c r="IO423" s="11"/>
      <c r="IP423" s="11"/>
      <c r="IQ423" s="11"/>
      <c r="IR423" s="11"/>
      <c r="IS423" s="11"/>
      <c r="IT423" s="11"/>
      <c r="IU423" s="11"/>
      <c r="IV423" s="11"/>
      <c r="IW423" s="11"/>
      <c r="IX423" s="11"/>
      <c r="IY423" s="11"/>
      <c r="IZ423" s="11"/>
      <c r="JA423" s="11"/>
      <c r="JB423" s="11"/>
      <c r="JC423" s="11"/>
      <c r="JD423" s="11"/>
      <c r="JE423" s="11"/>
      <c r="JF423" s="11"/>
      <c r="JG423" s="11"/>
      <c r="JH423" s="11"/>
      <c r="JI423" s="11"/>
      <c r="JJ423" s="11"/>
      <c r="JK423" s="11"/>
      <c r="JL423" s="11"/>
      <c r="JM423" s="11"/>
      <c r="JN423" s="11"/>
      <c r="JO423" s="11"/>
      <c r="JP423" s="11"/>
      <c r="JQ423" s="11"/>
      <c r="JR423" s="11"/>
      <c r="JS423" s="11"/>
      <c r="JT423" s="11"/>
      <c r="JU423" s="11"/>
      <c r="JV423" s="11"/>
      <c r="JW423" s="11"/>
      <c r="JX423" s="11"/>
      <c r="JY423" s="11"/>
      <c r="JZ423" s="11"/>
      <c r="KA423" s="11"/>
      <c r="KB423" s="11"/>
      <c r="KC423" s="11"/>
      <c r="KD423" s="11"/>
      <c r="KE423" s="11"/>
      <c r="KF423" s="11"/>
      <c r="KG423" s="11"/>
      <c r="KH423" s="11"/>
      <c r="KI423" s="11"/>
      <c r="KJ423" s="11"/>
      <c r="KK423" s="11"/>
      <c r="KL423" s="11"/>
      <c r="KM423" s="11"/>
      <c r="KN423" s="11"/>
      <c r="KO423" s="11"/>
      <c r="KP423" s="11"/>
      <c r="KQ423" s="11"/>
      <c r="KR423" s="11"/>
      <c r="KS423" s="11"/>
      <c r="KT423" s="11"/>
      <c r="KU423" s="11"/>
      <c r="KV423" s="11"/>
      <c r="KW423" s="11"/>
      <c r="KX423" s="11"/>
      <c r="KY423" s="11"/>
      <c r="KZ423" s="11"/>
      <c r="LA423" s="11"/>
      <c r="LB423" s="11"/>
      <c r="LC423" s="11"/>
      <c r="LD423" s="11"/>
      <c r="LE423" s="11"/>
      <c r="LF423" s="11"/>
      <c r="LG423" s="11"/>
      <c r="LH423" s="11"/>
      <c r="LI423" s="11"/>
      <c r="LJ423" s="11"/>
      <c r="LK423" s="11"/>
      <c r="LL423" s="11"/>
      <c r="LM423" s="11"/>
      <c r="LN423" s="11"/>
      <c r="LO423" s="11"/>
      <c r="LP423" s="11"/>
      <c r="LQ423" s="11"/>
      <c r="LR423" s="11"/>
      <c r="LS423" s="11"/>
      <c r="LT423" s="11"/>
      <c r="LU423" s="11"/>
      <c r="LV423" s="11"/>
      <c r="LW423" s="11"/>
      <c r="LX423" s="11"/>
      <c r="LY423" s="11"/>
      <c r="LZ423" s="11"/>
      <c r="MA423" s="11"/>
      <c r="MB423" s="11"/>
      <c r="MC423" s="11"/>
      <c r="MD423" s="11"/>
      <c r="ME423" s="11"/>
      <c r="MF423" s="11"/>
      <c r="MG423" s="11"/>
      <c r="MH423" s="11"/>
      <c r="MI423" s="11"/>
      <c r="MJ423" s="11"/>
      <c r="MK423" s="11"/>
      <c r="ML423" s="11"/>
      <c r="MM423" s="11"/>
      <c r="MN423" s="11"/>
      <c r="MO423" s="11"/>
      <c r="MP423" s="11"/>
      <c r="MQ423" s="11"/>
      <c r="MR423" s="11"/>
      <c r="MS423" s="11"/>
      <c r="MT423" s="11"/>
      <c r="MU423" s="11"/>
      <c r="MV423" s="11"/>
      <c r="MW423" s="11"/>
      <c r="MX423" s="11"/>
      <c r="MY423" s="11"/>
      <c r="MZ423" s="11"/>
      <c r="NA423" s="11"/>
      <c r="NB423" s="11"/>
      <c r="NC423" s="11"/>
      <c r="ND423" s="11"/>
      <c r="NE423" s="11"/>
      <c r="NF423" s="11"/>
      <c r="NG423" s="11"/>
      <c r="NH423" s="11"/>
      <c r="NI423" s="11"/>
      <c r="NJ423" s="11"/>
      <c r="NK423" s="11"/>
      <c r="NL423" s="11"/>
      <c r="NM423" s="11"/>
      <c r="NN423" s="11"/>
      <c r="NO423" s="11"/>
      <c r="NP423" s="11"/>
      <c r="NQ423" s="11"/>
      <c r="NR423" s="11"/>
      <c r="NS423" s="11"/>
      <c r="NT423" s="11"/>
      <c r="NU423" s="11"/>
      <c r="NV423" s="11"/>
      <c r="NW423" s="11"/>
      <c r="NX423" s="11"/>
      <c r="NY423" s="11"/>
      <c r="NZ423" s="11"/>
      <c r="OA423" s="11"/>
      <c r="OB423" s="11"/>
      <c r="OC423" s="11"/>
      <c r="OD423" s="11"/>
      <c r="OE423" s="11"/>
      <c r="OF423" s="11"/>
      <c r="OG423" s="11"/>
      <c r="OH423" s="11"/>
      <c r="OI423" s="11"/>
      <c r="OJ423" s="11"/>
      <c r="OK423" s="11"/>
      <c r="OL423" s="11"/>
      <c r="OM423" s="11"/>
      <c r="ON423" s="11"/>
      <c r="OO423" s="11"/>
      <c r="OP423" s="11"/>
      <c r="OQ423" s="11"/>
      <c r="OR423" s="11"/>
      <c r="OS423" s="11"/>
      <c r="OT423" s="11"/>
      <c r="OU423" s="11"/>
      <c r="OV423" s="11"/>
      <c r="OW423" s="11"/>
      <c r="OX423" s="11"/>
      <c r="OY423" s="11"/>
      <c r="OZ423" s="11"/>
      <c r="PA423" s="11"/>
      <c r="PB423" s="11"/>
      <c r="PC423" s="11"/>
      <c r="PD423" s="11"/>
      <c r="PE423" s="11"/>
      <c r="PF423" s="11"/>
      <c r="PG423" s="11"/>
      <c r="PH423" s="11"/>
      <c r="PI423" s="11"/>
      <c r="PJ423" s="11"/>
      <c r="PK423" s="11"/>
      <c r="PL423" s="11"/>
      <c r="PM423" s="11"/>
      <c r="PN423" s="11"/>
      <c r="PO423" s="11"/>
      <c r="PP423" s="11"/>
      <c r="PQ423" s="11"/>
      <c r="PR423" s="11"/>
      <c r="PS423" s="11"/>
      <c r="PT423" s="11"/>
      <c r="PU423" s="11"/>
      <c r="PV423" s="11"/>
      <c r="PW423" s="11"/>
      <c r="PX423" s="11"/>
      <c r="PY423" s="11"/>
      <c r="PZ423" s="11"/>
      <c r="QA423" s="11"/>
      <c r="QB423" s="11"/>
      <c r="QC423" s="11"/>
      <c r="QD423" s="11"/>
      <c r="QE423" s="11"/>
      <c r="QF423" s="11"/>
      <c r="QG423" s="11"/>
      <c r="QH423" s="11"/>
      <c r="QI423" s="11"/>
      <c r="QJ423" s="11"/>
      <c r="QK423" s="11"/>
      <c r="QL423" s="11"/>
      <c r="QM423" s="11"/>
      <c r="QN423" s="11"/>
      <c r="QO423" s="11"/>
      <c r="QP423" s="11"/>
      <c r="QQ423" s="11"/>
      <c r="QR423" s="11"/>
      <c r="QS423" s="11"/>
      <c r="QT423" s="11"/>
      <c r="QU423" s="11"/>
      <c r="QV423" s="11"/>
      <c r="QW423" s="11"/>
      <c r="QX423" s="11"/>
      <c r="QY423" s="11"/>
      <c r="QZ423" s="11"/>
      <c r="RA423" s="11"/>
      <c r="RB423" s="11"/>
      <c r="RC423" s="11"/>
      <c r="RD423" s="11"/>
      <c r="RE423" s="11"/>
      <c r="RF423" s="11"/>
      <c r="RG423" s="11"/>
      <c r="RH423" s="11"/>
      <c r="RI423" s="11"/>
      <c r="RJ423" s="11"/>
      <c r="RK423" s="11"/>
      <c r="RL423" s="11"/>
      <c r="RM423" s="11"/>
      <c r="RN423" s="11"/>
      <c r="RO423" s="11"/>
      <c r="RP423" s="11"/>
      <c r="RQ423" s="11"/>
      <c r="RR423" s="11"/>
      <c r="RS423" s="11"/>
      <c r="RT423" s="11"/>
      <c r="RU423" s="11"/>
      <c r="RV423" s="11"/>
      <c r="RW423" s="11"/>
      <c r="RX423" s="11"/>
      <c r="RY423" s="11"/>
      <c r="RZ423" s="11"/>
      <c r="SA423" s="11"/>
      <c r="SB423" s="11"/>
      <c r="SC423" s="11"/>
      <c r="SD423" s="11"/>
      <c r="SE423" s="11"/>
      <c r="SF423" s="11"/>
      <c r="SG423" s="11"/>
      <c r="SH423" s="11">
        <v>1</v>
      </c>
    </row>
    <row r="424" spans="1:502" x14ac:dyDescent="0.2">
      <c r="A424" s="10">
        <v>4.6127076084620279E-2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>
        <v>1</v>
      </c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  <c r="HO424" s="11"/>
      <c r="HP424" s="11"/>
      <c r="HQ424" s="11"/>
      <c r="HR424" s="11"/>
      <c r="HS424" s="11"/>
      <c r="HT424" s="11"/>
      <c r="HU424" s="11"/>
      <c r="HV424" s="11"/>
      <c r="HW424" s="11"/>
      <c r="HX424" s="11"/>
      <c r="HY424" s="11"/>
      <c r="HZ424" s="11"/>
      <c r="IA424" s="11"/>
      <c r="IB424" s="11"/>
      <c r="IC424" s="11"/>
      <c r="ID424" s="11"/>
      <c r="IE424" s="11"/>
      <c r="IF424" s="11"/>
      <c r="IG424" s="11"/>
      <c r="IH424" s="11"/>
      <c r="II424" s="11"/>
      <c r="IJ424" s="11"/>
      <c r="IK424" s="11"/>
      <c r="IL424" s="11"/>
      <c r="IM424" s="11"/>
      <c r="IN424" s="11"/>
      <c r="IO424" s="11"/>
      <c r="IP424" s="11"/>
      <c r="IQ424" s="11"/>
      <c r="IR424" s="11"/>
      <c r="IS424" s="11"/>
      <c r="IT424" s="11"/>
      <c r="IU424" s="11"/>
      <c r="IV424" s="11"/>
      <c r="IW424" s="11"/>
      <c r="IX424" s="11"/>
      <c r="IY424" s="11"/>
      <c r="IZ424" s="11"/>
      <c r="JA424" s="11"/>
      <c r="JB424" s="11"/>
      <c r="JC424" s="11"/>
      <c r="JD424" s="11"/>
      <c r="JE424" s="11"/>
      <c r="JF424" s="11"/>
      <c r="JG424" s="11"/>
      <c r="JH424" s="11"/>
      <c r="JI424" s="11"/>
      <c r="JJ424" s="11"/>
      <c r="JK424" s="11"/>
      <c r="JL424" s="11"/>
      <c r="JM424" s="11"/>
      <c r="JN424" s="11"/>
      <c r="JO424" s="11"/>
      <c r="JP424" s="11"/>
      <c r="JQ424" s="11"/>
      <c r="JR424" s="11"/>
      <c r="JS424" s="11"/>
      <c r="JT424" s="11"/>
      <c r="JU424" s="11"/>
      <c r="JV424" s="11"/>
      <c r="JW424" s="11"/>
      <c r="JX424" s="11"/>
      <c r="JY424" s="11"/>
      <c r="JZ424" s="11"/>
      <c r="KA424" s="11"/>
      <c r="KB424" s="11"/>
      <c r="KC424" s="11"/>
      <c r="KD424" s="11"/>
      <c r="KE424" s="11"/>
      <c r="KF424" s="11"/>
      <c r="KG424" s="11"/>
      <c r="KH424" s="11"/>
      <c r="KI424" s="11"/>
      <c r="KJ424" s="11"/>
      <c r="KK424" s="11"/>
      <c r="KL424" s="11"/>
      <c r="KM424" s="11"/>
      <c r="KN424" s="11"/>
      <c r="KO424" s="11"/>
      <c r="KP424" s="11"/>
      <c r="KQ424" s="11"/>
      <c r="KR424" s="11"/>
      <c r="KS424" s="11"/>
      <c r="KT424" s="11"/>
      <c r="KU424" s="11"/>
      <c r="KV424" s="11"/>
      <c r="KW424" s="11"/>
      <c r="KX424" s="11"/>
      <c r="KY424" s="11"/>
      <c r="KZ424" s="11"/>
      <c r="LA424" s="11"/>
      <c r="LB424" s="11"/>
      <c r="LC424" s="11"/>
      <c r="LD424" s="11"/>
      <c r="LE424" s="11"/>
      <c r="LF424" s="11"/>
      <c r="LG424" s="11"/>
      <c r="LH424" s="11"/>
      <c r="LI424" s="11"/>
      <c r="LJ424" s="11"/>
      <c r="LK424" s="11"/>
      <c r="LL424" s="11"/>
      <c r="LM424" s="11"/>
      <c r="LN424" s="11"/>
      <c r="LO424" s="11"/>
      <c r="LP424" s="11"/>
      <c r="LQ424" s="11"/>
      <c r="LR424" s="11"/>
      <c r="LS424" s="11"/>
      <c r="LT424" s="11"/>
      <c r="LU424" s="11"/>
      <c r="LV424" s="11"/>
      <c r="LW424" s="11"/>
      <c r="LX424" s="11"/>
      <c r="LY424" s="11"/>
      <c r="LZ424" s="11"/>
      <c r="MA424" s="11"/>
      <c r="MB424" s="11"/>
      <c r="MC424" s="11"/>
      <c r="MD424" s="11"/>
      <c r="ME424" s="11"/>
      <c r="MF424" s="11"/>
      <c r="MG424" s="11"/>
      <c r="MH424" s="11"/>
      <c r="MI424" s="11"/>
      <c r="MJ424" s="11"/>
      <c r="MK424" s="11"/>
      <c r="ML424" s="11"/>
      <c r="MM424" s="11"/>
      <c r="MN424" s="11"/>
      <c r="MO424" s="11"/>
      <c r="MP424" s="11"/>
      <c r="MQ424" s="11"/>
      <c r="MR424" s="11"/>
      <c r="MS424" s="11"/>
      <c r="MT424" s="11"/>
      <c r="MU424" s="11"/>
      <c r="MV424" s="11"/>
      <c r="MW424" s="11"/>
      <c r="MX424" s="11"/>
      <c r="MY424" s="11"/>
      <c r="MZ424" s="11"/>
      <c r="NA424" s="11"/>
      <c r="NB424" s="11"/>
      <c r="NC424" s="11"/>
      <c r="ND424" s="11"/>
      <c r="NE424" s="11"/>
      <c r="NF424" s="11"/>
      <c r="NG424" s="11"/>
      <c r="NH424" s="11"/>
      <c r="NI424" s="11"/>
      <c r="NJ424" s="11"/>
      <c r="NK424" s="11"/>
      <c r="NL424" s="11"/>
      <c r="NM424" s="11"/>
      <c r="NN424" s="11"/>
      <c r="NO424" s="11"/>
      <c r="NP424" s="11"/>
      <c r="NQ424" s="11"/>
      <c r="NR424" s="11"/>
      <c r="NS424" s="11"/>
      <c r="NT424" s="11"/>
      <c r="NU424" s="11"/>
      <c r="NV424" s="11"/>
      <c r="NW424" s="11"/>
      <c r="NX424" s="11"/>
      <c r="NY424" s="11"/>
      <c r="NZ424" s="11"/>
      <c r="OA424" s="11"/>
      <c r="OB424" s="11"/>
      <c r="OC424" s="11"/>
      <c r="OD424" s="11"/>
      <c r="OE424" s="11"/>
      <c r="OF424" s="11"/>
      <c r="OG424" s="11"/>
      <c r="OH424" s="11"/>
      <c r="OI424" s="11"/>
      <c r="OJ424" s="11"/>
      <c r="OK424" s="11"/>
      <c r="OL424" s="11"/>
      <c r="OM424" s="11"/>
      <c r="ON424" s="11"/>
      <c r="OO424" s="11"/>
      <c r="OP424" s="11"/>
      <c r="OQ424" s="11"/>
      <c r="OR424" s="11"/>
      <c r="OS424" s="11"/>
      <c r="OT424" s="11"/>
      <c r="OU424" s="11"/>
      <c r="OV424" s="11"/>
      <c r="OW424" s="11"/>
      <c r="OX424" s="11"/>
      <c r="OY424" s="11"/>
      <c r="OZ424" s="11"/>
      <c r="PA424" s="11"/>
      <c r="PB424" s="11"/>
      <c r="PC424" s="11"/>
      <c r="PD424" s="11"/>
      <c r="PE424" s="11"/>
      <c r="PF424" s="11"/>
      <c r="PG424" s="11"/>
      <c r="PH424" s="11"/>
      <c r="PI424" s="11"/>
      <c r="PJ424" s="11"/>
      <c r="PK424" s="11"/>
      <c r="PL424" s="11"/>
      <c r="PM424" s="11"/>
      <c r="PN424" s="11"/>
      <c r="PO424" s="11"/>
      <c r="PP424" s="11"/>
      <c r="PQ424" s="11"/>
      <c r="PR424" s="11"/>
      <c r="PS424" s="11"/>
      <c r="PT424" s="11"/>
      <c r="PU424" s="11"/>
      <c r="PV424" s="11"/>
      <c r="PW424" s="11"/>
      <c r="PX424" s="11"/>
      <c r="PY424" s="11"/>
      <c r="PZ424" s="11"/>
      <c r="QA424" s="11"/>
      <c r="QB424" s="11"/>
      <c r="QC424" s="11"/>
      <c r="QD424" s="11"/>
      <c r="QE424" s="11"/>
      <c r="QF424" s="11"/>
      <c r="QG424" s="11"/>
      <c r="QH424" s="11"/>
      <c r="QI424" s="11"/>
      <c r="QJ424" s="11"/>
      <c r="QK424" s="11"/>
      <c r="QL424" s="11"/>
      <c r="QM424" s="11"/>
      <c r="QN424" s="11"/>
      <c r="QO424" s="11"/>
      <c r="QP424" s="11"/>
      <c r="QQ424" s="11"/>
      <c r="QR424" s="11"/>
      <c r="QS424" s="11"/>
      <c r="QT424" s="11"/>
      <c r="QU424" s="11"/>
      <c r="QV424" s="11"/>
      <c r="QW424" s="11"/>
      <c r="QX424" s="11"/>
      <c r="QY424" s="11"/>
      <c r="QZ424" s="11"/>
      <c r="RA424" s="11"/>
      <c r="RB424" s="11"/>
      <c r="RC424" s="11"/>
      <c r="RD424" s="11"/>
      <c r="RE424" s="11"/>
      <c r="RF424" s="11"/>
      <c r="RG424" s="11"/>
      <c r="RH424" s="11"/>
      <c r="RI424" s="11"/>
      <c r="RJ424" s="11"/>
      <c r="RK424" s="11"/>
      <c r="RL424" s="11"/>
      <c r="RM424" s="11"/>
      <c r="RN424" s="11"/>
      <c r="RO424" s="11"/>
      <c r="RP424" s="11"/>
      <c r="RQ424" s="11"/>
      <c r="RR424" s="11"/>
      <c r="RS424" s="11"/>
      <c r="RT424" s="11"/>
      <c r="RU424" s="11"/>
      <c r="RV424" s="11"/>
      <c r="RW424" s="11"/>
      <c r="RX424" s="11"/>
      <c r="RY424" s="11"/>
      <c r="RZ424" s="11"/>
      <c r="SA424" s="11"/>
      <c r="SB424" s="11"/>
      <c r="SC424" s="11"/>
      <c r="SD424" s="11"/>
      <c r="SE424" s="11"/>
      <c r="SF424" s="11"/>
      <c r="SG424" s="11"/>
      <c r="SH424" s="11">
        <v>1</v>
      </c>
    </row>
    <row r="425" spans="1:502" x14ac:dyDescent="0.2">
      <c r="A425" s="10">
        <v>4.64802779896425E-2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>
        <v>1</v>
      </c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  <c r="NE425" s="11"/>
      <c r="NF425" s="11"/>
      <c r="NG425" s="11"/>
      <c r="NH425" s="11"/>
      <c r="NI425" s="11"/>
      <c r="NJ425" s="11"/>
      <c r="NK425" s="11"/>
      <c r="NL425" s="11"/>
      <c r="NM425" s="11"/>
      <c r="NN425" s="11"/>
      <c r="NO425" s="11"/>
      <c r="NP425" s="11"/>
      <c r="NQ425" s="11"/>
      <c r="NR425" s="11"/>
      <c r="NS425" s="11"/>
      <c r="NT425" s="11"/>
      <c r="NU425" s="11"/>
      <c r="NV425" s="11"/>
      <c r="NW425" s="11"/>
      <c r="NX425" s="11"/>
      <c r="NY425" s="11"/>
      <c r="NZ425" s="11"/>
      <c r="OA425" s="11"/>
      <c r="OB425" s="11"/>
      <c r="OC425" s="11"/>
      <c r="OD425" s="11"/>
      <c r="OE425" s="11"/>
      <c r="OF425" s="11"/>
      <c r="OG425" s="11"/>
      <c r="OH425" s="11"/>
      <c r="OI425" s="11"/>
      <c r="OJ425" s="11"/>
      <c r="OK425" s="11"/>
      <c r="OL425" s="11"/>
      <c r="OM425" s="11"/>
      <c r="ON425" s="11"/>
      <c r="OO425" s="11"/>
      <c r="OP425" s="11"/>
      <c r="OQ425" s="11"/>
      <c r="OR425" s="11"/>
      <c r="OS425" s="11"/>
      <c r="OT425" s="11"/>
      <c r="OU425" s="11"/>
      <c r="OV425" s="11"/>
      <c r="OW425" s="11"/>
      <c r="OX425" s="11"/>
      <c r="OY425" s="11"/>
      <c r="OZ425" s="11"/>
      <c r="PA425" s="11"/>
      <c r="PB425" s="11"/>
      <c r="PC425" s="11"/>
      <c r="PD425" s="11"/>
      <c r="PE425" s="11"/>
      <c r="PF425" s="11"/>
      <c r="PG425" s="11"/>
      <c r="PH425" s="11"/>
      <c r="PI425" s="11"/>
      <c r="PJ425" s="11"/>
      <c r="PK425" s="11"/>
      <c r="PL425" s="11"/>
      <c r="PM425" s="11"/>
      <c r="PN425" s="11"/>
      <c r="PO425" s="11"/>
      <c r="PP425" s="11"/>
      <c r="PQ425" s="11"/>
      <c r="PR425" s="11"/>
      <c r="PS425" s="11"/>
      <c r="PT425" s="11"/>
      <c r="PU425" s="11"/>
      <c r="PV425" s="11"/>
      <c r="PW425" s="11"/>
      <c r="PX425" s="11"/>
      <c r="PY425" s="11"/>
      <c r="PZ425" s="11"/>
      <c r="QA425" s="11"/>
      <c r="QB425" s="11"/>
      <c r="QC425" s="11"/>
      <c r="QD425" s="11"/>
      <c r="QE425" s="11"/>
      <c r="QF425" s="11"/>
      <c r="QG425" s="11"/>
      <c r="QH425" s="11"/>
      <c r="QI425" s="11"/>
      <c r="QJ425" s="11"/>
      <c r="QK425" s="11"/>
      <c r="QL425" s="11"/>
      <c r="QM425" s="11"/>
      <c r="QN425" s="11"/>
      <c r="QO425" s="11"/>
      <c r="QP425" s="11"/>
      <c r="QQ425" s="11"/>
      <c r="QR425" s="11"/>
      <c r="QS425" s="11"/>
      <c r="QT425" s="11"/>
      <c r="QU425" s="11"/>
      <c r="QV425" s="11"/>
      <c r="QW425" s="11"/>
      <c r="QX425" s="11"/>
      <c r="QY425" s="11"/>
      <c r="QZ425" s="11"/>
      <c r="RA425" s="11"/>
      <c r="RB425" s="11"/>
      <c r="RC425" s="11"/>
      <c r="RD425" s="11"/>
      <c r="RE425" s="11"/>
      <c r="RF425" s="11"/>
      <c r="RG425" s="11"/>
      <c r="RH425" s="11"/>
      <c r="RI425" s="11"/>
      <c r="RJ425" s="11"/>
      <c r="RK425" s="11"/>
      <c r="RL425" s="11"/>
      <c r="RM425" s="11"/>
      <c r="RN425" s="11"/>
      <c r="RO425" s="11"/>
      <c r="RP425" s="11"/>
      <c r="RQ425" s="11"/>
      <c r="RR425" s="11"/>
      <c r="RS425" s="11"/>
      <c r="RT425" s="11"/>
      <c r="RU425" s="11"/>
      <c r="RV425" s="11"/>
      <c r="RW425" s="11"/>
      <c r="RX425" s="11"/>
      <c r="RY425" s="11"/>
      <c r="RZ425" s="11"/>
      <c r="SA425" s="11"/>
      <c r="SB425" s="11"/>
      <c r="SC425" s="11"/>
      <c r="SD425" s="11"/>
      <c r="SE425" s="11"/>
      <c r="SF425" s="11"/>
      <c r="SG425" s="11"/>
      <c r="SH425" s="11">
        <v>1</v>
      </c>
    </row>
    <row r="426" spans="1:502" x14ac:dyDescent="0.2">
      <c r="A426" s="10">
        <v>4.6493458166325496E-2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>
        <v>1</v>
      </c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  <c r="NE426" s="11"/>
      <c r="NF426" s="11"/>
      <c r="NG426" s="11"/>
      <c r="NH426" s="11"/>
      <c r="NI426" s="11"/>
      <c r="NJ426" s="11"/>
      <c r="NK426" s="11"/>
      <c r="NL426" s="11"/>
      <c r="NM426" s="11"/>
      <c r="NN426" s="11"/>
      <c r="NO426" s="11"/>
      <c r="NP426" s="11"/>
      <c r="NQ426" s="11"/>
      <c r="NR426" s="11"/>
      <c r="NS426" s="11"/>
      <c r="NT426" s="11"/>
      <c r="NU426" s="11"/>
      <c r="NV426" s="11"/>
      <c r="NW426" s="11"/>
      <c r="NX426" s="11"/>
      <c r="NY426" s="11"/>
      <c r="NZ426" s="11"/>
      <c r="OA426" s="11"/>
      <c r="OB426" s="11"/>
      <c r="OC426" s="11"/>
      <c r="OD426" s="11"/>
      <c r="OE426" s="11"/>
      <c r="OF426" s="11"/>
      <c r="OG426" s="11"/>
      <c r="OH426" s="11"/>
      <c r="OI426" s="11"/>
      <c r="OJ426" s="11"/>
      <c r="OK426" s="11"/>
      <c r="OL426" s="11"/>
      <c r="OM426" s="11"/>
      <c r="ON426" s="11"/>
      <c r="OO426" s="11"/>
      <c r="OP426" s="11"/>
      <c r="OQ426" s="11"/>
      <c r="OR426" s="11"/>
      <c r="OS426" s="11"/>
      <c r="OT426" s="11"/>
      <c r="OU426" s="11"/>
      <c r="OV426" s="11"/>
      <c r="OW426" s="11"/>
      <c r="OX426" s="11"/>
      <c r="OY426" s="11"/>
      <c r="OZ426" s="11"/>
      <c r="PA426" s="11"/>
      <c r="PB426" s="11"/>
      <c r="PC426" s="11"/>
      <c r="PD426" s="11"/>
      <c r="PE426" s="11"/>
      <c r="PF426" s="11"/>
      <c r="PG426" s="11"/>
      <c r="PH426" s="11"/>
      <c r="PI426" s="11"/>
      <c r="PJ426" s="11"/>
      <c r="PK426" s="11"/>
      <c r="PL426" s="11"/>
      <c r="PM426" s="11"/>
      <c r="PN426" s="11"/>
      <c r="PO426" s="11"/>
      <c r="PP426" s="11"/>
      <c r="PQ426" s="11"/>
      <c r="PR426" s="11"/>
      <c r="PS426" s="11"/>
      <c r="PT426" s="11"/>
      <c r="PU426" s="11"/>
      <c r="PV426" s="11"/>
      <c r="PW426" s="11"/>
      <c r="PX426" s="11"/>
      <c r="PY426" s="11"/>
      <c r="PZ426" s="11"/>
      <c r="QA426" s="11"/>
      <c r="QB426" s="11"/>
      <c r="QC426" s="11"/>
      <c r="QD426" s="11"/>
      <c r="QE426" s="11"/>
      <c r="QF426" s="11"/>
      <c r="QG426" s="11"/>
      <c r="QH426" s="11"/>
      <c r="QI426" s="11"/>
      <c r="QJ426" s="11"/>
      <c r="QK426" s="11"/>
      <c r="QL426" s="11"/>
      <c r="QM426" s="11"/>
      <c r="QN426" s="11"/>
      <c r="QO426" s="11"/>
      <c r="QP426" s="11"/>
      <c r="QQ426" s="11"/>
      <c r="QR426" s="11"/>
      <c r="QS426" s="11"/>
      <c r="QT426" s="11"/>
      <c r="QU426" s="11"/>
      <c r="QV426" s="11"/>
      <c r="QW426" s="11"/>
      <c r="QX426" s="11"/>
      <c r="QY426" s="11"/>
      <c r="QZ426" s="11"/>
      <c r="RA426" s="11"/>
      <c r="RB426" s="11"/>
      <c r="RC426" s="11"/>
      <c r="RD426" s="11"/>
      <c r="RE426" s="11"/>
      <c r="RF426" s="11"/>
      <c r="RG426" s="11"/>
      <c r="RH426" s="11"/>
      <c r="RI426" s="11"/>
      <c r="RJ426" s="11"/>
      <c r="RK426" s="11"/>
      <c r="RL426" s="11"/>
      <c r="RM426" s="11"/>
      <c r="RN426" s="11"/>
      <c r="RO426" s="11"/>
      <c r="RP426" s="11"/>
      <c r="RQ426" s="11"/>
      <c r="RR426" s="11"/>
      <c r="RS426" s="11"/>
      <c r="RT426" s="11"/>
      <c r="RU426" s="11"/>
      <c r="RV426" s="11"/>
      <c r="RW426" s="11"/>
      <c r="RX426" s="11"/>
      <c r="RY426" s="11"/>
      <c r="RZ426" s="11"/>
      <c r="SA426" s="11"/>
      <c r="SB426" s="11"/>
      <c r="SC426" s="11"/>
      <c r="SD426" s="11"/>
      <c r="SE426" s="11"/>
      <c r="SF426" s="11"/>
      <c r="SG426" s="11"/>
      <c r="SH426" s="11">
        <v>1</v>
      </c>
    </row>
    <row r="427" spans="1:502" x14ac:dyDescent="0.2">
      <c r="A427" s="10">
        <v>4.6612055053892848E-2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>
        <v>1</v>
      </c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1"/>
      <c r="NJ427" s="11"/>
      <c r="NK427" s="11"/>
      <c r="NL427" s="11"/>
      <c r="NM427" s="11"/>
      <c r="NN427" s="11"/>
      <c r="NO427" s="11"/>
      <c r="NP427" s="11"/>
      <c r="NQ427" s="11"/>
      <c r="NR427" s="11"/>
      <c r="NS427" s="11"/>
      <c r="NT427" s="11"/>
      <c r="NU427" s="11"/>
      <c r="NV427" s="11"/>
      <c r="NW427" s="11"/>
      <c r="NX427" s="11"/>
      <c r="NY427" s="11"/>
      <c r="NZ427" s="11"/>
      <c r="OA427" s="11"/>
      <c r="OB427" s="11"/>
      <c r="OC427" s="11"/>
      <c r="OD427" s="11"/>
      <c r="OE427" s="11"/>
      <c r="OF427" s="11"/>
      <c r="OG427" s="11"/>
      <c r="OH427" s="11"/>
      <c r="OI427" s="11"/>
      <c r="OJ427" s="11"/>
      <c r="OK427" s="11"/>
      <c r="OL427" s="11"/>
      <c r="OM427" s="11"/>
      <c r="ON427" s="11"/>
      <c r="OO427" s="11"/>
      <c r="OP427" s="11"/>
      <c r="OQ427" s="11"/>
      <c r="OR427" s="11"/>
      <c r="OS427" s="11"/>
      <c r="OT427" s="11"/>
      <c r="OU427" s="11"/>
      <c r="OV427" s="11"/>
      <c r="OW427" s="11"/>
      <c r="OX427" s="11"/>
      <c r="OY427" s="11"/>
      <c r="OZ427" s="11"/>
      <c r="PA427" s="11"/>
      <c r="PB427" s="11"/>
      <c r="PC427" s="11"/>
      <c r="PD427" s="11"/>
      <c r="PE427" s="11"/>
      <c r="PF427" s="11"/>
      <c r="PG427" s="11"/>
      <c r="PH427" s="11"/>
      <c r="PI427" s="11"/>
      <c r="PJ427" s="11"/>
      <c r="PK427" s="11"/>
      <c r="PL427" s="11"/>
      <c r="PM427" s="11"/>
      <c r="PN427" s="11"/>
      <c r="PO427" s="11"/>
      <c r="PP427" s="11"/>
      <c r="PQ427" s="11"/>
      <c r="PR427" s="11"/>
      <c r="PS427" s="11"/>
      <c r="PT427" s="11"/>
      <c r="PU427" s="11"/>
      <c r="PV427" s="11"/>
      <c r="PW427" s="11"/>
      <c r="PX427" s="11"/>
      <c r="PY427" s="11"/>
      <c r="PZ427" s="11"/>
      <c r="QA427" s="11"/>
      <c r="QB427" s="11"/>
      <c r="QC427" s="11"/>
      <c r="QD427" s="11"/>
      <c r="QE427" s="11"/>
      <c r="QF427" s="11"/>
      <c r="QG427" s="11"/>
      <c r="QH427" s="11"/>
      <c r="QI427" s="11"/>
      <c r="QJ427" s="11"/>
      <c r="QK427" s="11"/>
      <c r="QL427" s="11"/>
      <c r="QM427" s="11"/>
      <c r="QN427" s="11"/>
      <c r="QO427" s="11"/>
      <c r="QP427" s="11"/>
      <c r="QQ427" s="11"/>
      <c r="QR427" s="11"/>
      <c r="QS427" s="11"/>
      <c r="QT427" s="11"/>
      <c r="QU427" s="11"/>
      <c r="QV427" s="11"/>
      <c r="QW427" s="11"/>
      <c r="QX427" s="11"/>
      <c r="QY427" s="11"/>
      <c r="QZ427" s="11"/>
      <c r="RA427" s="11"/>
      <c r="RB427" s="11"/>
      <c r="RC427" s="11"/>
      <c r="RD427" s="11"/>
      <c r="RE427" s="11"/>
      <c r="RF427" s="11"/>
      <c r="RG427" s="11"/>
      <c r="RH427" s="11"/>
      <c r="RI427" s="11"/>
      <c r="RJ427" s="11"/>
      <c r="RK427" s="11"/>
      <c r="RL427" s="11"/>
      <c r="RM427" s="11"/>
      <c r="RN427" s="11"/>
      <c r="RO427" s="11"/>
      <c r="RP427" s="11"/>
      <c r="RQ427" s="11"/>
      <c r="RR427" s="11"/>
      <c r="RS427" s="11"/>
      <c r="RT427" s="11"/>
      <c r="RU427" s="11"/>
      <c r="RV427" s="11"/>
      <c r="RW427" s="11"/>
      <c r="RX427" s="11"/>
      <c r="RY427" s="11"/>
      <c r="RZ427" s="11"/>
      <c r="SA427" s="11"/>
      <c r="SB427" s="11"/>
      <c r="SC427" s="11"/>
      <c r="SD427" s="11"/>
      <c r="SE427" s="11"/>
      <c r="SF427" s="11"/>
      <c r="SG427" s="11"/>
      <c r="SH427" s="11">
        <v>1</v>
      </c>
    </row>
    <row r="428" spans="1:502" x14ac:dyDescent="0.2">
      <c r="A428" s="10">
        <v>4.7294516814962592E-2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>
        <v>1</v>
      </c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  <c r="NE428" s="11"/>
      <c r="NF428" s="11"/>
      <c r="NG428" s="11"/>
      <c r="NH428" s="11"/>
      <c r="NI428" s="11"/>
      <c r="NJ428" s="11"/>
      <c r="NK428" s="11"/>
      <c r="NL428" s="11"/>
      <c r="NM428" s="11"/>
      <c r="NN428" s="11"/>
      <c r="NO428" s="11"/>
      <c r="NP428" s="11"/>
      <c r="NQ428" s="11"/>
      <c r="NR428" s="11"/>
      <c r="NS428" s="11"/>
      <c r="NT428" s="11"/>
      <c r="NU428" s="11"/>
      <c r="NV428" s="11"/>
      <c r="NW428" s="11"/>
      <c r="NX428" s="11"/>
      <c r="NY428" s="11"/>
      <c r="NZ428" s="11"/>
      <c r="OA428" s="11"/>
      <c r="OB428" s="11"/>
      <c r="OC428" s="11"/>
      <c r="OD428" s="11"/>
      <c r="OE428" s="11"/>
      <c r="OF428" s="11"/>
      <c r="OG428" s="11"/>
      <c r="OH428" s="11"/>
      <c r="OI428" s="11"/>
      <c r="OJ428" s="11"/>
      <c r="OK428" s="11"/>
      <c r="OL428" s="11"/>
      <c r="OM428" s="11"/>
      <c r="ON428" s="11"/>
      <c r="OO428" s="11"/>
      <c r="OP428" s="11"/>
      <c r="OQ428" s="11"/>
      <c r="OR428" s="11"/>
      <c r="OS428" s="11"/>
      <c r="OT428" s="11"/>
      <c r="OU428" s="11"/>
      <c r="OV428" s="11"/>
      <c r="OW428" s="11"/>
      <c r="OX428" s="11"/>
      <c r="OY428" s="11"/>
      <c r="OZ428" s="11"/>
      <c r="PA428" s="11"/>
      <c r="PB428" s="11"/>
      <c r="PC428" s="11"/>
      <c r="PD428" s="11"/>
      <c r="PE428" s="11"/>
      <c r="PF428" s="11"/>
      <c r="PG428" s="11"/>
      <c r="PH428" s="11"/>
      <c r="PI428" s="11"/>
      <c r="PJ428" s="11"/>
      <c r="PK428" s="11"/>
      <c r="PL428" s="11"/>
      <c r="PM428" s="11"/>
      <c r="PN428" s="11"/>
      <c r="PO428" s="11"/>
      <c r="PP428" s="11"/>
      <c r="PQ428" s="11"/>
      <c r="PR428" s="11"/>
      <c r="PS428" s="11"/>
      <c r="PT428" s="11"/>
      <c r="PU428" s="11"/>
      <c r="PV428" s="11"/>
      <c r="PW428" s="11"/>
      <c r="PX428" s="11"/>
      <c r="PY428" s="11"/>
      <c r="PZ428" s="11"/>
      <c r="QA428" s="11"/>
      <c r="QB428" s="11"/>
      <c r="QC428" s="11"/>
      <c r="QD428" s="11"/>
      <c r="QE428" s="11"/>
      <c r="QF428" s="11"/>
      <c r="QG428" s="11"/>
      <c r="QH428" s="11"/>
      <c r="QI428" s="11"/>
      <c r="QJ428" s="11"/>
      <c r="QK428" s="11"/>
      <c r="QL428" s="11"/>
      <c r="QM428" s="11"/>
      <c r="QN428" s="11"/>
      <c r="QO428" s="11"/>
      <c r="QP428" s="11"/>
      <c r="QQ428" s="11"/>
      <c r="QR428" s="11"/>
      <c r="QS428" s="11"/>
      <c r="QT428" s="11"/>
      <c r="QU428" s="11"/>
      <c r="QV428" s="11"/>
      <c r="QW428" s="11"/>
      <c r="QX428" s="11"/>
      <c r="QY428" s="11"/>
      <c r="QZ428" s="11"/>
      <c r="RA428" s="11"/>
      <c r="RB428" s="11"/>
      <c r="RC428" s="11"/>
      <c r="RD428" s="11"/>
      <c r="RE428" s="11"/>
      <c r="RF428" s="11"/>
      <c r="RG428" s="11"/>
      <c r="RH428" s="11"/>
      <c r="RI428" s="11"/>
      <c r="RJ428" s="11"/>
      <c r="RK428" s="11"/>
      <c r="RL428" s="11"/>
      <c r="RM428" s="11"/>
      <c r="RN428" s="11"/>
      <c r="RO428" s="11"/>
      <c r="RP428" s="11"/>
      <c r="RQ428" s="11"/>
      <c r="RR428" s="11"/>
      <c r="RS428" s="11"/>
      <c r="RT428" s="11"/>
      <c r="RU428" s="11"/>
      <c r="RV428" s="11"/>
      <c r="RW428" s="11"/>
      <c r="RX428" s="11"/>
      <c r="RY428" s="11"/>
      <c r="RZ428" s="11"/>
      <c r="SA428" s="11"/>
      <c r="SB428" s="11"/>
      <c r="SC428" s="11"/>
      <c r="SD428" s="11"/>
      <c r="SE428" s="11"/>
      <c r="SF428" s="11"/>
      <c r="SG428" s="11"/>
      <c r="SH428" s="11">
        <v>1</v>
      </c>
    </row>
    <row r="429" spans="1:502" x14ac:dyDescent="0.2">
      <c r="A429" s="10">
        <v>4.7637493938752162E-2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>
        <v>1</v>
      </c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  <c r="NE429" s="11"/>
      <c r="NF429" s="11"/>
      <c r="NG429" s="11"/>
      <c r="NH429" s="11"/>
      <c r="NI429" s="11"/>
      <c r="NJ429" s="11"/>
      <c r="NK429" s="11"/>
      <c r="NL429" s="11"/>
      <c r="NM429" s="11"/>
      <c r="NN429" s="11"/>
      <c r="NO429" s="11"/>
      <c r="NP429" s="11"/>
      <c r="NQ429" s="11"/>
      <c r="NR429" s="11"/>
      <c r="NS429" s="11"/>
      <c r="NT429" s="11"/>
      <c r="NU429" s="11"/>
      <c r="NV429" s="11"/>
      <c r="NW429" s="11"/>
      <c r="NX429" s="11"/>
      <c r="NY429" s="11"/>
      <c r="NZ429" s="11"/>
      <c r="OA429" s="11"/>
      <c r="OB429" s="11"/>
      <c r="OC429" s="11"/>
      <c r="OD429" s="11"/>
      <c r="OE429" s="11"/>
      <c r="OF429" s="11"/>
      <c r="OG429" s="11"/>
      <c r="OH429" s="11"/>
      <c r="OI429" s="11"/>
      <c r="OJ429" s="11"/>
      <c r="OK429" s="11"/>
      <c r="OL429" s="11"/>
      <c r="OM429" s="11"/>
      <c r="ON429" s="11"/>
      <c r="OO429" s="11"/>
      <c r="OP429" s="11"/>
      <c r="OQ429" s="11"/>
      <c r="OR429" s="11"/>
      <c r="OS429" s="11"/>
      <c r="OT429" s="11"/>
      <c r="OU429" s="11"/>
      <c r="OV429" s="11"/>
      <c r="OW429" s="11"/>
      <c r="OX429" s="11"/>
      <c r="OY429" s="11"/>
      <c r="OZ429" s="11"/>
      <c r="PA429" s="11"/>
      <c r="PB429" s="11"/>
      <c r="PC429" s="11"/>
      <c r="PD429" s="11"/>
      <c r="PE429" s="11"/>
      <c r="PF429" s="11"/>
      <c r="PG429" s="11"/>
      <c r="PH429" s="11"/>
      <c r="PI429" s="11"/>
      <c r="PJ429" s="11"/>
      <c r="PK429" s="11"/>
      <c r="PL429" s="11"/>
      <c r="PM429" s="11"/>
      <c r="PN429" s="11"/>
      <c r="PO429" s="11"/>
      <c r="PP429" s="11"/>
      <c r="PQ429" s="11"/>
      <c r="PR429" s="11"/>
      <c r="PS429" s="11"/>
      <c r="PT429" s="11"/>
      <c r="PU429" s="11"/>
      <c r="PV429" s="11"/>
      <c r="PW429" s="11"/>
      <c r="PX429" s="11"/>
      <c r="PY429" s="11"/>
      <c r="PZ429" s="11"/>
      <c r="QA429" s="11"/>
      <c r="QB429" s="11"/>
      <c r="QC429" s="11"/>
      <c r="QD429" s="11"/>
      <c r="QE429" s="11"/>
      <c r="QF429" s="11"/>
      <c r="QG429" s="11"/>
      <c r="QH429" s="11"/>
      <c r="QI429" s="11"/>
      <c r="QJ429" s="11"/>
      <c r="QK429" s="11"/>
      <c r="QL429" s="11"/>
      <c r="QM429" s="11"/>
      <c r="QN429" s="11"/>
      <c r="QO429" s="11"/>
      <c r="QP429" s="11"/>
      <c r="QQ429" s="11"/>
      <c r="QR429" s="11"/>
      <c r="QS429" s="11"/>
      <c r="QT429" s="11"/>
      <c r="QU429" s="11"/>
      <c r="QV429" s="11"/>
      <c r="QW429" s="11"/>
      <c r="QX429" s="11"/>
      <c r="QY429" s="11"/>
      <c r="QZ429" s="11"/>
      <c r="RA429" s="11"/>
      <c r="RB429" s="11"/>
      <c r="RC429" s="11"/>
      <c r="RD429" s="11"/>
      <c r="RE429" s="11"/>
      <c r="RF429" s="11"/>
      <c r="RG429" s="11"/>
      <c r="RH429" s="11"/>
      <c r="RI429" s="11"/>
      <c r="RJ429" s="11"/>
      <c r="RK429" s="11"/>
      <c r="RL429" s="11"/>
      <c r="RM429" s="11"/>
      <c r="RN429" s="11"/>
      <c r="RO429" s="11"/>
      <c r="RP429" s="11"/>
      <c r="RQ429" s="11"/>
      <c r="RR429" s="11"/>
      <c r="RS429" s="11"/>
      <c r="RT429" s="11"/>
      <c r="RU429" s="11"/>
      <c r="RV429" s="11"/>
      <c r="RW429" s="11"/>
      <c r="RX429" s="11"/>
      <c r="RY429" s="11"/>
      <c r="RZ429" s="11"/>
      <c r="SA429" s="11"/>
      <c r="SB429" s="11"/>
      <c r="SC429" s="11"/>
      <c r="SD429" s="11"/>
      <c r="SE429" s="11"/>
      <c r="SF429" s="11"/>
      <c r="SG429" s="11"/>
      <c r="SH429" s="11">
        <v>1</v>
      </c>
    </row>
    <row r="430" spans="1:502" x14ac:dyDescent="0.2">
      <c r="A430" s="10">
        <v>4.8083787043024573E-2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  <c r="NE430" s="11"/>
      <c r="NF430" s="11"/>
      <c r="NG430" s="11"/>
      <c r="NH430" s="11"/>
      <c r="NI430" s="11"/>
      <c r="NJ430" s="11"/>
      <c r="NK430" s="11"/>
      <c r="NL430" s="11"/>
      <c r="NM430" s="11"/>
      <c r="NN430" s="11"/>
      <c r="NO430" s="11"/>
      <c r="NP430" s="11"/>
      <c r="NQ430" s="11"/>
      <c r="NR430" s="11"/>
      <c r="NS430" s="11"/>
      <c r="NT430" s="11"/>
      <c r="NU430" s="11"/>
      <c r="NV430" s="11"/>
      <c r="NW430" s="11"/>
      <c r="NX430" s="11"/>
      <c r="NY430" s="11"/>
      <c r="NZ430" s="11"/>
      <c r="OA430" s="11"/>
      <c r="OB430" s="11"/>
      <c r="OC430" s="11"/>
      <c r="OD430" s="11"/>
      <c r="OE430" s="11"/>
      <c r="OF430" s="11"/>
      <c r="OG430" s="11"/>
      <c r="OH430" s="11"/>
      <c r="OI430" s="11"/>
      <c r="OJ430" s="11"/>
      <c r="OK430" s="11"/>
      <c r="OL430" s="11"/>
      <c r="OM430" s="11"/>
      <c r="ON430" s="11"/>
      <c r="OO430" s="11"/>
      <c r="OP430" s="11"/>
      <c r="OQ430" s="11"/>
      <c r="OR430" s="11"/>
      <c r="OS430" s="11"/>
      <c r="OT430" s="11"/>
      <c r="OU430" s="11"/>
      <c r="OV430" s="11"/>
      <c r="OW430" s="11"/>
      <c r="OX430" s="11"/>
      <c r="OY430" s="11"/>
      <c r="OZ430" s="11"/>
      <c r="PA430" s="11"/>
      <c r="PB430" s="11"/>
      <c r="PC430" s="11"/>
      <c r="PD430" s="11"/>
      <c r="PE430" s="11"/>
      <c r="PF430" s="11"/>
      <c r="PG430" s="11"/>
      <c r="PH430" s="11"/>
      <c r="PI430" s="11"/>
      <c r="PJ430" s="11"/>
      <c r="PK430" s="11"/>
      <c r="PL430" s="11"/>
      <c r="PM430" s="11"/>
      <c r="PN430" s="11"/>
      <c r="PO430" s="11"/>
      <c r="PP430" s="11"/>
      <c r="PQ430" s="11"/>
      <c r="PR430" s="11"/>
      <c r="PS430" s="11"/>
      <c r="PT430" s="11"/>
      <c r="PU430" s="11"/>
      <c r="PV430" s="11"/>
      <c r="PW430" s="11"/>
      <c r="PX430" s="11"/>
      <c r="PY430" s="11"/>
      <c r="PZ430" s="11"/>
      <c r="QA430" s="11"/>
      <c r="QB430" s="11"/>
      <c r="QC430" s="11"/>
      <c r="QD430" s="11"/>
      <c r="QE430" s="11"/>
      <c r="QF430" s="11"/>
      <c r="QG430" s="11"/>
      <c r="QH430" s="11"/>
      <c r="QI430" s="11"/>
      <c r="QJ430" s="11"/>
      <c r="QK430" s="11"/>
      <c r="QL430" s="11"/>
      <c r="QM430" s="11"/>
      <c r="QN430" s="11"/>
      <c r="QO430" s="11"/>
      <c r="QP430" s="11"/>
      <c r="QQ430" s="11"/>
      <c r="QR430" s="11"/>
      <c r="QS430" s="11"/>
      <c r="QT430" s="11"/>
      <c r="QU430" s="11"/>
      <c r="QV430" s="11"/>
      <c r="QW430" s="11"/>
      <c r="QX430" s="11"/>
      <c r="QY430" s="11"/>
      <c r="QZ430" s="11"/>
      <c r="RA430" s="11"/>
      <c r="RB430" s="11"/>
      <c r="RC430" s="11"/>
      <c r="RD430" s="11"/>
      <c r="RE430" s="11"/>
      <c r="RF430" s="11"/>
      <c r="RG430" s="11"/>
      <c r="RH430" s="11"/>
      <c r="RI430" s="11"/>
      <c r="RJ430" s="11">
        <v>1</v>
      </c>
      <c r="RK430" s="11"/>
      <c r="RL430" s="11"/>
      <c r="RM430" s="11"/>
      <c r="RN430" s="11"/>
      <c r="RO430" s="11"/>
      <c r="RP430" s="11"/>
      <c r="RQ430" s="11"/>
      <c r="RR430" s="11"/>
      <c r="RS430" s="11"/>
      <c r="RT430" s="11"/>
      <c r="RU430" s="11"/>
      <c r="RV430" s="11"/>
      <c r="RW430" s="11"/>
      <c r="RX430" s="11"/>
      <c r="RY430" s="11"/>
      <c r="RZ430" s="11"/>
      <c r="SA430" s="11"/>
      <c r="SB430" s="11"/>
      <c r="SC430" s="11"/>
      <c r="SD430" s="11"/>
      <c r="SE430" s="11"/>
      <c r="SF430" s="11"/>
      <c r="SG430" s="11"/>
      <c r="SH430" s="11">
        <v>1</v>
      </c>
    </row>
    <row r="431" spans="1:502" x14ac:dyDescent="0.2">
      <c r="A431" s="10">
        <v>4.8089687641120121E-2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>
        <v>1</v>
      </c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11"/>
      <c r="NK431" s="11"/>
      <c r="NL431" s="11"/>
      <c r="NM431" s="11"/>
      <c r="NN431" s="11"/>
      <c r="NO431" s="11"/>
      <c r="NP431" s="11"/>
      <c r="NQ431" s="11"/>
      <c r="NR431" s="11"/>
      <c r="NS431" s="11"/>
      <c r="NT431" s="11"/>
      <c r="NU431" s="11"/>
      <c r="NV431" s="11"/>
      <c r="NW431" s="11"/>
      <c r="NX431" s="11"/>
      <c r="NY431" s="11"/>
      <c r="NZ431" s="11"/>
      <c r="OA431" s="11"/>
      <c r="OB431" s="11"/>
      <c r="OC431" s="11"/>
      <c r="OD431" s="11"/>
      <c r="OE431" s="11"/>
      <c r="OF431" s="11"/>
      <c r="OG431" s="11"/>
      <c r="OH431" s="11"/>
      <c r="OI431" s="11"/>
      <c r="OJ431" s="11"/>
      <c r="OK431" s="11"/>
      <c r="OL431" s="11"/>
      <c r="OM431" s="11"/>
      <c r="ON431" s="11"/>
      <c r="OO431" s="11"/>
      <c r="OP431" s="11"/>
      <c r="OQ431" s="11"/>
      <c r="OR431" s="11"/>
      <c r="OS431" s="11"/>
      <c r="OT431" s="11"/>
      <c r="OU431" s="11"/>
      <c r="OV431" s="11"/>
      <c r="OW431" s="11"/>
      <c r="OX431" s="11"/>
      <c r="OY431" s="11"/>
      <c r="OZ431" s="11"/>
      <c r="PA431" s="11"/>
      <c r="PB431" s="11"/>
      <c r="PC431" s="11"/>
      <c r="PD431" s="11"/>
      <c r="PE431" s="11"/>
      <c r="PF431" s="11"/>
      <c r="PG431" s="11"/>
      <c r="PH431" s="11"/>
      <c r="PI431" s="11"/>
      <c r="PJ431" s="11"/>
      <c r="PK431" s="11"/>
      <c r="PL431" s="11"/>
      <c r="PM431" s="11"/>
      <c r="PN431" s="11"/>
      <c r="PO431" s="11"/>
      <c r="PP431" s="11"/>
      <c r="PQ431" s="11"/>
      <c r="PR431" s="11"/>
      <c r="PS431" s="11"/>
      <c r="PT431" s="11"/>
      <c r="PU431" s="11"/>
      <c r="PV431" s="11"/>
      <c r="PW431" s="11"/>
      <c r="PX431" s="11"/>
      <c r="PY431" s="11"/>
      <c r="PZ431" s="11"/>
      <c r="QA431" s="11"/>
      <c r="QB431" s="11"/>
      <c r="QC431" s="11"/>
      <c r="QD431" s="11"/>
      <c r="QE431" s="11"/>
      <c r="QF431" s="11"/>
      <c r="QG431" s="11"/>
      <c r="QH431" s="11"/>
      <c r="QI431" s="11"/>
      <c r="QJ431" s="11"/>
      <c r="QK431" s="11"/>
      <c r="QL431" s="11"/>
      <c r="QM431" s="11"/>
      <c r="QN431" s="11"/>
      <c r="QO431" s="11"/>
      <c r="QP431" s="11"/>
      <c r="QQ431" s="11"/>
      <c r="QR431" s="11"/>
      <c r="QS431" s="11"/>
      <c r="QT431" s="11"/>
      <c r="QU431" s="11"/>
      <c r="QV431" s="11"/>
      <c r="QW431" s="11"/>
      <c r="QX431" s="11"/>
      <c r="QY431" s="11"/>
      <c r="QZ431" s="11"/>
      <c r="RA431" s="11"/>
      <c r="RB431" s="11"/>
      <c r="RC431" s="11"/>
      <c r="RD431" s="11"/>
      <c r="RE431" s="11"/>
      <c r="RF431" s="11"/>
      <c r="RG431" s="11"/>
      <c r="RH431" s="11"/>
      <c r="RI431" s="11"/>
      <c r="RJ431" s="11"/>
      <c r="RK431" s="11"/>
      <c r="RL431" s="11"/>
      <c r="RM431" s="11"/>
      <c r="RN431" s="11"/>
      <c r="RO431" s="11"/>
      <c r="RP431" s="11"/>
      <c r="RQ431" s="11"/>
      <c r="RR431" s="11"/>
      <c r="RS431" s="11"/>
      <c r="RT431" s="11"/>
      <c r="RU431" s="11"/>
      <c r="RV431" s="11"/>
      <c r="RW431" s="11"/>
      <c r="RX431" s="11"/>
      <c r="RY431" s="11"/>
      <c r="RZ431" s="11"/>
      <c r="SA431" s="11"/>
      <c r="SB431" s="11"/>
      <c r="SC431" s="11"/>
      <c r="SD431" s="11"/>
      <c r="SE431" s="11"/>
      <c r="SF431" s="11"/>
      <c r="SG431" s="11"/>
      <c r="SH431" s="11">
        <v>1</v>
      </c>
    </row>
    <row r="432" spans="1:502" x14ac:dyDescent="0.2">
      <c r="A432" s="10">
        <v>4.8285757447204598E-2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>
        <v>1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  <c r="HO432" s="11"/>
      <c r="HP432" s="11"/>
      <c r="HQ432" s="11"/>
      <c r="HR432" s="11"/>
      <c r="HS432" s="11"/>
      <c r="HT432" s="11"/>
      <c r="HU432" s="11"/>
      <c r="HV432" s="11"/>
      <c r="HW432" s="11"/>
      <c r="HX432" s="11"/>
      <c r="HY432" s="11"/>
      <c r="HZ432" s="11"/>
      <c r="IA432" s="11"/>
      <c r="IB432" s="11"/>
      <c r="IC432" s="11"/>
      <c r="ID432" s="11"/>
      <c r="IE432" s="11"/>
      <c r="IF432" s="11"/>
      <c r="IG432" s="11"/>
      <c r="IH432" s="11"/>
      <c r="II432" s="11"/>
      <c r="IJ432" s="11"/>
      <c r="IK432" s="11"/>
      <c r="IL432" s="11"/>
      <c r="IM432" s="11"/>
      <c r="IN432" s="11"/>
      <c r="IO432" s="11"/>
      <c r="IP432" s="11"/>
      <c r="IQ432" s="11"/>
      <c r="IR432" s="11"/>
      <c r="IS432" s="11"/>
      <c r="IT432" s="11"/>
      <c r="IU432" s="11"/>
      <c r="IV432" s="11"/>
      <c r="IW432" s="11"/>
      <c r="IX432" s="11"/>
      <c r="IY432" s="11"/>
      <c r="IZ432" s="11"/>
      <c r="JA432" s="11"/>
      <c r="JB432" s="11"/>
      <c r="JC432" s="11"/>
      <c r="JD432" s="11"/>
      <c r="JE432" s="11"/>
      <c r="JF432" s="11"/>
      <c r="JG432" s="11"/>
      <c r="JH432" s="11"/>
      <c r="JI432" s="11"/>
      <c r="JJ432" s="11"/>
      <c r="JK432" s="11"/>
      <c r="JL432" s="11"/>
      <c r="JM432" s="11"/>
      <c r="JN432" s="11"/>
      <c r="JO432" s="11"/>
      <c r="JP432" s="11"/>
      <c r="JQ432" s="11"/>
      <c r="JR432" s="11"/>
      <c r="JS432" s="11"/>
      <c r="JT432" s="11"/>
      <c r="JU432" s="11"/>
      <c r="JV432" s="11"/>
      <c r="JW432" s="11"/>
      <c r="JX432" s="11"/>
      <c r="JY432" s="11"/>
      <c r="JZ432" s="11"/>
      <c r="KA432" s="11"/>
      <c r="KB432" s="11"/>
      <c r="KC432" s="11"/>
      <c r="KD432" s="11"/>
      <c r="KE432" s="11"/>
      <c r="KF432" s="11"/>
      <c r="KG432" s="11"/>
      <c r="KH432" s="11"/>
      <c r="KI432" s="11"/>
      <c r="KJ432" s="11"/>
      <c r="KK432" s="11"/>
      <c r="KL432" s="11"/>
      <c r="KM432" s="11"/>
      <c r="KN432" s="11"/>
      <c r="KO432" s="11"/>
      <c r="KP432" s="11"/>
      <c r="KQ432" s="11"/>
      <c r="KR432" s="11"/>
      <c r="KS432" s="11"/>
      <c r="KT432" s="11"/>
      <c r="KU432" s="11"/>
      <c r="KV432" s="11"/>
      <c r="KW432" s="11"/>
      <c r="KX432" s="11"/>
      <c r="KY432" s="11"/>
      <c r="KZ432" s="11"/>
      <c r="LA432" s="11"/>
      <c r="LB432" s="11"/>
      <c r="LC432" s="11"/>
      <c r="LD432" s="11"/>
      <c r="LE432" s="11"/>
      <c r="LF432" s="11"/>
      <c r="LG432" s="11"/>
      <c r="LH432" s="11"/>
      <c r="LI432" s="11"/>
      <c r="LJ432" s="11"/>
      <c r="LK432" s="11"/>
      <c r="LL432" s="11"/>
      <c r="LM432" s="11"/>
      <c r="LN432" s="11"/>
      <c r="LO432" s="11"/>
      <c r="LP432" s="11"/>
      <c r="LQ432" s="11"/>
      <c r="LR432" s="11"/>
      <c r="LS432" s="11"/>
      <c r="LT432" s="11"/>
      <c r="LU432" s="11"/>
      <c r="LV432" s="11"/>
      <c r="LW432" s="11"/>
      <c r="LX432" s="11"/>
      <c r="LY432" s="11"/>
      <c r="LZ432" s="11"/>
      <c r="MA432" s="11"/>
      <c r="MB432" s="11"/>
      <c r="MC432" s="11"/>
      <c r="MD432" s="11"/>
      <c r="ME432" s="11"/>
      <c r="MF432" s="11"/>
      <c r="MG432" s="11"/>
      <c r="MH432" s="11"/>
      <c r="MI432" s="11"/>
      <c r="MJ432" s="11"/>
      <c r="MK432" s="11"/>
      <c r="ML432" s="11"/>
      <c r="MM432" s="11"/>
      <c r="MN432" s="11"/>
      <c r="MO432" s="11"/>
      <c r="MP432" s="11"/>
      <c r="MQ432" s="11"/>
      <c r="MR432" s="11"/>
      <c r="MS432" s="11"/>
      <c r="MT432" s="11"/>
      <c r="MU432" s="11"/>
      <c r="MV432" s="11"/>
      <c r="MW432" s="11"/>
      <c r="MX432" s="11"/>
      <c r="MY432" s="11"/>
      <c r="MZ432" s="11"/>
      <c r="NA432" s="11"/>
      <c r="NB432" s="11"/>
      <c r="NC432" s="11"/>
      <c r="ND432" s="11"/>
      <c r="NE432" s="11"/>
      <c r="NF432" s="11"/>
      <c r="NG432" s="11"/>
      <c r="NH432" s="11"/>
      <c r="NI432" s="11"/>
      <c r="NJ432" s="11"/>
      <c r="NK432" s="11"/>
      <c r="NL432" s="11"/>
      <c r="NM432" s="11"/>
      <c r="NN432" s="11"/>
      <c r="NO432" s="11"/>
      <c r="NP432" s="11"/>
      <c r="NQ432" s="11"/>
      <c r="NR432" s="11"/>
      <c r="NS432" s="11"/>
      <c r="NT432" s="11"/>
      <c r="NU432" s="11"/>
      <c r="NV432" s="11"/>
      <c r="NW432" s="11"/>
      <c r="NX432" s="11"/>
      <c r="NY432" s="11"/>
      <c r="NZ432" s="11"/>
      <c r="OA432" s="11"/>
      <c r="OB432" s="11"/>
      <c r="OC432" s="11"/>
      <c r="OD432" s="11"/>
      <c r="OE432" s="11"/>
      <c r="OF432" s="11"/>
      <c r="OG432" s="11"/>
      <c r="OH432" s="11"/>
      <c r="OI432" s="11"/>
      <c r="OJ432" s="11"/>
      <c r="OK432" s="11"/>
      <c r="OL432" s="11"/>
      <c r="OM432" s="11"/>
      <c r="ON432" s="11"/>
      <c r="OO432" s="11"/>
      <c r="OP432" s="11"/>
      <c r="OQ432" s="11"/>
      <c r="OR432" s="11"/>
      <c r="OS432" s="11"/>
      <c r="OT432" s="11"/>
      <c r="OU432" s="11"/>
      <c r="OV432" s="11"/>
      <c r="OW432" s="11"/>
      <c r="OX432" s="11"/>
      <c r="OY432" s="11"/>
      <c r="OZ432" s="11"/>
      <c r="PA432" s="11"/>
      <c r="PB432" s="11"/>
      <c r="PC432" s="11"/>
      <c r="PD432" s="11"/>
      <c r="PE432" s="11"/>
      <c r="PF432" s="11"/>
      <c r="PG432" s="11"/>
      <c r="PH432" s="11"/>
      <c r="PI432" s="11"/>
      <c r="PJ432" s="11"/>
      <c r="PK432" s="11"/>
      <c r="PL432" s="11"/>
      <c r="PM432" s="11"/>
      <c r="PN432" s="11"/>
      <c r="PO432" s="11"/>
      <c r="PP432" s="11"/>
      <c r="PQ432" s="11"/>
      <c r="PR432" s="11"/>
      <c r="PS432" s="11"/>
      <c r="PT432" s="11"/>
      <c r="PU432" s="11"/>
      <c r="PV432" s="11"/>
      <c r="PW432" s="11"/>
      <c r="PX432" s="11"/>
      <c r="PY432" s="11"/>
      <c r="PZ432" s="11"/>
      <c r="QA432" s="11"/>
      <c r="QB432" s="11"/>
      <c r="QC432" s="11"/>
      <c r="QD432" s="11"/>
      <c r="QE432" s="11"/>
      <c r="QF432" s="11"/>
      <c r="QG432" s="11"/>
      <c r="QH432" s="11"/>
      <c r="QI432" s="11"/>
      <c r="QJ432" s="11"/>
      <c r="QK432" s="11"/>
      <c r="QL432" s="11"/>
      <c r="QM432" s="11"/>
      <c r="QN432" s="11"/>
      <c r="QO432" s="11"/>
      <c r="QP432" s="11"/>
      <c r="QQ432" s="11"/>
      <c r="QR432" s="11"/>
      <c r="QS432" s="11"/>
      <c r="QT432" s="11"/>
      <c r="QU432" s="11"/>
      <c r="QV432" s="11"/>
      <c r="QW432" s="11"/>
      <c r="QX432" s="11"/>
      <c r="QY432" s="11"/>
      <c r="QZ432" s="11"/>
      <c r="RA432" s="11"/>
      <c r="RB432" s="11"/>
      <c r="RC432" s="11"/>
      <c r="RD432" s="11"/>
      <c r="RE432" s="11"/>
      <c r="RF432" s="11"/>
      <c r="RG432" s="11"/>
      <c r="RH432" s="11"/>
      <c r="RI432" s="11"/>
      <c r="RJ432" s="11"/>
      <c r="RK432" s="11"/>
      <c r="RL432" s="11"/>
      <c r="RM432" s="11"/>
      <c r="RN432" s="11"/>
      <c r="RO432" s="11"/>
      <c r="RP432" s="11"/>
      <c r="RQ432" s="11"/>
      <c r="RR432" s="11"/>
      <c r="RS432" s="11"/>
      <c r="RT432" s="11"/>
      <c r="RU432" s="11"/>
      <c r="RV432" s="11"/>
      <c r="RW432" s="11"/>
      <c r="RX432" s="11"/>
      <c r="RY432" s="11"/>
      <c r="RZ432" s="11"/>
      <c r="SA432" s="11"/>
      <c r="SB432" s="11"/>
      <c r="SC432" s="11"/>
      <c r="SD432" s="11"/>
      <c r="SE432" s="11"/>
      <c r="SF432" s="11"/>
      <c r="SG432" s="11"/>
      <c r="SH432" s="11">
        <v>1</v>
      </c>
    </row>
    <row r="433" spans="1:502" x14ac:dyDescent="0.2">
      <c r="A433" s="10">
        <v>4.8311393715811841E-2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>
        <v>1</v>
      </c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11"/>
      <c r="NK433" s="11"/>
      <c r="NL433" s="11"/>
      <c r="NM433" s="11"/>
      <c r="NN433" s="11"/>
      <c r="NO433" s="11"/>
      <c r="NP433" s="11"/>
      <c r="NQ433" s="11"/>
      <c r="NR433" s="11"/>
      <c r="NS433" s="11"/>
      <c r="NT433" s="11"/>
      <c r="NU433" s="11"/>
      <c r="NV433" s="11"/>
      <c r="NW433" s="11"/>
      <c r="NX433" s="11"/>
      <c r="NY433" s="11"/>
      <c r="NZ433" s="11"/>
      <c r="OA433" s="11"/>
      <c r="OB433" s="11"/>
      <c r="OC433" s="11"/>
      <c r="OD433" s="11"/>
      <c r="OE433" s="11"/>
      <c r="OF433" s="11"/>
      <c r="OG433" s="11"/>
      <c r="OH433" s="11"/>
      <c r="OI433" s="11"/>
      <c r="OJ433" s="11"/>
      <c r="OK433" s="11"/>
      <c r="OL433" s="11"/>
      <c r="OM433" s="11"/>
      <c r="ON433" s="11"/>
      <c r="OO433" s="11"/>
      <c r="OP433" s="11"/>
      <c r="OQ433" s="11"/>
      <c r="OR433" s="11"/>
      <c r="OS433" s="11"/>
      <c r="OT433" s="11"/>
      <c r="OU433" s="11"/>
      <c r="OV433" s="11"/>
      <c r="OW433" s="11"/>
      <c r="OX433" s="11"/>
      <c r="OY433" s="11"/>
      <c r="OZ433" s="11"/>
      <c r="PA433" s="11"/>
      <c r="PB433" s="11"/>
      <c r="PC433" s="11"/>
      <c r="PD433" s="11"/>
      <c r="PE433" s="11"/>
      <c r="PF433" s="11"/>
      <c r="PG433" s="11"/>
      <c r="PH433" s="11"/>
      <c r="PI433" s="11"/>
      <c r="PJ433" s="11"/>
      <c r="PK433" s="11"/>
      <c r="PL433" s="11"/>
      <c r="PM433" s="11"/>
      <c r="PN433" s="11"/>
      <c r="PO433" s="11"/>
      <c r="PP433" s="11"/>
      <c r="PQ433" s="11"/>
      <c r="PR433" s="11"/>
      <c r="PS433" s="11"/>
      <c r="PT433" s="11"/>
      <c r="PU433" s="11"/>
      <c r="PV433" s="11"/>
      <c r="PW433" s="11"/>
      <c r="PX433" s="11"/>
      <c r="PY433" s="11"/>
      <c r="PZ433" s="11"/>
      <c r="QA433" s="11"/>
      <c r="QB433" s="11"/>
      <c r="QC433" s="11"/>
      <c r="QD433" s="11"/>
      <c r="QE433" s="11"/>
      <c r="QF433" s="11"/>
      <c r="QG433" s="11"/>
      <c r="QH433" s="11"/>
      <c r="QI433" s="11"/>
      <c r="QJ433" s="11"/>
      <c r="QK433" s="11"/>
      <c r="QL433" s="11"/>
      <c r="QM433" s="11"/>
      <c r="QN433" s="11"/>
      <c r="QO433" s="11"/>
      <c r="QP433" s="11"/>
      <c r="QQ433" s="11"/>
      <c r="QR433" s="11"/>
      <c r="QS433" s="11"/>
      <c r="QT433" s="11"/>
      <c r="QU433" s="11"/>
      <c r="QV433" s="11"/>
      <c r="QW433" s="11"/>
      <c r="QX433" s="11"/>
      <c r="QY433" s="11"/>
      <c r="QZ433" s="11"/>
      <c r="RA433" s="11"/>
      <c r="RB433" s="11"/>
      <c r="RC433" s="11"/>
      <c r="RD433" s="11"/>
      <c r="RE433" s="11"/>
      <c r="RF433" s="11"/>
      <c r="RG433" s="11"/>
      <c r="RH433" s="11"/>
      <c r="RI433" s="11"/>
      <c r="RJ433" s="11"/>
      <c r="RK433" s="11"/>
      <c r="RL433" s="11"/>
      <c r="RM433" s="11"/>
      <c r="RN433" s="11"/>
      <c r="RO433" s="11"/>
      <c r="RP433" s="11"/>
      <c r="RQ433" s="11"/>
      <c r="RR433" s="11"/>
      <c r="RS433" s="11"/>
      <c r="RT433" s="11"/>
      <c r="RU433" s="11"/>
      <c r="RV433" s="11"/>
      <c r="RW433" s="11"/>
      <c r="RX433" s="11"/>
      <c r="RY433" s="11"/>
      <c r="RZ433" s="11"/>
      <c r="SA433" s="11"/>
      <c r="SB433" s="11"/>
      <c r="SC433" s="11"/>
      <c r="SD433" s="11"/>
      <c r="SE433" s="11"/>
      <c r="SF433" s="11"/>
      <c r="SG433" s="11"/>
      <c r="SH433" s="11">
        <v>1</v>
      </c>
    </row>
    <row r="434" spans="1:502" x14ac:dyDescent="0.2">
      <c r="A434" s="10">
        <v>4.8389814521948939E-2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  <c r="GP434" s="11"/>
      <c r="GQ434" s="11"/>
      <c r="GR434" s="11"/>
      <c r="GS434" s="11"/>
      <c r="GT434" s="11"/>
      <c r="GU434" s="11"/>
      <c r="GV434" s="11"/>
      <c r="GW434" s="11"/>
      <c r="GX434" s="11"/>
      <c r="GY434" s="11"/>
      <c r="GZ434" s="11"/>
      <c r="HA434" s="11"/>
      <c r="HB434" s="11"/>
      <c r="HC434" s="11"/>
      <c r="HD434" s="11"/>
      <c r="HE434" s="11"/>
      <c r="HF434" s="11"/>
      <c r="HG434" s="11"/>
      <c r="HH434" s="11"/>
      <c r="HI434" s="11"/>
      <c r="HJ434" s="11"/>
      <c r="HK434" s="11"/>
      <c r="HL434" s="11"/>
      <c r="HM434" s="11"/>
      <c r="HN434" s="11"/>
      <c r="HO434" s="11"/>
      <c r="HP434" s="11"/>
      <c r="HQ434" s="11"/>
      <c r="HR434" s="11"/>
      <c r="HS434" s="11"/>
      <c r="HT434" s="11"/>
      <c r="HU434" s="11"/>
      <c r="HV434" s="11"/>
      <c r="HW434" s="11"/>
      <c r="HX434" s="11"/>
      <c r="HY434" s="11"/>
      <c r="HZ434" s="11"/>
      <c r="IA434" s="11"/>
      <c r="IB434" s="11"/>
      <c r="IC434" s="11"/>
      <c r="ID434" s="11"/>
      <c r="IE434" s="11"/>
      <c r="IF434" s="11"/>
      <c r="IG434" s="11"/>
      <c r="IH434" s="11"/>
      <c r="II434" s="11"/>
      <c r="IJ434" s="11"/>
      <c r="IK434" s="11"/>
      <c r="IL434" s="11"/>
      <c r="IM434" s="11"/>
      <c r="IN434" s="11"/>
      <c r="IO434" s="11"/>
      <c r="IP434" s="11"/>
      <c r="IQ434" s="11"/>
      <c r="IR434" s="11"/>
      <c r="IS434" s="11"/>
      <c r="IT434" s="11"/>
      <c r="IU434" s="11"/>
      <c r="IV434" s="11"/>
      <c r="IW434" s="11"/>
      <c r="IX434" s="11"/>
      <c r="IY434" s="11"/>
      <c r="IZ434" s="11"/>
      <c r="JA434" s="11"/>
      <c r="JB434" s="11"/>
      <c r="JC434" s="11"/>
      <c r="JD434" s="11"/>
      <c r="JE434" s="11"/>
      <c r="JF434" s="11"/>
      <c r="JG434" s="11"/>
      <c r="JH434" s="11"/>
      <c r="JI434" s="11"/>
      <c r="JJ434" s="11"/>
      <c r="JK434" s="11"/>
      <c r="JL434" s="11"/>
      <c r="JM434" s="11"/>
      <c r="JN434" s="11"/>
      <c r="JO434" s="11"/>
      <c r="JP434" s="11"/>
      <c r="JQ434" s="11"/>
      <c r="JR434" s="11"/>
      <c r="JS434" s="11"/>
      <c r="JT434" s="11"/>
      <c r="JU434" s="11"/>
      <c r="JV434" s="11"/>
      <c r="JW434" s="11"/>
      <c r="JX434" s="11"/>
      <c r="JY434" s="11"/>
      <c r="JZ434" s="11"/>
      <c r="KA434" s="11"/>
      <c r="KB434" s="11"/>
      <c r="KC434" s="11"/>
      <c r="KD434" s="11"/>
      <c r="KE434" s="11"/>
      <c r="KF434" s="11"/>
      <c r="KG434" s="11"/>
      <c r="KH434" s="11"/>
      <c r="KI434" s="11"/>
      <c r="KJ434" s="11"/>
      <c r="KK434" s="11"/>
      <c r="KL434" s="11"/>
      <c r="KM434" s="11"/>
      <c r="KN434" s="11"/>
      <c r="KO434" s="11"/>
      <c r="KP434" s="11"/>
      <c r="KQ434" s="11"/>
      <c r="KR434" s="11"/>
      <c r="KS434" s="11"/>
      <c r="KT434" s="11"/>
      <c r="KU434" s="11"/>
      <c r="KV434" s="11"/>
      <c r="KW434" s="11"/>
      <c r="KX434" s="11"/>
      <c r="KY434" s="11"/>
      <c r="KZ434" s="11"/>
      <c r="LA434" s="11"/>
      <c r="LB434" s="11"/>
      <c r="LC434" s="11"/>
      <c r="LD434" s="11"/>
      <c r="LE434" s="11"/>
      <c r="LF434" s="11"/>
      <c r="LG434" s="11"/>
      <c r="LH434" s="11"/>
      <c r="LI434" s="11"/>
      <c r="LJ434" s="11"/>
      <c r="LK434" s="11"/>
      <c r="LL434" s="11"/>
      <c r="LM434" s="11"/>
      <c r="LN434" s="11"/>
      <c r="LO434" s="11"/>
      <c r="LP434" s="11"/>
      <c r="LQ434" s="11"/>
      <c r="LR434" s="11"/>
      <c r="LS434" s="11"/>
      <c r="LT434" s="11"/>
      <c r="LU434" s="11"/>
      <c r="LV434" s="11"/>
      <c r="LW434" s="11"/>
      <c r="LX434" s="11"/>
      <c r="LY434" s="11"/>
      <c r="LZ434" s="11"/>
      <c r="MA434" s="11"/>
      <c r="MB434" s="11"/>
      <c r="MC434" s="11"/>
      <c r="MD434" s="11"/>
      <c r="ME434" s="11"/>
      <c r="MF434" s="11"/>
      <c r="MG434" s="11"/>
      <c r="MH434" s="11"/>
      <c r="MI434" s="11">
        <v>1</v>
      </c>
      <c r="MJ434" s="11"/>
      <c r="MK434" s="11"/>
      <c r="ML434" s="11"/>
      <c r="MM434" s="11"/>
      <c r="MN434" s="11"/>
      <c r="MO434" s="11"/>
      <c r="MP434" s="11"/>
      <c r="MQ434" s="11"/>
      <c r="MR434" s="11"/>
      <c r="MS434" s="11"/>
      <c r="MT434" s="11"/>
      <c r="MU434" s="11"/>
      <c r="MV434" s="11"/>
      <c r="MW434" s="11"/>
      <c r="MX434" s="11"/>
      <c r="MY434" s="11"/>
      <c r="MZ434" s="11"/>
      <c r="NA434" s="11"/>
      <c r="NB434" s="11"/>
      <c r="NC434" s="11"/>
      <c r="ND434" s="11"/>
      <c r="NE434" s="11"/>
      <c r="NF434" s="11"/>
      <c r="NG434" s="11"/>
      <c r="NH434" s="11"/>
      <c r="NI434" s="11"/>
      <c r="NJ434" s="11"/>
      <c r="NK434" s="11"/>
      <c r="NL434" s="11"/>
      <c r="NM434" s="11"/>
      <c r="NN434" s="11"/>
      <c r="NO434" s="11"/>
      <c r="NP434" s="11"/>
      <c r="NQ434" s="11"/>
      <c r="NR434" s="11"/>
      <c r="NS434" s="11"/>
      <c r="NT434" s="11"/>
      <c r="NU434" s="11"/>
      <c r="NV434" s="11"/>
      <c r="NW434" s="11"/>
      <c r="NX434" s="11"/>
      <c r="NY434" s="11"/>
      <c r="NZ434" s="11"/>
      <c r="OA434" s="11"/>
      <c r="OB434" s="11"/>
      <c r="OC434" s="11"/>
      <c r="OD434" s="11"/>
      <c r="OE434" s="11"/>
      <c r="OF434" s="11"/>
      <c r="OG434" s="11"/>
      <c r="OH434" s="11"/>
      <c r="OI434" s="11"/>
      <c r="OJ434" s="11"/>
      <c r="OK434" s="11"/>
      <c r="OL434" s="11"/>
      <c r="OM434" s="11"/>
      <c r="ON434" s="11"/>
      <c r="OO434" s="11"/>
      <c r="OP434" s="11"/>
      <c r="OQ434" s="11"/>
      <c r="OR434" s="11"/>
      <c r="OS434" s="11"/>
      <c r="OT434" s="11"/>
      <c r="OU434" s="11"/>
      <c r="OV434" s="11"/>
      <c r="OW434" s="11"/>
      <c r="OX434" s="11"/>
      <c r="OY434" s="11"/>
      <c r="OZ434" s="11"/>
      <c r="PA434" s="11"/>
      <c r="PB434" s="11"/>
      <c r="PC434" s="11"/>
      <c r="PD434" s="11"/>
      <c r="PE434" s="11"/>
      <c r="PF434" s="11"/>
      <c r="PG434" s="11"/>
      <c r="PH434" s="11"/>
      <c r="PI434" s="11"/>
      <c r="PJ434" s="11"/>
      <c r="PK434" s="11"/>
      <c r="PL434" s="11"/>
      <c r="PM434" s="11"/>
      <c r="PN434" s="11"/>
      <c r="PO434" s="11"/>
      <c r="PP434" s="11"/>
      <c r="PQ434" s="11"/>
      <c r="PR434" s="11"/>
      <c r="PS434" s="11"/>
      <c r="PT434" s="11"/>
      <c r="PU434" s="11"/>
      <c r="PV434" s="11"/>
      <c r="PW434" s="11"/>
      <c r="PX434" s="11"/>
      <c r="PY434" s="11"/>
      <c r="PZ434" s="11"/>
      <c r="QA434" s="11"/>
      <c r="QB434" s="11"/>
      <c r="QC434" s="11"/>
      <c r="QD434" s="11"/>
      <c r="QE434" s="11"/>
      <c r="QF434" s="11"/>
      <c r="QG434" s="11"/>
      <c r="QH434" s="11"/>
      <c r="QI434" s="11"/>
      <c r="QJ434" s="11"/>
      <c r="QK434" s="11"/>
      <c r="QL434" s="11"/>
      <c r="QM434" s="11"/>
      <c r="QN434" s="11"/>
      <c r="QO434" s="11"/>
      <c r="QP434" s="11"/>
      <c r="QQ434" s="11"/>
      <c r="QR434" s="11"/>
      <c r="QS434" s="11"/>
      <c r="QT434" s="11"/>
      <c r="QU434" s="11"/>
      <c r="QV434" s="11"/>
      <c r="QW434" s="11"/>
      <c r="QX434" s="11"/>
      <c r="QY434" s="11"/>
      <c r="QZ434" s="11"/>
      <c r="RA434" s="11"/>
      <c r="RB434" s="11"/>
      <c r="RC434" s="11"/>
      <c r="RD434" s="11"/>
      <c r="RE434" s="11"/>
      <c r="RF434" s="11"/>
      <c r="RG434" s="11"/>
      <c r="RH434" s="11"/>
      <c r="RI434" s="11"/>
      <c r="RJ434" s="11"/>
      <c r="RK434" s="11"/>
      <c r="RL434" s="11"/>
      <c r="RM434" s="11"/>
      <c r="RN434" s="11"/>
      <c r="RO434" s="11"/>
      <c r="RP434" s="11"/>
      <c r="RQ434" s="11"/>
      <c r="RR434" s="11"/>
      <c r="RS434" s="11"/>
      <c r="RT434" s="11"/>
      <c r="RU434" s="11"/>
      <c r="RV434" s="11"/>
      <c r="RW434" s="11"/>
      <c r="RX434" s="11"/>
      <c r="RY434" s="11"/>
      <c r="RZ434" s="11"/>
      <c r="SA434" s="11"/>
      <c r="SB434" s="11"/>
      <c r="SC434" s="11"/>
      <c r="SD434" s="11"/>
      <c r="SE434" s="11"/>
      <c r="SF434" s="11"/>
      <c r="SG434" s="11"/>
      <c r="SH434" s="11">
        <v>1</v>
      </c>
    </row>
    <row r="435" spans="1:502" x14ac:dyDescent="0.2">
      <c r="A435" s="10">
        <v>4.8494422361504516E-2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>
        <v>1</v>
      </c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  <c r="GP435" s="11"/>
      <c r="GQ435" s="11"/>
      <c r="GR435" s="11"/>
      <c r="GS435" s="11"/>
      <c r="GT435" s="11"/>
      <c r="GU435" s="11"/>
      <c r="GV435" s="11"/>
      <c r="GW435" s="11"/>
      <c r="GX435" s="11"/>
      <c r="GY435" s="11"/>
      <c r="GZ435" s="11"/>
      <c r="HA435" s="11"/>
      <c r="HB435" s="11"/>
      <c r="HC435" s="11"/>
      <c r="HD435" s="11"/>
      <c r="HE435" s="11"/>
      <c r="HF435" s="11"/>
      <c r="HG435" s="11"/>
      <c r="HH435" s="11"/>
      <c r="HI435" s="11"/>
      <c r="HJ435" s="11"/>
      <c r="HK435" s="11"/>
      <c r="HL435" s="11"/>
      <c r="HM435" s="11"/>
      <c r="HN435" s="11"/>
      <c r="HO435" s="11"/>
      <c r="HP435" s="11"/>
      <c r="HQ435" s="11"/>
      <c r="HR435" s="11"/>
      <c r="HS435" s="11"/>
      <c r="HT435" s="11"/>
      <c r="HU435" s="11"/>
      <c r="HV435" s="11"/>
      <c r="HW435" s="11"/>
      <c r="HX435" s="11"/>
      <c r="HY435" s="11"/>
      <c r="HZ435" s="11"/>
      <c r="IA435" s="11"/>
      <c r="IB435" s="11"/>
      <c r="IC435" s="11"/>
      <c r="ID435" s="11"/>
      <c r="IE435" s="11"/>
      <c r="IF435" s="11"/>
      <c r="IG435" s="11"/>
      <c r="IH435" s="11"/>
      <c r="II435" s="11"/>
      <c r="IJ435" s="11"/>
      <c r="IK435" s="11"/>
      <c r="IL435" s="11"/>
      <c r="IM435" s="11"/>
      <c r="IN435" s="11"/>
      <c r="IO435" s="11"/>
      <c r="IP435" s="11"/>
      <c r="IQ435" s="11"/>
      <c r="IR435" s="11"/>
      <c r="IS435" s="11"/>
      <c r="IT435" s="11"/>
      <c r="IU435" s="11"/>
      <c r="IV435" s="11"/>
      <c r="IW435" s="11"/>
      <c r="IX435" s="11"/>
      <c r="IY435" s="11"/>
      <c r="IZ435" s="11"/>
      <c r="JA435" s="11"/>
      <c r="JB435" s="11"/>
      <c r="JC435" s="11"/>
      <c r="JD435" s="11"/>
      <c r="JE435" s="11"/>
      <c r="JF435" s="11"/>
      <c r="JG435" s="11"/>
      <c r="JH435" s="11"/>
      <c r="JI435" s="11"/>
      <c r="JJ435" s="11"/>
      <c r="JK435" s="11"/>
      <c r="JL435" s="11"/>
      <c r="JM435" s="11"/>
      <c r="JN435" s="11"/>
      <c r="JO435" s="11"/>
      <c r="JP435" s="11"/>
      <c r="JQ435" s="11"/>
      <c r="JR435" s="11"/>
      <c r="JS435" s="11"/>
      <c r="JT435" s="11"/>
      <c r="JU435" s="11"/>
      <c r="JV435" s="11"/>
      <c r="JW435" s="11"/>
      <c r="JX435" s="11"/>
      <c r="JY435" s="11"/>
      <c r="JZ435" s="11"/>
      <c r="KA435" s="11"/>
      <c r="KB435" s="11"/>
      <c r="KC435" s="11"/>
      <c r="KD435" s="11"/>
      <c r="KE435" s="11"/>
      <c r="KF435" s="11"/>
      <c r="KG435" s="11"/>
      <c r="KH435" s="11"/>
      <c r="KI435" s="11"/>
      <c r="KJ435" s="11"/>
      <c r="KK435" s="11"/>
      <c r="KL435" s="11"/>
      <c r="KM435" s="11"/>
      <c r="KN435" s="11"/>
      <c r="KO435" s="11"/>
      <c r="KP435" s="11"/>
      <c r="KQ435" s="11"/>
      <c r="KR435" s="11"/>
      <c r="KS435" s="11"/>
      <c r="KT435" s="11"/>
      <c r="KU435" s="11"/>
      <c r="KV435" s="11"/>
      <c r="KW435" s="11"/>
      <c r="KX435" s="11"/>
      <c r="KY435" s="11"/>
      <c r="KZ435" s="11"/>
      <c r="LA435" s="11"/>
      <c r="LB435" s="11"/>
      <c r="LC435" s="11"/>
      <c r="LD435" s="11"/>
      <c r="LE435" s="11"/>
      <c r="LF435" s="11"/>
      <c r="LG435" s="11"/>
      <c r="LH435" s="11"/>
      <c r="LI435" s="11"/>
      <c r="LJ435" s="11"/>
      <c r="LK435" s="11"/>
      <c r="LL435" s="11"/>
      <c r="LM435" s="11"/>
      <c r="LN435" s="11"/>
      <c r="LO435" s="11"/>
      <c r="LP435" s="11"/>
      <c r="LQ435" s="11"/>
      <c r="LR435" s="11"/>
      <c r="LS435" s="11"/>
      <c r="LT435" s="11"/>
      <c r="LU435" s="11"/>
      <c r="LV435" s="11"/>
      <c r="LW435" s="11"/>
      <c r="LX435" s="11"/>
      <c r="LY435" s="11"/>
      <c r="LZ435" s="11"/>
      <c r="MA435" s="11"/>
      <c r="MB435" s="11"/>
      <c r="MC435" s="11"/>
      <c r="MD435" s="11"/>
      <c r="ME435" s="11"/>
      <c r="MF435" s="11"/>
      <c r="MG435" s="11"/>
      <c r="MH435" s="11"/>
      <c r="MI435" s="11"/>
      <c r="MJ435" s="11"/>
      <c r="MK435" s="11"/>
      <c r="ML435" s="11"/>
      <c r="MM435" s="11"/>
      <c r="MN435" s="11"/>
      <c r="MO435" s="11"/>
      <c r="MP435" s="11"/>
      <c r="MQ435" s="11"/>
      <c r="MR435" s="11"/>
      <c r="MS435" s="11"/>
      <c r="MT435" s="11"/>
      <c r="MU435" s="11"/>
      <c r="MV435" s="11"/>
      <c r="MW435" s="11"/>
      <c r="MX435" s="11"/>
      <c r="MY435" s="11"/>
      <c r="MZ435" s="11"/>
      <c r="NA435" s="11"/>
      <c r="NB435" s="11"/>
      <c r="NC435" s="11"/>
      <c r="ND435" s="11"/>
      <c r="NE435" s="11"/>
      <c r="NF435" s="11"/>
      <c r="NG435" s="11"/>
      <c r="NH435" s="11"/>
      <c r="NI435" s="11"/>
      <c r="NJ435" s="11"/>
      <c r="NK435" s="11"/>
      <c r="NL435" s="11"/>
      <c r="NM435" s="11"/>
      <c r="NN435" s="11"/>
      <c r="NO435" s="11"/>
      <c r="NP435" s="11"/>
      <c r="NQ435" s="11"/>
      <c r="NR435" s="11"/>
      <c r="NS435" s="11"/>
      <c r="NT435" s="11"/>
      <c r="NU435" s="11"/>
      <c r="NV435" s="11"/>
      <c r="NW435" s="11"/>
      <c r="NX435" s="11"/>
      <c r="NY435" s="11"/>
      <c r="NZ435" s="11"/>
      <c r="OA435" s="11"/>
      <c r="OB435" s="11"/>
      <c r="OC435" s="11"/>
      <c r="OD435" s="11"/>
      <c r="OE435" s="11"/>
      <c r="OF435" s="11"/>
      <c r="OG435" s="11"/>
      <c r="OH435" s="11"/>
      <c r="OI435" s="11"/>
      <c r="OJ435" s="11"/>
      <c r="OK435" s="11"/>
      <c r="OL435" s="11"/>
      <c r="OM435" s="11"/>
      <c r="ON435" s="11"/>
      <c r="OO435" s="11"/>
      <c r="OP435" s="11"/>
      <c r="OQ435" s="11"/>
      <c r="OR435" s="11"/>
      <c r="OS435" s="11"/>
      <c r="OT435" s="11"/>
      <c r="OU435" s="11"/>
      <c r="OV435" s="11"/>
      <c r="OW435" s="11"/>
      <c r="OX435" s="11"/>
      <c r="OY435" s="11"/>
      <c r="OZ435" s="11"/>
      <c r="PA435" s="11"/>
      <c r="PB435" s="11"/>
      <c r="PC435" s="11"/>
      <c r="PD435" s="11"/>
      <c r="PE435" s="11"/>
      <c r="PF435" s="11"/>
      <c r="PG435" s="11"/>
      <c r="PH435" s="11"/>
      <c r="PI435" s="11"/>
      <c r="PJ435" s="11"/>
      <c r="PK435" s="11"/>
      <c r="PL435" s="11"/>
      <c r="PM435" s="11"/>
      <c r="PN435" s="11"/>
      <c r="PO435" s="11"/>
      <c r="PP435" s="11"/>
      <c r="PQ435" s="11"/>
      <c r="PR435" s="11"/>
      <c r="PS435" s="11"/>
      <c r="PT435" s="11"/>
      <c r="PU435" s="11"/>
      <c r="PV435" s="11"/>
      <c r="PW435" s="11"/>
      <c r="PX435" s="11"/>
      <c r="PY435" s="11"/>
      <c r="PZ435" s="11"/>
      <c r="QA435" s="11"/>
      <c r="QB435" s="11"/>
      <c r="QC435" s="11"/>
      <c r="QD435" s="11"/>
      <c r="QE435" s="11"/>
      <c r="QF435" s="11"/>
      <c r="QG435" s="11"/>
      <c r="QH435" s="11"/>
      <c r="QI435" s="11"/>
      <c r="QJ435" s="11"/>
      <c r="QK435" s="11"/>
      <c r="QL435" s="11"/>
      <c r="QM435" s="11"/>
      <c r="QN435" s="11"/>
      <c r="QO435" s="11"/>
      <c r="QP435" s="11"/>
      <c r="QQ435" s="11"/>
      <c r="QR435" s="11"/>
      <c r="QS435" s="11"/>
      <c r="QT435" s="11"/>
      <c r="QU435" s="11"/>
      <c r="QV435" s="11"/>
      <c r="QW435" s="11"/>
      <c r="QX435" s="11"/>
      <c r="QY435" s="11"/>
      <c r="QZ435" s="11"/>
      <c r="RA435" s="11"/>
      <c r="RB435" s="11"/>
      <c r="RC435" s="11"/>
      <c r="RD435" s="11"/>
      <c r="RE435" s="11"/>
      <c r="RF435" s="11"/>
      <c r="RG435" s="11"/>
      <c r="RH435" s="11"/>
      <c r="RI435" s="11"/>
      <c r="RJ435" s="11"/>
      <c r="RK435" s="11"/>
      <c r="RL435" s="11"/>
      <c r="RM435" s="11"/>
      <c r="RN435" s="11"/>
      <c r="RO435" s="11"/>
      <c r="RP435" s="11"/>
      <c r="RQ435" s="11"/>
      <c r="RR435" s="11"/>
      <c r="RS435" s="11"/>
      <c r="RT435" s="11"/>
      <c r="RU435" s="11"/>
      <c r="RV435" s="11"/>
      <c r="RW435" s="11"/>
      <c r="RX435" s="11"/>
      <c r="RY435" s="11"/>
      <c r="RZ435" s="11"/>
      <c r="SA435" s="11"/>
      <c r="SB435" s="11"/>
      <c r="SC435" s="11"/>
      <c r="SD435" s="11"/>
      <c r="SE435" s="11"/>
      <c r="SF435" s="11"/>
      <c r="SG435" s="11"/>
      <c r="SH435" s="11">
        <v>1</v>
      </c>
    </row>
    <row r="436" spans="1:502" x14ac:dyDescent="0.2">
      <c r="A436" s="10">
        <v>4.8611529982415878E-2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>
        <v>1</v>
      </c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  <c r="FW436" s="11"/>
      <c r="FX436" s="11"/>
      <c r="FY436" s="11"/>
      <c r="FZ436" s="11"/>
      <c r="GA436" s="11"/>
      <c r="GB436" s="11"/>
      <c r="GC436" s="11"/>
      <c r="GD436" s="11"/>
      <c r="GE436" s="11"/>
      <c r="GF436" s="11"/>
      <c r="GG436" s="11"/>
      <c r="GH436" s="11"/>
      <c r="GI436" s="11"/>
      <c r="GJ436" s="11"/>
      <c r="GK436" s="11"/>
      <c r="GL436" s="11"/>
      <c r="GM436" s="11"/>
      <c r="GN436" s="11"/>
      <c r="GO436" s="11"/>
      <c r="GP436" s="11"/>
      <c r="GQ436" s="11"/>
      <c r="GR436" s="11"/>
      <c r="GS436" s="11"/>
      <c r="GT436" s="11"/>
      <c r="GU436" s="11"/>
      <c r="GV436" s="11"/>
      <c r="GW436" s="11"/>
      <c r="GX436" s="11"/>
      <c r="GY436" s="11"/>
      <c r="GZ436" s="11"/>
      <c r="HA436" s="11"/>
      <c r="HB436" s="11"/>
      <c r="HC436" s="11"/>
      <c r="HD436" s="11"/>
      <c r="HE436" s="11"/>
      <c r="HF436" s="11"/>
      <c r="HG436" s="11"/>
      <c r="HH436" s="11"/>
      <c r="HI436" s="11"/>
      <c r="HJ436" s="11"/>
      <c r="HK436" s="11"/>
      <c r="HL436" s="11"/>
      <c r="HM436" s="11"/>
      <c r="HN436" s="11"/>
      <c r="HO436" s="11"/>
      <c r="HP436" s="11"/>
      <c r="HQ436" s="11"/>
      <c r="HR436" s="11"/>
      <c r="HS436" s="11"/>
      <c r="HT436" s="11"/>
      <c r="HU436" s="11"/>
      <c r="HV436" s="11"/>
      <c r="HW436" s="11"/>
      <c r="HX436" s="11"/>
      <c r="HY436" s="11"/>
      <c r="HZ436" s="11"/>
      <c r="IA436" s="11"/>
      <c r="IB436" s="11"/>
      <c r="IC436" s="11"/>
      <c r="ID436" s="11"/>
      <c r="IE436" s="11"/>
      <c r="IF436" s="11"/>
      <c r="IG436" s="11"/>
      <c r="IH436" s="11"/>
      <c r="II436" s="11"/>
      <c r="IJ436" s="11"/>
      <c r="IK436" s="11"/>
      <c r="IL436" s="11"/>
      <c r="IM436" s="11"/>
      <c r="IN436" s="11"/>
      <c r="IO436" s="11"/>
      <c r="IP436" s="11"/>
      <c r="IQ436" s="11"/>
      <c r="IR436" s="11"/>
      <c r="IS436" s="11"/>
      <c r="IT436" s="11"/>
      <c r="IU436" s="11"/>
      <c r="IV436" s="11"/>
      <c r="IW436" s="11"/>
      <c r="IX436" s="11"/>
      <c r="IY436" s="11"/>
      <c r="IZ436" s="11"/>
      <c r="JA436" s="11"/>
      <c r="JB436" s="11"/>
      <c r="JC436" s="11"/>
      <c r="JD436" s="11"/>
      <c r="JE436" s="11"/>
      <c r="JF436" s="11"/>
      <c r="JG436" s="11"/>
      <c r="JH436" s="11"/>
      <c r="JI436" s="11"/>
      <c r="JJ436" s="11"/>
      <c r="JK436" s="11"/>
      <c r="JL436" s="11"/>
      <c r="JM436" s="11"/>
      <c r="JN436" s="11"/>
      <c r="JO436" s="11"/>
      <c r="JP436" s="11"/>
      <c r="JQ436" s="11"/>
      <c r="JR436" s="11"/>
      <c r="JS436" s="11"/>
      <c r="JT436" s="11"/>
      <c r="JU436" s="11"/>
      <c r="JV436" s="11"/>
      <c r="JW436" s="11"/>
      <c r="JX436" s="11"/>
      <c r="JY436" s="11"/>
      <c r="JZ436" s="11"/>
      <c r="KA436" s="11"/>
      <c r="KB436" s="11"/>
      <c r="KC436" s="11"/>
      <c r="KD436" s="11"/>
      <c r="KE436" s="11"/>
      <c r="KF436" s="11"/>
      <c r="KG436" s="11"/>
      <c r="KH436" s="11"/>
      <c r="KI436" s="11"/>
      <c r="KJ436" s="11"/>
      <c r="KK436" s="11"/>
      <c r="KL436" s="11"/>
      <c r="KM436" s="11"/>
      <c r="KN436" s="11"/>
      <c r="KO436" s="11"/>
      <c r="KP436" s="11"/>
      <c r="KQ436" s="11"/>
      <c r="KR436" s="11"/>
      <c r="KS436" s="11"/>
      <c r="KT436" s="11"/>
      <c r="KU436" s="11"/>
      <c r="KV436" s="11"/>
      <c r="KW436" s="11"/>
      <c r="KX436" s="11"/>
      <c r="KY436" s="11"/>
      <c r="KZ436" s="11"/>
      <c r="LA436" s="11"/>
      <c r="LB436" s="11"/>
      <c r="LC436" s="11"/>
      <c r="LD436" s="11"/>
      <c r="LE436" s="11"/>
      <c r="LF436" s="11"/>
      <c r="LG436" s="11"/>
      <c r="LH436" s="11"/>
      <c r="LI436" s="11"/>
      <c r="LJ436" s="11"/>
      <c r="LK436" s="11"/>
      <c r="LL436" s="11"/>
      <c r="LM436" s="11"/>
      <c r="LN436" s="11"/>
      <c r="LO436" s="11"/>
      <c r="LP436" s="11"/>
      <c r="LQ436" s="11"/>
      <c r="LR436" s="11"/>
      <c r="LS436" s="11"/>
      <c r="LT436" s="11"/>
      <c r="LU436" s="11"/>
      <c r="LV436" s="11"/>
      <c r="LW436" s="11"/>
      <c r="LX436" s="11"/>
      <c r="LY436" s="11"/>
      <c r="LZ436" s="11"/>
      <c r="MA436" s="11"/>
      <c r="MB436" s="11"/>
      <c r="MC436" s="11"/>
      <c r="MD436" s="11"/>
      <c r="ME436" s="11"/>
      <c r="MF436" s="11"/>
      <c r="MG436" s="11"/>
      <c r="MH436" s="11"/>
      <c r="MI436" s="11"/>
      <c r="MJ436" s="11"/>
      <c r="MK436" s="11"/>
      <c r="ML436" s="11"/>
      <c r="MM436" s="11"/>
      <c r="MN436" s="11"/>
      <c r="MO436" s="11"/>
      <c r="MP436" s="11"/>
      <c r="MQ436" s="11"/>
      <c r="MR436" s="11"/>
      <c r="MS436" s="11"/>
      <c r="MT436" s="11"/>
      <c r="MU436" s="11"/>
      <c r="MV436" s="11"/>
      <c r="MW436" s="11"/>
      <c r="MX436" s="11"/>
      <c r="MY436" s="11"/>
      <c r="MZ436" s="11"/>
      <c r="NA436" s="11"/>
      <c r="NB436" s="11"/>
      <c r="NC436" s="11"/>
      <c r="ND436" s="11"/>
      <c r="NE436" s="11"/>
      <c r="NF436" s="11"/>
      <c r="NG436" s="11"/>
      <c r="NH436" s="11"/>
      <c r="NI436" s="11"/>
      <c r="NJ436" s="11"/>
      <c r="NK436" s="11"/>
      <c r="NL436" s="11"/>
      <c r="NM436" s="11"/>
      <c r="NN436" s="11"/>
      <c r="NO436" s="11"/>
      <c r="NP436" s="11"/>
      <c r="NQ436" s="11"/>
      <c r="NR436" s="11"/>
      <c r="NS436" s="11"/>
      <c r="NT436" s="11"/>
      <c r="NU436" s="11"/>
      <c r="NV436" s="11"/>
      <c r="NW436" s="11"/>
      <c r="NX436" s="11"/>
      <c r="NY436" s="11"/>
      <c r="NZ436" s="11"/>
      <c r="OA436" s="11"/>
      <c r="OB436" s="11"/>
      <c r="OC436" s="11"/>
      <c r="OD436" s="11"/>
      <c r="OE436" s="11"/>
      <c r="OF436" s="11"/>
      <c r="OG436" s="11"/>
      <c r="OH436" s="11"/>
      <c r="OI436" s="11"/>
      <c r="OJ436" s="11"/>
      <c r="OK436" s="11"/>
      <c r="OL436" s="11"/>
      <c r="OM436" s="11"/>
      <c r="ON436" s="11"/>
      <c r="OO436" s="11"/>
      <c r="OP436" s="11"/>
      <c r="OQ436" s="11"/>
      <c r="OR436" s="11"/>
      <c r="OS436" s="11"/>
      <c r="OT436" s="11"/>
      <c r="OU436" s="11"/>
      <c r="OV436" s="11"/>
      <c r="OW436" s="11"/>
      <c r="OX436" s="11"/>
      <c r="OY436" s="11"/>
      <c r="OZ436" s="11"/>
      <c r="PA436" s="11"/>
      <c r="PB436" s="11"/>
      <c r="PC436" s="11"/>
      <c r="PD436" s="11"/>
      <c r="PE436" s="11"/>
      <c r="PF436" s="11"/>
      <c r="PG436" s="11"/>
      <c r="PH436" s="11"/>
      <c r="PI436" s="11"/>
      <c r="PJ436" s="11"/>
      <c r="PK436" s="11"/>
      <c r="PL436" s="11"/>
      <c r="PM436" s="11"/>
      <c r="PN436" s="11"/>
      <c r="PO436" s="11"/>
      <c r="PP436" s="11"/>
      <c r="PQ436" s="11"/>
      <c r="PR436" s="11"/>
      <c r="PS436" s="11"/>
      <c r="PT436" s="11"/>
      <c r="PU436" s="11"/>
      <c r="PV436" s="11"/>
      <c r="PW436" s="11"/>
      <c r="PX436" s="11"/>
      <c r="PY436" s="11"/>
      <c r="PZ436" s="11"/>
      <c r="QA436" s="11"/>
      <c r="QB436" s="11"/>
      <c r="QC436" s="11"/>
      <c r="QD436" s="11"/>
      <c r="QE436" s="11"/>
      <c r="QF436" s="11"/>
      <c r="QG436" s="11"/>
      <c r="QH436" s="11"/>
      <c r="QI436" s="11"/>
      <c r="QJ436" s="11"/>
      <c r="QK436" s="11"/>
      <c r="QL436" s="11"/>
      <c r="QM436" s="11"/>
      <c r="QN436" s="11"/>
      <c r="QO436" s="11"/>
      <c r="QP436" s="11"/>
      <c r="QQ436" s="11"/>
      <c r="QR436" s="11"/>
      <c r="QS436" s="11"/>
      <c r="QT436" s="11"/>
      <c r="QU436" s="11"/>
      <c r="QV436" s="11"/>
      <c r="QW436" s="11"/>
      <c r="QX436" s="11"/>
      <c r="QY436" s="11"/>
      <c r="QZ436" s="11"/>
      <c r="RA436" s="11"/>
      <c r="RB436" s="11"/>
      <c r="RC436" s="11"/>
      <c r="RD436" s="11"/>
      <c r="RE436" s="11"/>
      <c r="RF436" s="11"/>
      <c r="RG436" s="11"/>
      <c r="RH436" s="11"/>
      <c r="RI436" s="11"/>
      <c r="RJ436" s="11"/>
      <c r="RK436" s="11"/>
      <c r="RL436" s="11"/>
      <c r="RM436" s="11"/>
      <c r="RN436" s="11"/>
      <c r="RO436" s="11"/>
      <c r="RP436" s="11"/>
      <c r="RQ436" s="11"/>
      <c r="RR436" s="11"/>
      <c r="RS436" s="11"/>
      <c r="RT436" s="11"/>
      <c r="RU436" s="11"/>
      <c r="RV436" s="11"/>
      <c r="RW436" s="11"/>
      <c r="RX436" s="11"/>
      <c r="RY436" s="11"/>
      <c r="RZ436" s="11"/>
      <c r="SA436" s="11"/>
      <c r="SB436" s="11"/>
      <c r="SC436" s="11"/>
      <c r="SD436" s="11"/>
      <c r="SE436" s="11"/>
      <c r="SF436" s="11"/>
      <c r="SG436" s="11"/>
      <c r="SH436" s="11">
        <v>1</v>
      </c>
    </row>
    <row r="437" spans="1:502" x14ac:dyDescent="0.2">
      <c r="A437" s="10">
        <v>4.8633772634298043E-2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  <c r="FW437" s="11"/>
      <c r="FX437" s="11"/>
      <c r="FY437" s="11"/>
      <c r="FZ437" s="11"/>
      <c r="GA437" s="11"/>
      <c r="GB437" s="11"/>
      <c r="GC437" s="11"/>
      <c r="GD437" s="11"/>
      <c r="GE437" s="11"/>
      <c r="GF437" s="11"/>
      <c r="GG437" s="11"/>
      <c r="GH437" s="11"/>
      <c r="GI437" s="11"/>
      <c r="GJ437" s="11"/>
      <c r="GK437" s="11"/>
      <c r="GL437" s="11"/>
      <c r="GM437" s="11"/>
      <c r="GN437" s="11"/>
      <c r="GO437" s="11"/>
      <c r="GP437" s="11"/>
      <c r="GQ437" s="11"/>
      <c r="GR437" s="11"/>
      <c r="GS437" s="11"/>
      <c r="GT437" s="11"/>
      <c r="GU437" s="11"/>
      <c r="GV437" s="11"/>
      <c r="GW437" s="11"/>
      <c r="GX437" s="11"/>
      <c r="GY437" s="11"/>
      <c r="GZ437" s="11"/>
      <c r="HA437" s="11"/>
      <c r="HB437" s="11"/>
      <c r="HC437" s="11"/>
      <c r="HD437" s="11"/>
      <c r="HE437" s="11"/>
      <c r="HF437" s="11"/>
      <c r="HG437" s="11"/>
      <c r="HH437" s="11"/>
      <c r="HI437" s="11"/>
      <c r="HJ437" s="11"/>
      <c r="HK437" s="11"/>
      <c r="HL437" s="11"/>
      <c r="HM437" s="11"/>
      <c r="HN437" s="11"/>
      <c r="HO437" s="11"/>
      <c r="HP437" s="11"/>
      <c r="HQ437" s="11"/>
      <c r="HR437" s="11"/>
      <c r="HS437" s="11"/>
      <c r="HT437" s="11"/>
      <c r="HU437" s="11"/>
      <c r="HV437" s="11"/>
      <c r="HW437" s="11"/>
      <c r="HX437" s="11"/>
      <c r="HY437" s="11"/>
      <c r="HZ437" s="11"/>
      <c r="IA437" s="11"/>
      <c r="IB437" s="11"/>
      <c r="IC437" s="11">
        <v>1</v>
      </c>
      <c r="ID437" s="11"/>
      <c r="IE437" s="11"/>
      <c r="IF437" s="11"/>
      <c r="IG437" s="11"/>
      <c r="IH437" s="11"/>
      <c r="II437" s="11"/>
      <c r="IJ437" s="11"/>
      <c r="IK437" s="11"/>
      <c r="IL437" s="11"/>
      <c r="IM437" s="11"/>
      <c r="IN437" s="11"/>
      <c r="IO437" s="11"/>
      <c r="IP437" s="11"/>
      <c r="IQ437" s="11"/>
      <c r="IR437" s="11"/>
      <c r="IS437" s="11"/>
      <c r="IT437" s="11"/>
      <c r="IU437" s="11"/>
      <c r="IV437" s="11"/>
      <c r="IW437" s="11"/>
      <c r="IX437" s="11"/>
      <c r="IY437" s="11"/>
      <c r="IZ437" s="11"/>
      <c r="JA437" s="11"/>
      <c r="JB437" s="11"/>
      <c r="JC437" s="11"/>
      <c r="JD437" s="11"/>
      <c r="JE437" s="11"/>
      <c r="JF437" s="11"/>
      <c r="JG437" s="11"/>
      <c r="JH437" s="11"/>
      <c r="JI437" s="11"/>
      <c r="JJ437" s="11"/>
      <c r="JK437" s="11"/>
      <c r="JL437" s="11"/>
      <c r="JM437" s="11"/>
      <c r="JN437" s="11"/>
      <c r="JO437" s="11"/>
      <c r="JP437" s="11"/>
      <c r="JQ437" s="11"/>
      <c r="JR437" s="11"/>
      <c r="JS437" s="11"/>
      <c r="JT437" s="11"/>
      <c r="JU437" s="11"/>
      <c r="JV437" s="11"/>
      <c r="JW437" s="11"/>
      <c r="JX437" s="11"/>
      <c r="JY437" s="11"/>
      <c r="JZ437" s="11"/>
      <c r="KA437" s="11"/>
      <c r="KB437" s="11"/>
      <c r="KC437" s="11"/>
      <c r="KD437" s="11"/>
      <c r="KE437" s="11"/>
      <c r="KF437" s="11"/>
      <c r="KG437" s="11"/>
      <c r="KH437" s="11"/>
      <c r="KI437" s="11"/>
      <c r="KJ437" s="11"/>
      <c r="KK437" s="11"/>
      <c r="KL437" s="11"/>
      <c r="KM437" s="11"/>
      <c r="KN437" s="11"/>
      <c r="KO437" s="11"/>
      <c r="KP437" s="11"/>
      <c r="KQ437" s="11"/>
      <c r="KR437" s="11"/>
      <c r="KS437" s="11"/>
      <c r="KT437" s="11"/>
      <c r="KU437" s="11"/>
      <c r="KV437" s="11"/>
      <c r="KW437" s="11"/>
      <c r="KX437" s="11"/>
      <c r="KY437" s="11"/>
      <c r="KZ437" s="11"/>
      <c r="LA437" s="11"/>
      <c r="LB437" s="11"/>
      <c r="LC437" s="11"/>
      <c r="LD437" s="11"/>
      <c r="LE437" s="11"/>
      <c r="LF437" s="11"/>
      <c r="LG437" s="11"/>
      <c r="LH437" s="11"/>
      <c r="LI437" s="11"/>
      <c r="LJ437" s="11"/>
      <c r="LK437" s="11"/>
      <c r="LL437" s="11"/>
      <c r="LM437" s="11"/>
      <c r="LN437" s="11"/>
      <c r="LO437" s="11"/>
      <c r="LP437" s="11"/>
      <c r="LQ437" s="11"/>
      <c r="LR437" s="11"/>
      <c r="LS437" s="11"/>
      <c r="LT437" s="11"/>
      <c r="LU437" s="11"/>
      <c r="LV437" s="11"/>
      <c r="LW437" s="11"/>
      <c r="LX437" s="11"/>
      <c r="LY437" s="11"/>
      <c r="LZ437" s="11"/>
      <c r="MA437" s="11"/>
      <c r="MB437" s="11"/>
      <c r="MC437" s="11"/>
      <c r="MD437" s="11"/>
      <c r="ME437" s="11"/>
      <c r="MF437" s="11"/>
      <c r="MG437" s="11"/>
      <c r="MH437" s="11"/>
      <c r="MI437" s="11"/>
      <c r="MJ437" s="11"/>
      <c r="MK437" s="11"/>
      <c r="ML437" s="11"/>
      <c r="MM437" s="11"/>
      <c r="MN437" s="11"/>
      <c r="MO437" s="11"/>
      <c r="MP437" s="11"/>
      <c r="MQ437" s="11"/>
      <c r="MR437" s="11"/>
      <c r="MS437" s="11"/>
      <c r="MT437" s="11"/>
      <c r="MU437" s="11"/>
      <c r="MV437" s="11"/>
      <c r="MW437" s="11"/>
      <c r="MX437" s="11"/>
      <c r="MY437" s="11"/>
      <c r="MZ437" s="11"/>
      <c r="NA437" s="11"/>
      <c r="NB437" s="11"/>
      <c r="NC437" s="11"/>
      <c r="ND437" s="11"/>
      <c r="NE437" s="11"/>
      <c r="NF437" s="11"/>
      <c r="NG437" s="11"/>
      <c r="NH437" s="11"/>
      <c r="NI437" s="11"/>
      <c r="NJ437" s="11"/>
      <c r="NK437" s="11"/>
      <c r="NL437" s="11"/>
      <c r="NM437" s="11"/>
      <c r="NN437" s="11"/>
      <c r="NO437" s="11"/>
      <c r="NP437" s="11"/>
      <c r="NQ437" s="11"/>
      <c r="NR437" s="11"/>
      <c r="NS437" s="11"/>
      <c r="NT437" s="11"/>
      <c r="NU437" s="11"/>
      <c r="NV437" s="11"/>
      <c r="NW437" s="11"/>
      <c r="NX437" s="11"/>
      <c r="NY437" s="11"/>
      <c r="NZ437" s="11"/>
      <c r="OA437" s="11"/>
      <c r="OB437" s="11"/>
      <c r="OC437" s="11"/>
      <c r="OD437" s="11"/>
      <c r="OE437" s="11"/>
      <c r="OF437" s="11"/>
      <c r="OG437" s="11"/>
      <c r="OH437" s="11"/>
      <c r="OI437" s="11"/>
      <c r="OJ437" s="11"/>
      <c r="OK437" s="11"/>
      <c r="OL437" s="11"/>
      <c r="OM437" s="11"/>
      <c r="ON437" s="11"/>
      <c r="OO437" s="11"/>
      <c r="OP437" s="11"/>
      <c r="OQ437" s="11"/>
      <c r="OR437" s="11"/>
      <c r="OS437" s="11"/>
      <c r="OT437" s="11"/>
      <c r="OU437" s="11"/>
      <c r="OV437" s="11"/>
      <c r="OW437" s="11"/>
      <c r="OX437" s="11"/>
      <c r="OY437" s="11"/>
      <c r="OZ437" s="11"/>
      <c r="PA437" s="11"/>
      <c r="PB437" s="11"/>
      <c r="PC437" s="11"/>
      <c r="PD437" s="11"/>
      <c r="PE437" s="11"/>
      <c r="PF437" s="11"/>
      <c r="PG437" s="11"/>
      <c r="PH437" s="11"/>
      <c r="PI437" s="11"/>
      <c r="PJ437" s="11"/>
      <c r="PK437" s="11"/>
      <c r="PL437" s="11"/>
      <c r="PM437" s="11"/>
      <c r="PN437" s="11"/>
      <c r="PO437" s="11"/>
      <c r="PP437" s="11"/>
      <c r="PQ437" s="11"/>
      <c r="PR437" s="11"/>
      <c r="PS437" s="11"/>
      <c r="PT437" s="11"/>
      <c r="PU437" s="11"/>
      <c r="PV437" s="11"/>
      <c r="PW437" s="11"/>
      <c r="PX437" s="11"/>
      <c r="PY437" s="11"/>
      <c r="PZ437" s="11"/>
      <c r="QA437" s="11"/>
      <c r="QB437" s="11"/>
      <c r="QC437" s="11"/>
      <c r="QD437" s="11"/>
      <c r="QE437" s="11"/>
      <c r="QF437" s="11"/>
      <c r="QG437" s="11"/>
      <c r="QH437" s="11"/>
      <c r="QI437" s="11"/>
      <c r="QJ437" s="11"/>
      <c r="QK437" s="11"/>
      <c r="QL437" s="11"/>
      <c r="QM437" s="11"/>
      <c r="QN437" s="11"/>
      <c r="QO437" s="11"/>
      <c r="QP437" s="11"/>
      <c r="QQ437" s="11"/>
      <c r="QR437" s="11"/>
      <c r="QS437" s="11"/>
      <c r="QT437" s="11"/>
      <c r="QU437" s="11"/>
      <c r="QV437" s="11"/>
      <c r="QW437" s="11"/>
      <c r="QX437" s="11"/>
      <c r="QY437" s="11"/>
      <c r="QZ437" s="11"/>
      <c r="RA437" s="11"/>
      <c r="RB437" s="11"/>
      <c r="RC437" s="11"/>
      <c r="RD437" s="11"/>
      <c r="RE437" s="11"/>
      <c r="RF437" s="11"/>
      <c r="RG437" s="11"/>
      <c r="RH437" s="11"/>
      <c r="RI437" s="11"/>
      <c r="RJ437" s="11"/>
      <c r="RK437" s="11"/>
      <c r="RL437" s="11"/>
      <c r="RM437" s="11"/>
      <c r="RN437" s="11"/>
      <c r="RO437" s="11"/>
      <c r="RP437" s="11"/>
      <c r="RQ437" s="11"/>
      <c r="RR437" s="11"/>
      <c r="RS437" s="11"/>
      <c r="RT437" s="11"/>
      <c r="RU437" s="11"/>
      <c r="RV437" s="11"/>
      <c r="RW437" s="11"/>
      <c r="RX437" s="11"/>
      <c r="RY437" s="11"/>
      <c r="RZ437" s="11"/>
      <c r="SA437" s="11"/>
      <c r="SB437" s="11"/>
      <c r="SC437" s="11"/>
      <c r="SD437" s="11"/>
      <c r="SE437" s="11"/>
      <c r="SF437" s="11"/>
      <c r="SG437" s="11"/>
      <c r="SH437" s="11">
        <v>1</v>
      </c>
    </row>
    <row r="438" spans="1:502" x14ac:dyDescent="0.2">
      <c r="A438" s="10">
        <v>4.8915498663859018E-2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  <c r="FW438" s="11"/>
      <c r="FX438" s="11"/>
      <c r="FY438" s="11"/>
      <c r="FZ438" s="11"/>
      <c r="GA438" s="11"/>
      <c r="GB438" s="11"/>
      <c r="GC438" s="11"/>
      <c r="GD438" s="11"/>
      <c r="GE438" s="11"/>
      <c r="GF438" s="11"/>
      <c r="GG438" s="11"/>
      <c r="GH438" s="11"/>
      <c r="GI438" s="11"/>
      <c r="GJ438" s="11"/>
      <c r="GK438" s="11"/>
      <c r="GL438" s="11"/>
      <c r="GM438" s="11"/>
      <c r="GN438" s="11"/>
      <c r="GO438" s="11"/>
      <c r="GP438" s="11"/>
      <c r="GQ438" s="11"/>
      <c r="GR438" s="11"/>
      <c r="GS438" s="11"/>
      <c r="GT438" s="11"/>
      <c r="GU438" s="11"/>
      <c r="GV438" s="11"/>
      <c r="GW438" s="11"/>
      <c r="GX438" s="11"/>
      <c r="GY438" s="11"/>
      <c r="GZ438" s="11"/>
      <c r="HA438" s="11"/>
      <c r="HB438" s="11"/>
      <c r="HC438" s="11"/>
      <c r="HD438" s="11"/>
      <c r="HE438" s="11"/>
      <c r="HF438" s="11"/>
      <c r="HG438" s="11"/>
      <c r="HH438" s="11"/>
      <c r="HI438" s="11"/>
      <c r="HJ438" s="11"/>
      <c r="HK438" s="11"/>
      <c r="HL438" s="11"/>
      <c r="HM438" s="11"/>
      <c r="HN438" s="11"/>
      <c r="HO438" s="11"/>
      <c r="HP438" s="11"/>
      <c r="HQ438" s="11"/>
      <c r="HR438" s="11"/>
      <c r="HS438" s="11"/>
      <c r="HT438" s="11"/>
      <c r="HU438" s="11"/>
      <c r="HV438" s="11"/>
      <c r="HW438" s="11"/>
      <c r="HX438" s="11"/>
      <c r="HY438" s="11"/>
      <c r="HZ438" s="11"/>
      <c r="IA438" s="11"/>
      <c r="IB438" s="11"/>
      <c r="IC438" s="11"/>
      <c r="ID438" s="11"/>
      <c r="IE438" s="11"/>
      <c r="IF438" s="11"/>
      <c r="IG438" s="11"/>
      <c r="IH438" s="11"/>
      <c r="II438" s="11"/>
      <c r="IJ438" s="11"/>
      <c r="IK438" s="11"/>
      <c r="IL438" s="11"/>
      <c r="IM438" s="11"/>
      <c r="IN438" s="11"/>
      <c r="IO438" s="11"/>
      <c r="IP438" s="11"/>
      <c r="IQ438" s="11"/>
      <c r="IR438" s="11"/>
      <c r="IS438" s="11"/>
      <c r="IT438" s="11"/>
      <c r="IU438" s="11"/>
      <c r="IV438" s="11"/>
      <c r="IW438" s="11"/>
      <c r="IX438" s="11"/>
      <c r="IY438" s="11"/>
      <c r="IZ438" s="11"/>
      <c r="JA438" s="11"/>
      <c r="JB438" s="11"/>
      <c r="JC438" s="11"/>
      <c r="JD438" s="11"/>
      <c r="JE438" s="11"/>
      <c r="JF438" s="11"/>
      <c r="JG438" s="11"/>
      <c r="JH438" s="11"/>
      <c r="JI438" s="11"/>
      <c r="JJ438" s="11"/>
      <c r="JK438" s="11"/>
      <c r="JL438" s="11"/>
      <c r="JM438" s="11"/>
      <c r="JN438" s="11"/>
      <c r="JO438" s="11"/>
      <c r="JP438" s="11"/>
      <c r="JQ438" s="11"/>
      <c r="JR438" s="11"/>
      <c r="JS438" s="11"/>
      <c r="JT438" s="11"/>
      <c r="JU438" s="11"/>
      <c r="JV438" s="11"/>
      <c r="JW438" s="11"/>
      <c r="JX438" s="11"/>
      <c r="JY438" s="11"/>
      <c r="JZ438" s="11"/>
      <c r="KA438" s="11"/>
      <c r="KB438" s="11"/>
      <c r="KC438" s="11"/>
      <c r="KD438" s="11"/>
      <c r="KE438" s="11"/>
      <c r="KF438" s="11"/>
      <c r="KG438" s="11"/>
      <c r="KH438" s="11"/>
      <c r="KI438" s="11"/>
      <c r="KJ438" s="11"/>
      <c r="KK438" s="11"/>
      <c r="KL438" s="11"/>
      <c r="KM438" s="11"/>
      <c r="KN438" s="11"/>
      <c r="KO438" s="11"/>
      <c r="KP438" s="11"/>
      <c r="KQ438" s="11"/>
      <c r="KR438" s="11"/>
      <c r="KS438" s="11"/>
      <c r="KT438" s="11"/>
      <c r="KU438" s="11"/>
      <c r="KV438" s="11"/>
      <c r="KW438" s="11"/>
      <c r="KX438" s="11"/>
      <c r="KY438" s="11"/>
      <c r="KZ438" s="11"/>
      <c r="LA438" s="11"/>
      <c r="LB438" s="11"/>
      <c r="LC438" s="11"/>
      <c r="LD438" s="11"/>
      <c r="LE438" s="11"/>
      <c r="LF438" s="11"/>
      <c r="LG438" s="11"/>
      <c r="LH438" s="11"/>
      <c r="LI438" s="11"/>
      <c r="LJ438" s="11"/>
      <c r="LK438" s="11"/>
      <c r="LL438" s="11"/>
      <c r="LM438" s="11"/>
      <c r="LN438" s="11"/>
      <c r="LO438" s="11"/>
      <c r="LP438" s="11"/>
      <c r="LQ438" s="11"/>
      <c r="LR438" s="11"/>
      <c r="LS438" s="11"/>
      <c r="LT438" s="11"/>
      <c r="LU438" s="11"/>
      <c r="LV438" s="11"/>
      <c r="LW438" s="11"/>
      <c r="LX438" s="11"/>
      <c r="LY438" s="11"/>
      <c r="LZ438" s="11"/>
      <c r="MA438" s="11"/>
      <c r="MB438" s="11"/>
      <c r="MC438" s="11"/>
      <c r="MD438" s="11"/>
      <c r="ME438" s="11"/>
      <c r="MF438" s="11"/>
      <c r="MG438" s="11"/>
      <c r="MH438" s="11"/>
      <c r="MI438" s="11"/>
      <c r="MJ438" s="11"/>
      <c r="MK438" s="11"/>
      <c r="ML438" s="11"/>
      <c r="MM438" s="11"/>
      <c r="MN438" s="11"/>
      <c r="MO438" s="11"/>
      <c r="MP438" s="11"/>
      <c r="MQ438" s="11"/>
      <c r="MR438" s="11"/>
      <c r="MS438" s="11"/>
      <c r="MT438" s="11"/>
      <c r="MU438" s="11"/>
      <c r="MV438" s="11"/>
      <c r="MW438" s="11"/>
      <c r="MX438" s="11"/>
      <c r="MY438" s="11"/>
      <c r="MZ438" s="11"/>
      <c r="NA438" s="11"/>
      <c r="NB438" s="11"/>
      <c r="NC438" s="11"/>
      <c r="ND438" s="11"/>
      <c r="NE438" s="11"/>
      <c r="NF438" s="11"/>
      <c r="NG438" s="11"/>
      <c r="NH438" s="11"/>
      <c r="NI438" s="11"/>
      <c r="NJ438" s="11"/>
      <c r="NK438" s="11"/>
      <c r="NL438" s="11"/>
      <c r="NM438" s="11"/>
      <c r="NN438" s="11"/>
      <c r="NO438" s="11"/>
      <c r="NP438" s="11"/>
      <c r="NQ438" s="11"/>
      <c r="NR438" s="11"/>
      <c r="NS438" s="11"/>
      <c r="NT438" s="11"/>
      <c r="NU438" s="11"/>
      <c r="NV438" s="11"/>
      <c r="NW438" s="11"/>
      <c r="NX438" s="11"/>
      <c r="NY438" s="11"/>
      <c r="NZ438" s="11"/>
      <c r="OA438" s="11"/>
      <c r="OB438" s="11"/>
      <c r="OC438" s="11"/>
      <c r="OD438" s="11"/>
      <c r="OE438" s="11"/>
      <c r="OF438" s="11"/>
      <c r="OG438" s="11"/>
      <c r="OH438" s="11"/>
      <c r="OI438" s="11"/>
      <c r="OJ438" s="11"/>
      <c r="OK438" s="11"/>
      <c r="OL438" s="11"/>
      <c r="OM438" s="11"/>
      <c r="ON438" s="11"/>
      <c r="OO438" s="11"/>
      <c r="OP438" s="11"/>
      <c r="OQ438" s="11"/>
      <c r="OR438" s="11"/>
      <c r="OS438" s="11"/>
      <c r="OT438" s="11"/>
      <c r="OU438" s="11"/>
      <c r="OV438" s="11"/>
      <c r="OW438" s="11"/>
      <c r="OX438" s="11"/>
      <c r="OY438" s="11"/>
      <c r="OZ438" s="11"/>
      <c r="PA438" s="11"/>
      <c r="PB438" s="11"/>
      <c r="PC438" s="11"/>
      <c r="PD438" s="11"/>
      <c r="PE438" s="11"/>
      <c r="PF438" s="11"/>
      <c r="PG438" s="11"/>
      <c r="PH438" s="11"/>
      <c r="PI438" s="11"/>
      <c r="PJ438" s="11"/>
      <c r="PK438" s="11"/>
      <c r="PL438" s="11"/>
      <c r="PM438" s="11"/>
      <c r="PN438" s="11"/>
      <c r="PO438" s="11"/>
      <c r="PP438" s="11"/>
      <c r="PQ438" s="11"/>
      <c r="PR438" s="11"/>
      <c r="PS438" s="11"/>
      <c r="PT438" s="11"/>
      <c r="PU438" s="11"/>
      <c r="PV438" s="11"/>
      <c r="PW438" s="11"/>
      <c r="PX438" s="11"/>
      <c r="PY438" s="11"/>
      <c r="PZ438" s="11"/>
      <c r="QA438" s="11"/>
      <c r="QB438" s="11"/>
      <c r="QC438" s="11"/>
      <c r="QD438" s="11"/>
      <c r="QE438" s="11"/>
      <c r="QF438" s="11"/>
      <c r="QG438" s="11"/>
      <c r="QH438" s="11"/>
      <c r="QI438" s="11"/>
      <c r="QJ438" s="11"/>
      <c r="QK438" s="11"/>
      <c r="QL438" s="11"/>
      <c r="QM438" s="11"/>
      <c r="QN438" s="11"/>
      <c r="QO438" s="11"/>
      <c r="QP438" s="11"/>
      <c r="QQ438" s="11"/>
      <c r="QR438" s="11"/>
      <c r="QS438" s="11"/>
      <c r="QT438" s="11"/>
      <c r="QU438" s="11"/>
      <c r="QV438" s="11"/>
      <c r="QW438" s="11"/>
      <c r="QX438" s="11"/>
      <c r="QY438" s="11"/>
      <c r="QZ438" s="11"/>
      <c r="RA438" s="11"/>
      <c r="RB438" s="11"/>
      <c r="RC438" s="11"/>
      <c r="RD438" s="11"/>
      <c r="RE438" s="11"/>
      <c r="RF438" s="11"/>
      <c r="RG438" s="11"/>
      <c r="RH438" s="11"/>
      <c r="RI438" s="11"/>
      <c r="RJ438" s="11"/>
      <c r="RK438" s="11"/>
      <c r="RL438" s="11"/>
      <c r="RM438" s="11"/>
      <c r="RN438" s="11"/>
      <c r="RO438" s="11"/>
      <c r="RP438" s="11"/>
      <c r="RQ438" s="11"/>
      <c r="RR438" s="11">
        <v>1</v>
      </c>
      <c r="RS438" s="11"/>
      <c r="RT438" s="11"/>
      <c r="RU438" s="11"/>
      <c r="RV438" s="11"/>
      <c r="RW438" s="11"/>
      <c r="RX438" s="11"/>
      <c r="RY438" s="11"/>
      <c r="RZ438" s="11"/>
      <c r="SA438" s="11"/>
      <c r="SB438" s="11"/>
      <c r="SC438" s="11"/>
      <c r="SD438" s="11"/>
      <c r="SE438" s="11"/>
      <c r="SF438" s="11"/>
      <c r="SG438" s="11"/>
      <c r="SH438" s="11">
        <v>1</v>
      </c>
    </row>
    <row r="439" spans="1:502" x14ac:dyDescent="0.2">
      <c r="A439" s="10">
        <v>4.9063011477555582E-2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1"/>
      <c r="FW439" s="11"/>
      <c r="FX439" s="11"/>
      <c r="FY439" s="11"/>
      <c r="FZ439" s="11"/>
      <c r="GA439" s="11"/>
      <c r="GB439" s="11"/>
      <c r="GC439" s="11"/>
      <c r="GD439" s="11"/>
      <c r="GE439" s="11"/>
      <c r="GF439" s="11"/>
      <c r="GG439" s="11"/>
      <c r="GH439" s="11"/>
      <c r="GI439" s="11"/>
      <c r="GJ439" s="11"/>
      <c r="GK439" s="11"/>
      <c r="GL439" s="11"/>
      <c r="GM439" s="11"/>
      <c r="GN439" s="11"/>
      <c r="GO439" s="11"/>
      <c r="GP439" s="11"/>
      <c r="GQ439" s="11"/>
      <c r="GR439" s="11"/>
      <c r="GS439" s="11"/>
      <c r="GT439" s="11"/>
      <c r="GU439" s="11"/>
      <c r="GV439" s="11"/>
      <c r="GW439" s="11"/>
      <c r="GX439" s="11"/>
      <c r="GY439" s="11"/>
      <c r="GZ439" s="11"/>
      <c r="HA439" s="11"/>
      <c r="HB439" s="11"/>
      <c r="HC439" s="11"/>
      <c r="HD439" s="11"/>
      <c r="HE439" s="11"/>
      <c r="HF439" s="11"/>
      <c r="HG439" s="11"/>
      <c r="HH439" s="11"/>
      <c r="HI439" s="11"/>
      <c r="HJ439" s="11"/>
      <c r="HK439" s="11"/>
      <c r="HL439" s="11"/>
      <c r="HM439" s="11"/>
      <c r="HN439" s="11"/>
      <c r="HO439" s="11"/>
      <c r="HP439" s="11"/>
      <c r="HQ439" s="11"/>
      <c r="HR439" s="11"/>
      <c r="HS439" s="11"/>
      <c r="HT439" s="11"/>
      <c r="HU439" s="11"/>
      <c r="HV439" s="11"/>
      <c r="HW439" s="11"/>
      <c r="HX439" s="11"/>
      <c r="HY439" s="11"/>
      <c r="HZ439" s="11"/>
      <c r="IA439" s="11"/>
      <c r="IB439" s="11"/>
      <c r="IC439" s="11"/>
      <c r="ID439" s="11"/>
      <c r="IE439" s="11"/>
      <c r="IF439" s="11"/>
      <c r="IG439" s="11"/>
      <c r="IH439" s="11"/>
      <c r="II439" s="11"/>
      <c r="IJ439" s="11"/>
      <c r="IK439" s="11"/>
      <c r="IL439" s="11"/>
      <c r="IM439" s="11"/>
      <c r="IN439" s="11"/>
      <c r="IO439" s="11"/>
      <c r="IP439" s="11"/>
      <c r="IQ439" s="11"/>
      <c r="IR439" s="11"/>
      <c r="IS439" s="11"/>
      <c r="IT439" s="11"/>
      <c r="IU439" s="11"/>
      <c r="IV439" s="11"/>
      <c r="IW439" s="11"/>
      <c r="IX439" s="11"/>
      <c r="IY439" s="11"/>
      <c r="IZ439" s="11"/>
      <c r="JA439" s="11"/>
      <c r="JB439" s="11"/>
      <c r="JC439" s="11"/>
      <c r="JD439" s="11"/>
      <c r="JE439" s="11"/>
      <c r="JF439" s="11"/>
      <c r="JG439" s="11"/>
      <c r="JH439" s="11"/>
      <c r="JI439" s="11"/>
      <c r="JJ439" s="11"/>
      <c r="JK439" s="11"/>
      <c r="JL439" s="11"/>
      <c r="JM439" s="11"/>
      <c r="JN439" s="11"/>
      <c r="JO439" s="11"/>
      <c r="JP439" s="11"/>
      <c r="JQ439" s="11"/>
      <c r="JR439" s="11"/>
      <c r="JS439" s="11"/>
      <c r="JT439" s="11"/>
      <c r="JU439" s="11"/>
      <c r="JV439" s="11"/>
      <c r="JW439" s="11"/>
      <c r="JX439" s="11"/>
      <c r="JY439" s="11"/>
      <c r="JZ439" s="11"/>
      <c r="KA439" s="11"/>
      <c r="KB439" s="11"/>
      <c r="KC439" s="11"/>
      <c r="KD439" s="11"/>
      <c r="KE439" s="11"/>
      <c r="KF439" s="11"/>
      <c r="KG439" s="11"/>
      <c r="KH439" s="11"/>
      <c r="KI439" s="11"/>
      <c r="KJ439" s="11"/>
      <c r="KK439" s="11"/>
      <c r="KL439" s="11"/>
      <c r="KM439" s="11"/>
      <c r="KN439" s="11"/>
      <c r="KO439" s="11"/>
      <c r="KP439" s="11"/>
      <c r="KQ439" s="11"/>
      <c r="KR439" s="11"/>
      <c r="KS439" s="11"/>
      <c r="KT439" s="11"/>
      <c r="KU439" s="11"/>
      <c r="KV439" s="11"/>
      <c r="KW439" s="11"/>
      <c r="KX439" s="11"/>
      <c r="KY439" s="11"/>
      <c r="KZ439" s="11"/>
      <c r="LA439" s="11"/>
      <c r="LB439" s="11"/>
      <c r="LC439" s="11"/>
      <c r="LD439" s="11"/>
      <c r="LE439" s="11"/>
      <c r="LF439" s="11"/>
      <c r="LG439" s="11"/>
      <c r="LH439" s="11"/>
      <c r="LI439" s="11"/>
      <c r="LJ439" s="11"/>
      <c r="LK439" s="11"/>
      <c r="LL439" s="11"/>
      <c r="LM439" s="11"/>
      <c r="LN439" s="11"/>
      <c r="LO439" s="11"/>
      <c r="LP439" s="11"/>
      <c r="LQ439" s="11"/>
      <c r="LR439" s="11"/>
      <c r="LS439" s="11"/>
      <c r="LT439" s="11"/>
      <c r="LU439" s="11"/>
      <c r="LV439" s="11"/>
      <c r="LW439" s="11"/>
      <c r="LX439" s="11"/>
      <c r="LY439" s="11"/>
      <c r="LZ439" s="11"/>
      <c r="MA439" s="11"/>
      <c r="MB439" s="11"/>
      <c r="MC439" s="11"/>
      <c r="MD439" s="11"/>
      <c r="ME439" s="11"/>
      <c r="MF439" s="11"/>
      <c r="MG439" s="11"/>
      <c r="MH439" s="11"/>
      <c r="MI439" s="11"/>
      <c r="MJ439" s="11"/>
      <c r="MK439" s="11"/>
      <c r="ML439" s="11"/>
      <c r="MM439" s="11"/>
      <c r="MN439" s="11"/>
      <c r="MO439" s="11"/>
      <c r="MP439" s="11"/>
      <c r="MQ439" s="11"/>
      <c r="MR439" s="11"/>
      <c r="MS439" s="11"/>
      <c r="MT439" s="11"/>
      <c r="MU439" s="11"/>
      <c r="MV439" s="11"/>
      <c r="MW439" s="11"/>
      <c r="MX439" s="11"/>
      <c r="MY439" s="11"/>
      <c r="MZ439" s="11"/>
      <c r="NA439" s="11"/>
      <c r="NB439" s="11"/>
      <c r="NC439" s="11"/>
      <c r="ND439" s="11"/>
      <c r="NE439" s="11"/>
      <c r="NF439" s="11"/>
      <c r="NG439" s="11"/>
      <c r="NH439" s="11"/>
      <c r="NI439" s="11"/>
      <c r="NJ439" s="11"/>
      <c r="NK439" s="11"/>
      <c r="NL439" s="11"/>
      <c r="NM439" s="11"/>
      <c r="NN439" s="11"/>
      <c r="NO439" s="11"/>
      <c r="NP439" s="11"/>
      <c r="NQ439" s="11"/>
      <c r="NR439" s="11"/>
      <c r="NS439" s="11"/>
      <c r="NT439" s="11"/>
      <c r="NU439" s="11"/>
      <c r="NV439" s="11"/>
      <c r="NW439" s="11"/>
      <c r="NX439" s="11"/>
      <c r="NY439" s="11"/>
      <c r="NZ439" s="11"/>
      <c r="OA439" s="11"/>
      <c r="OB439" s="11"/>
      <c r="OC439" s="11"/>
      <c r="OD439" s="11"/>
      <c r="OE439" s="11"/>
      <c r="OF439" s="11"/>
      <c r="OG439" s="11"/>
      <c r="OH439" s="11"/>
      <c r="OI439" s="11"/>
      <c r="OJ439" s="11"/>
      <c r="OK439" s="11"/>
      <c r="OL439" s="11"/>
      <c r="OM439" s="11"/>
      <c r="ON439" s="11"/>
      <c r="OO439" s="11"/>
      <c r="OP439" s="11"/>
      <c r="OQ439" s="11"/>
      <c r="OR439" s="11"/>
      <c r="OS439" s="11"/>
      <c r="OT439" s="11"/>
      <c r="OU439" s="11"/>
      <c r="OV439" s="11"/>
      <c r="OW439" s="11"/>
      <c r="OX439" s="11"/>
      <c r="OY439" s="11"/>
      <c r="OZ439" s="11"/>
      <c r="PA439" s="11"/>
      <c r="PB439" s="11"/>
      <c r="PC439" s="11"/>
      <c r="PD439" s="11"/>
      <c r="PE439" s="11"/>
      <c r="PF439" s="11"/>
      <c r="PG439" s="11"/>
      <c r="PH439" s="11"/>
      <c r="PI439" s="11"/>
      <c r="PJ439" s="11"/>
      <c r="PK439" s="11"/>
      <c r="PL439" s="11"/>
      <c r="PM439" s="11"/>
      <c r="PN439" s="11"/>
      <c r="PO439" s="11"/>
      <c r="PP439" s="11"/>
      <c r="PQ439" s="11"/>
      <c r="PR439" s="11"/>
      <c r="PS439" s="11"/>
      <c r="PT439" s="11"/>
      <c r="PU439" s="11"/>
      <c r="PV439" s="11"/>
      <c r="PW439" s="11"/>
      <c r="PX439" s="11"/>
      <c r="PY439" s="11"/>
      <c r="PZ439" s="11"/>
      <c r="QA439" s="11"/>
      <c r="QB439" s="11"/>
      <c r="QC439" s="11"/>
      <c r="QD439" s="11"/>
      <c r="QE439" s="11"/>
      <c r="QF439" s="11"/>
      <c r="QG439" s="11"/>
      <c r="QH439" s="11"/>
      <c r="QI439" s="11"/>
      <c r="QJ439" s="11"/>
      <c r="QK439" s="11">
        <v>1</v>
      </c>
      <c r="QL439" s="11"/>
      <c r="QM439" s="11"/>
      <c r="QN439" s="11"/>
      <c r="QO439" s="11"/>
      <c r="QP439" s="11"/>
      <c r="QQ439" s="11"/>
      <c r="QR439" s="11"/>
      <c r="QS439" s="11"/>
      <c r="QT439" s="11"/>
      <c r="QU439" s="11"/>
      <c r="QV439" s="11"/>
      <c r="QW439" s="11"/>
      <c r="QX439" s="11"/>
      <c r="QY439" s="11"/>
      <c r="QZ439" s="11"/>
      <c r="RA439" s="11"/>
      <c r="RB439" s="11"/>
      <c r="RC439" s="11"/>
      <c r="RD439" s="11"/>
      <c r="RE439" s="11"/>
      <c r="RF439" s="11"/>
      <c r="RG439" s="11"/>
      <c r="RH439" s="11"/>
      <c r="RI439" s="11"/>
      <c r="RJ439" s="11"/>
      <c r="RK439" s="11"/>
      <c r="RL439" s="11"/>
      <c r="RM439" s="11"/>
      <c r="RN439" s="11"/>
      <c r="RO439" s="11"/>
      <c r="RP439" s="11"/>
      <c r="RQ439" s="11"/>
      <c r="RR439" s="11"/>
      <c r="RS439" s="11"/>
      <c r="RT439" s="11"/>
      <c r="RU439" s="11"/>
      <c r="RV439" s="11"/>
      <c r="RW439" s="11"/>
      <c r="RX439" s="11"/>
      <c r="RY439" s="11"/>
      <c r="RZ439" s="11"/>
      <c r="SA439" s="11"/>
      <c r="SB439" s="11"/>
      <c r="SC439" s="11"/>
      <c r="SD439" s="11"/>
      <c r="SE439" s="11"/>
      <c r="SF439" s="11"/>
      <c r="SG439" s="11"/>
      <c r="SH439" s="11">
        <v>1</v>
      </c>
    </row>
    <row r="440" spans="1:502" x14ac:dyDescent="0.2">
      <c r="A440" s="10">
        <v>4.9206711194388394E-2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>
        <v>1</v>
      </c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/>
      <c r="FR440" s="11"/>
      <c r="FS440" s="11"/>
      <c r="FT440" s="11"/>
      <c r="FU440" s="11"/>
      <c r="FV440" s="11"/>
      <c r="FW440" s="11"/>
      <c r="FX440" s="11"/>
      <c r="FY440" s="11"/>
      <c r="FZ440" s="11"/>
      <c r="GA440" s="11"/>
      <c r="GB440" s="11"/>
      <c r="GC440" s="11"/>
      <c r="GD440" s="11"/>
      <c r="GE440" s="11"/>
      <c r="GF440" s="11"/>
      <c r="GG440" s="11"/>
      <c r="GH440" s="11"/>
      <c r="GI440" s="11"/>
      <c r="GJ440" s="11"/>
      <c r="GK440" s="11"/>
      <c r="GL440" s="11"/>
      <c r="GM440" s="11"/>
      <c r="GN440" s="11"/>
      <c r="GO440" s="11"/>
      <c r="GP440" s="11"/>
      <c r="GQ440" s="11"/>
      <c r="GR440" s="11"/>
      <c r="GS440" s="11"/>
      <c r="GT440" s="11"/>
      <c r="GU440" s="11"/>
      <c r="GV440" s="11"/>
      <c r="GW440" s="11"/>
      <c r="GX440" s="11"/>
      <c r="GY440" s="11"/>
      <c r="GZ440" s="11"/>
      <c r="HA440" s="11"/>
      <c r="HB440" s="11"/>
      <c r="HC440" s="11"/>
      <c r="HD440" s="11"/>
      <c r="HE440" s="11"/>
      <c r="HF440" s="11"/>
      <c r="HG440" s="11"/>
      <c r="HH440" s="11"/>
      <c r="HI440" s="11"/>
      <c r="HJ440" s="11"/>
      <c r="HK440" s="11"/>
      <c r="HL440" s="11"/>
      <c r="HM440" s="11"/>
      <c r="HN440" s="11"/>
      <c r="HO440" s="11"/>
      <c r="HP440" s="11"/>
      <c r="HQ440" s="11"/>
      <c r="HR440" s="11"/>
      <c r="HS440" s="11"/>
      <c r="HT440" s="11"/>
      <c r="HU440" s="11"/>
      <c r="HV440" s="11"/>
      <c r="HW440" s="11"/>
      <c r="HX440" s="11"/>
      <c r="HY440" s="11"/>
      <c r="HZ440" s="11"/>
      <c r="IA440" s="11"/>
      <c r="IB440" s="11"/>
      <c r="IC440" s="11"/>
      <c r="ID440" s="11"/>
      <c r="IE440" s="11"/>
      <c r="IF440" s="11"/>
      <c r="IG440" s="11"/>
      <c r="IH440" s="11"/>
      <c r="II440" s="11"/>
      <c r="IJ440" s="11"/>
      <c r="IK440" s="11"/>
      <c r="IL440" s="11"/>
      <c r="IM440" s="11"/>
      <c r="IN440" s="11"/>
      <c r="IO440" s="11"/>
      <c r="IP440" s="11"/>
      <c r="IQ440" s="11"/>
      <c r="IR440" s="11"/>
      <c r="IS440" s="11"/>
      <c r="IT440" s="11"/>
      <c r="IU440" s="11"/>
      <c r="IV440" s="11"/>
      <c r="IW440" s="11"/>
      <c r="IX440" s="11"/>
      <c r="IY440" s="11"/>
      <c r="IZ440" s="11"/>
      <c r="JA440" s="11"/>
      <c r="JB440" s="11"/>
      <c r="JC440" s="11"/>
      <c r="JD440" s="11"/>
      <c r="JE440" s="11"/>
      <c r="JF440" s="11"/>
      <c r="JG440" s="11"/>
      <c r="JH440" s="11"/>
      <c r="JI440" s="11"/>
      <c r="JJ440" s="11"/>
      <c r="JK440" s="11"/>
      <c r="JL440" s="11"/>
      <c r="JM440" s="11"/>
      <c r="JN440" s="11"/>
      <c r="JO440" s="11"/>
      <c r="JP440" s="11"/>
      <c r="JQ440" s="11"/>
      <c r="JR440" s="11"/>
      <c r="JS440" s="11"/>
      <c r="JT440" s="11"/>
      <c r="JU440" s="11"/>
      <c r="JV440" s="11"/>
      <c r="JW440" s="11"/>
      <c r="JX440" s="11"/>
      <c r="JY440" s="11"/>
      <c r="JZ440" s="11"/>
      <c r="KA440" s="11"/>
      <c r="KB440" s="11"/>
      <c r="KC440" s="11"/>
      <c r="KD440" s="11"/>
      <c r="KE440" s="11"/>
      <c r="KF440" s="11"/>
      <c r="KG440" s="11"/>
      <c r="KH440" s="11"/>
      <c r="KI440" s="11"/>
      <c r="KJ440" s="11"/>
      <c r="KK440" s="11"/>
      <c r="KL440" s="11"/>
      <c r="KM440" s="11"/>
      <c r="KN440" s="11"/>
      <c r="KO440" s="11"/>
      <c r="KP440" s="11"/>
      <c r="KQ440" s="11"/>
      <c r="KR440" s="11"/>
      <c r="KS440" s="11"/>
      <c r="KT440" s="11"/>
      <c r="KU440" s="11"/>
      <c r="KV440" s="11"/>
      <c r="KW440" s="11"/>
      <c r="KX440" s="11"/>
      <c r="KY440" s="11"/>
      <c r="KZ440" s="11"/>
      <c r="LA440" s="11"/>
      <c r="LB440" s="11"/>
      <c r="LC440" s="11"/>
      <c r="LD440" s="11"/>
      <c r="LE440" s="11"/>
      <c r="LF440" s="11"/>
      <c r="LG440" s="11"/>
      <c r="LH440" s="11"/>
      <c r="LI440" s="11"/>
      <c r="LJ440" s="11"/>
      <c r="LK440" s="11"/>
      <c r="LL440" s="11"/>
      <c r="LM440" s="11"/>
      <c r="LN440" s="11"/>
      <c r="LO440" s="11"/>
      <c r="LP440" s="11"/>
      <c r="LQ440" s="11"/>
      <c r="LR440" s="11"/>
      <c r="LS440" s="11"/>
      <c r="LT440" s="11"/>
      <c r="LU440" s="11"/>
      <c r="LV440" s="11"/>
      <c r="LW440" s="11"/>
      <c r="LX440" s="11"/>
      <c r="LY440" s="11"/>
      <c r="LZ440" s="11"/>
      <c r="MA440" s="11"/>
      <c r="MB440" s="11"/>
      <c r="MC440" s="11"/>
      <c r="MD440" s="11"/>
      <c r="ME440" s="11"/>
      <c r="MF440" s="11"/>
      <c r="MG440" s="11"/>
      <c r="MH440" s="11"/>
      <c r="MI440" s="11"/>
      <c r="MJ440" s="11"/>
      <c r="MK440" s="11"/>
      <c r="ML440" s="11"/>
      <c r="MM440" s="11"/>
      <c r="MN440" s="11"/>
      <c r="MO440" s="11"/>
      <c r="MP440" s="11"/>
      <c r="MQ440" s="11"/>
      <c r="MR440" s="11"/>
      <c r="MS440" s="11"/>
      <c r="MT440" s="11"/>
      <c r="MU440" s="11"/>
      <c r="MV440" s="11"/>
      <c r="MW440" s="11"/>
      <c r="MX440" s="11"/>
      <c r="MY440" s="11"/>
      <c r="MZ440" s="11"/>
      <c r="NA440" s="11"/>
      <c r="NB440" s="11"/>
      <c r="NC440" s="11"/>
      <c r="ND440" s="11"/>
      <c r="NE440" s="11"/>
      <c r="NF440" s="11"/>
      <c r="NG440" s="11"/>
      <c r="NH440" s="11"/>
      <c r="NI440" s="11"/>
      <c r="NJ440" s="11"/>
      <c r="NK440" s="11"/>
      <c r="NL440" s="11"/>
      <c r="NM440" s="11"/>
      <c r="NN440" s="11"/>
      <c r="NO440" s="11"/>
      <c r="NP440" s="11"/>
      <c r="NQ440" s="11"/>
      <c r="NR440" s="11"/>
      <c r="NS440" s="11"/>
      <c r="NT440" s="11"/>
      <c r="NU440" s="11"/>
      <c r="NV440" s="11"/>
      <c r="NW440" s="11"/>
      <c r="NX440" s="11"/>
      <c r="NY440" s="11"/>
      <c r="NZ440" s="11"/>
      <c r="OA440" s="11"/>
      <c r="OB440" s="11"/>
      <c r="OC440" s="11"/>
      <c r="OD440" s="11"/>
      <c r="OE440" s="11"/>
      <c r="OF440" s="11"/>
      <c r="OG440" s="11"/>
      <c r="OH440" s="11"/>
      <c r="OI440" s="11"/>
      <c r="OJ440" s="11"/>
      <c r="OK440" s="11"/>
      <c r="OL440" s="11"/>
      <c r="OM440" s="11"/>
      <c r="ON440" s="11"/>
      <c r="OO440" s="11"/>
      <c r="OP440" s="11"/>
      <c r="OQ440" s="11"/>
      <c r="OR440" s="11"/>
      <c r="OS440" s="11"/>
      <c r="OT440" s="11"/>
      <c r="OU440" s="11"/>
      <c r="OV440" s="11"/>
      <c r="OW440" s="11"/>
      <c r="OX440" s="11"/>
      <c r="OY440" s="11"/>
      <c r="OZ440" s="11"/>
      <c r="PA440" s="11"/>
      <c r="PB440" s="11"/>
      <c r="PC440" s="11"/>
      <c r="PD440" s="11"/>
      <c r="PE440" s="11"/>
      <c r="PF440" s="11"/>
      <c r="PG440" s="11"/>
      <c r="PH440" s="11"/>
      <c r="PI440" s="11"/>
      <c r="PJ440" s="11"/>
      <c r="PK440" s="11"/>
      <c r="PL440" s="11"/>
      <c r="PM440" s="11"/>
      <c r="PN440" s="11"/>
      <c r="PO440" s="11"/>
      <c r="PP440" s="11"/>
      <c r="PQ440" s="11"/>
      <c r="PR440" s="11"/>
      <c r="PS440" s="11"/>
      <c r="PT440" s="11"/>
      <c r="PU440" s="11"/>
      <c r="PV440" s="11"/>
      <c r="PW440" s="11"/>
      <c r="PX440" s="11"/>
      <c r="PY440" s="11"/>
      <c r="PZ440" s="11"/>
      <c r="QA440" s="11"/>
      <c r="QB440" s="11"/>
      <c r="QC440" s="11"/>
      <c r="QD440" s="11"/>
      <c r="QE440" s="11"/>
      <c r="QF440" s="11"/>
      <c r="QG440" s="11"/>
      <c r="QH440" s="11"/>
      <c r="QI440" s="11"/>
      <c r="QJ440" s="11"/>
      <c r="QK440" s="11"/>
      <c r="QL440" s="11"/>
      <c r="QM440" s="11"/>
      <c r="QN440" s="11"/>
      <c r="QO440" s="11"/>
      <c r="QP440" s="11"/>
      <c r="QQ440" s="11"/>
      <c r="QR440" s="11"/>
      <c r="QS440" s="11"/>
      <c r="QT440" s="11"/>
      <c r="QU440" s="11"/>
      <c r="QV440" s="11"/>
      <c r="QW440" s="11"/>
      <c r="QX440" s="11"/>
      <c r="QY440" s="11"/>
      <c r="QZ440" s="11"/>
      <c r="RA440" s="11"/>
      <c r="RB440" s="11"/>
      <c r="RC440" s="11"/>
      <c r="RD440" s="11"/>
      <c r="RE440" s="11"/>
      <c r="RF440" s="11"/>
      <c r="RG440" s="11"/>
      <c r="RH440" s="11"/>
      <c r="RI440" s="11"/>
      <c r="RJ440" s="11"/>
      <c r="RK440" s="11"/>
      <c r="RL440" s="11"/>
      <c r="RM440" s="11"/>
      <c r="RN440" s="11"/>
      <c r="RO440" s="11"/>
      <c r="RP440" s="11"/>
      <c r="RQ440" s="11"/>
      <c r="RR440" s="11"/>
      <c r="RS440" s="11"/>
      <c r="RT440" s="11"/>
      <c r="RU440" s="11"/>
      <c r="RV440" s="11"/>
      <c r="RW440" s="11"/>
      <c r="RX440" s="11"/>
      <c r="RY440" s="11"/>
      <c r="RZ440" s="11"/>
      <c r="SA440" s="11"/>
      <c r="SB440" s="11"/>
      <c r="SC440" s="11"/>
      <c r="SD440" s="11"/>
      <c r="SE440" s="11"/>
      <c r="SF440" s="11"/>
      <c r="SG440" s="11"/>
      <c r="SH440" s="11">
        <v>1</v>
      </c>
    </row>
    <row r="441" spans="1:502" x14ac:dyDescent="0.2">
      <c r="A441" s="10">
        <v>4.9402050200294312E-2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  <c r="GP441" s="11"/>
      <c r="GQ441" s="11"/>
      <c r="GR441" s="11"/>
      <c r="GS441" s="11"/>
      <c r="GT441" s="11"/>
      <c r="GU441" s="11"/>
      <c r="GV441" s="11"/>
      <c r="GW441" s="11"/>
      <c r="GX441" s="11"/>
      <c r="GY441" s="11"/>
      <c r="GZ441" s="11"/>
      <c r="HA441" s="11"/>
      <c r="HB441" s="11"/>
      <c r="HC441" s="11"/>
      <c r="HD441" s="11"/>
      <c r="HE441" s="11"/>
      <c r="HF441" s="11"/>
      <c r="HG441" s="11"/>
      <c r="HH441" s="11"/>
      <c r="HI441" s="11"/>
      <c r="HJ441" s="11"/>
      <c r="HK441" s="11"/>
      <c r="HL441" s="11"/>
      <c r="HM441" s="11"/>
      <c r="HN441" s="11"/>
      <c r="HO441" s="11"/>
      <c r="HP441" s="11"/>
      <c r="HQ441" s="11"/>
      <c r="HR441" s="11"/>
      <c r="HS441" s="11"/>
      <c r="HT441" s="11"/>
      <c r="HU441" s="11"/>
      <c r="HV441" s="11"/>
      <c r="HW441" s="11"/>
      <c r="HX441" s="11"/>
      <c r="HY441" s="11"/>
      <c r="HZ441" s="11"/>
      <c r="IA441" s="11"/>
      <c r="IB441" s="11"/>
      <c r="IC441" s="11"/>
      <c r="ID441" s="11"/>
      <c r="IE441" s="11"/>
      <c r="IF441" s="11"/>
      <c r="IG441" s="11"/>
      <c r="IH441" s="11"/>
      <c r="II441" s="11"/>
      <c r="IJ441" s="11"/>
      <c r="IK441" s="11"/>
      <c r="IL441" s="11"/>
      <c r="IM441" s="11"/>
      <c r="IN441" s="11"/>
      <c r="IO441" s="11"/>
      <c r="IP441" s="11"/>
      <c r="IQ441" s="11"/>
      <c r="IR441" s="11"/>
      <c r="IS441" s="11"/>
      <c r="IT441" s="11"/>
      <c r="IU441" s="11"/>
      <c r="IV441" s="11"/>
      <c r="IW441" s="11"/>
      <c r="IX441" s="11"/>
      <c r="IY441" s="11"/>
      <c r="IZ441" s="11">
        <v>1</v>
      </c>
      <c r="JA441" s="11"/>
      <c r="JB441" s="11"/>
      <c r="JC441" s="11"/>
      <c r="JD441" s="11"/>
      <c r="JE441" s="11"/>
      <c r="JF441" s="11"/>
      <c r="JG441" s="11"/>
      <c r="JH441" s="11"/>
      <c r="JI441" s="11"/>
      <c r="JJ441" s="11"/>
      <c r="JK441" s="11"/>
      <c r="JL441" s="11"/>
      <c r="JM441" s="11"/>
      <c r="JN441" s="11"/>
      <c r="JO441" s="11"/>
      <c r="JP441" s="11"/>
      <c r="JQ441" s="11"/>
      <c r="JR441" s="11"/>
      <c r="JS441" s="11"/>
      <c r="JT441" s="11"/>
      <c r="JU441" s="11"/>
      <c r="JV441" s="11"/>
      <c r="JW441" s="11"/>
      <c r="JX441" s="11"/>
      <c r="JY441" s="11"/>
      <c r="JZ441" s="11"/>
      <c r="KA441" s="11"/>
      <c r="KB441" s="11"/>
      <c r="KC441" s="11"/>
      <c r="KD441" s="11"/>
      <c r="KE441" s="11"/>
      <c r="KF441" s="11"/>
      <c r="KG441" s="11"/>
      <c r="KH441" s="11"/>
      <c r="KI441" s="11"/>
      <c r="KJ441" s="11"/>
      <c r="KK441" s="11"/>
      <c r="KL441" s="11"/>
      <c r="KM441" s="11"/>
      <c r="KN441" s="11"/>
      <c r="KO441" s="11"/>
      <c r="KP441" s="11"/>
      <c r="KQ441" s="11"/>
      <c r="KR441" s="11"/>
      <c r="KS441" s="11"/>
      <c r="KT441" s="11"/>
      <c r="KU441" s="11"/>
      <c r="KV441" s="11"/>
      <c r="KW441" s="11"/>
      <c r="KX441" s="11"/>
      <c r="KY441" s="11"/>
      <c r="KZ441" s="11"/>
      <c r="LA441" s="11"/>
      <c r="LB441" s="11"/>
      <c r="LC441" s="11"/>
      <c r="LD441" s="11"/>
      <c r="LE441" s="11"/>
      <c r="LF441" s="11"/>
      <c r="LG441" s="11"/>
      <c r="LH441" s="11"/>
      <c r="LI441" s="11"/>
      <c r="LJ441" s="11"/>
      <c r="LK441" s="11"/>
      <c r="LL441" s="11"/>
      <c r="LM441" s="11"/>
      <c r="LN441" s="11"/>
      <c r="LO441" s="11"/>
      <c r="LP441" s="11"/>
      <c r="LQ441" s="11"/>
      <c r="LR441" s="11"/>
      <c r="LS441" s="11"/>
      <c r="LT441" s="11"/>
      <c r="LU441" s="11"/>
      <c r="LV441" s="11"/>
      <c r="LW441" s="11"/>
      <c r="LX441" s="11"/>
      <c r="LY441" s="11"/>
      <c r="LZ441" s="11"/>
      <c r="MA441" s="11"/>
      <c r="MB441" s="11"/>
      <c r="MC441" s="11"/>
      <c r="MD441" s="11"/>
      <c r="ME441" s="11"/>
      <c r="MF441" s="11"/>
      <c r="MG441" s="11"/>
      <c r="MH441" s="11"/>
      <c r="MI441" s="11"/>
      <c r="MJ441" s="11"/>
      <c r="MK441" s="11"/>
      <c r="ML441" s="11"/>
      <c r="MM441" s="11"/>
      <c r="MN441" s="11"/>
      <c r="MO441" s="11"/>
      <c r="MP441" s="11"/>
      <c r="MQ441" s="11"/>
      <c r="MR441" s="11"/>
      <c r="MS441" s="11"/>
      <c r="MT441" s="11"/>
      <c r="MU441" s="11"/>
      <c r="MV441" s="11"/>
      <c r="MW441" s="11"/>
      <c r="MX441" s="11"/>
      <c r="MY441" s="11"/>
      <c r="MZ441" s="11"/>
      <c r="NA441" s="11"/>
      <c r="NB441" s="11"/>
      <c r="NC441" s="11"/>
      <c r="ND441" s="11"/>
      <c r="NE441" s="11"/>
      <c r="NF441" s="11"/>
      <c r="NG441" s="11"/>
      <c r="NH441" s="11"/>
      <c r="NI441" s="11"/>
      <c r="NJ441" s="11"/>
      <c r="NK441" s="11"/>
      <c r="NL441" s="11"/>
      <c r="NM441" s="11"/>
      <c r="NN441" s="11"/>
      <c r="NO441" s="11"/>
      <c r="NP441" s="11"/>
      <c r="NQ441" s="11"/>
      <c r="NR441" s="11"/>
      <c r="NS441" s="11"/>
      <c r="NT441" s="11"/>
      <c r="NU441" s="11"/>
      <c r="NV441" s="11"/>
      <c r="NW441" s="11"/>
      <c r="NX441" s="11"/>
      <c r="NY441" s="11"/>
      <c r="NZ441" s="11"/>
      <c r="OA441" s="11"/>
      <c r="OB441" s="11"/>
      <c r="OC441" s="11"/>
      <c r="OD441" s="11"/>
      <c r="OE441" s="11"/>
      <c r="OF441" s="11"/>
      <c r="OG441" s="11"/>
      <c r="OH441" s="11"/>
      <c r="OI441" s="11"/>
      <c r="OJ441" s="11"/>
      <c r="OK441" s="11"/>
      <c r="OL441" s="11"/>
      <c r="OM441" s="11"/>
      <c r="ON441" s="11"/>
      <c r="OO441" s="11"/>
      <c r="OP441" s="11"/>
      <c r="OQ441" s="11"/>
      <c r="OR441" s="11"/>
      <c r="OS441" s="11"/>
      <c r="OT441" s="11"/>
      <c r="OU441" s="11"/>
      <c r="OV441" s="11"/>
      <c r="OW441" s="11"/>
      <c r="OX441" s="11"/>
      <c r="OY441" s="11"/>
      <c r="OZ441" s="11"/>
      <c r="PA441" s="11"/>
      <c r="PB441" s="11"/>
      <c r="PC441" s="11"/>
      <c r="PD441" s="11"/>
      <c r="PE441" s="11"/>
      <c r="PF441" s="11"/>
      <c r="PG441" s="11"/>
      <c r="PH441" s="11"/>
      <c r="PI441" s="11"/>
      <c r="PJ441" s="11"/>
      <c r="PK441" s="11"/>
      <c r="PL441" s="11"/>
      <c r="PM441" s="11"/>
      <c r="PN441" s="11"/>
      <c r="PO441" s="11"/>
      <c r="PP441" s="11"/>
      <c r="PQ441" s="11"/>
      <c r="PR441" s="11"/>
      <c r="PS441" s="11"/>
      <c r="PT441" s="11"/>
      <c r="PU441" s="11"/>
      <c r="PV441" s="11"/>
      <c r="PW441" s="11"/>
      <c r="PX441" s="11"/>
      <c r="PY441" s="11"/>
      <c r="PZ441" s="11"/>
      <c r="QA441" s="11"/>
      <c r="QB441" s="11"/>
      <c r="QC441" s="11"/>
      <c r="QD441" s="11"/>
      <c r="QE441" s="11"/>
      <c r="QF441" s="11"/>
      <c r="QG441" s="11"/>
      <c r="QH441" s="11"/>
      <c r="QI441" s="11"/>
      <c r="QJ441" s="11"/>
      <c r="QK441" s="11"/>
      <c r="QL441" s="11"/>
      <c r="QM441" s="11"/>
      <c r="QN441" s="11"/>
      <c r="QO441" s="11"/>
      <c r="QP441" s="11"/>
      <c r="QQ441" s="11"/>
      <c r="QR441" s="11"/>
      <c r="QS441" s="11"/>
      <c r="QT441" s="11"/>
      <c r="QU441" s="11"/>
      <c r="QV441" s="11"/>
      <c r="QW441" s="11"/>
      <c r="QX441" s="11"/>
      <c r="QY441" s="11"/>
      <c r="QZ441" s="11"/>
      <c r="RA441" s="11"/>
      <c r="RB441" s="11"/>
      <c r="RC441" s="11"/>
      <c r="RD441" s="11"/>
      <c r="RE441" s="11"/>
      <c r="RF441" s="11"/>
      <c r="RG441" s="11"/>
      <c r="RH441" s="11"/>
      <c r="RI441" s="11"/>
      <c r="RJ441" s="11"/>
      <c r="RK441" s="11"/>
      <c r="RL441" s="11"/>
      <c r="RM441" s="11"/>
      <c r="RN441" s="11"/>
      <c r="RO441" s="11"/>
      <c r="RP441" s="11"/>
      <c r="RQ441" s="11"/>
      <c r="RR441" s="11"/>
      <c r="RS441" s="11"/>
      <c r="RT441" s="11"/>
      <c r="RU441" s="11"/>
      <c r="RV441" s="11"/>
      <c r="RW441" s="11"/>
      <c r="RX441" s="11"/>
      <c r="RY441" s="11"/>
      <c r="RZ441" s="11"/>
      <c r="SA441" s="11"/>
      <c r="SB441" s="11"/>
      <c r="SC441" s="11"/>
      <c r="SD441" s="11"/>
      <c r="SE441" s="11"/>
      <c r="SF441" s="11"/>
      <c r="SG441" s="11"/>
      <c r="SH441" s="11">
        <v>1</v>
      </c>
    </row>
    <row r="442" spans="1:502" x14ac:dyDescent="0.2">
      <c r="A442" s="10">
        <v>5.0098320265553206E-2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  <c r="GP442" s="11"/>
      <c r="GQ442" s="11"/>
      <c r="GR442" s="11"/>
      <c r="GS442" s="11"/>
      <c r="GT442" s="11"/>
      <c r="GU442" s="11"/>
      <c r="GV442" s="11"/>
      <c r="GW442" s="11"/>
      <c r="GX442" s="11"/>
      <c r="GY442" s="11"/>
      <c r="GZ442" s="11"/>
      <c r="HA442" s="11"/>
      <c r="HB442" s="11"/>
      <c r="HC442" s="11"/>
      <c r="HD442" s="11"/>
      <c r="HE442" s="11"/>
      <c r="HF442" s="11"/>
      <c r="HG442" s="11"/>
      <c r="HH442" s="11"/>
      <c r="HI442" s="11"/>
      <c r="HJ442" s="11"/>
      <c r="HK442" s="11"/>
      <c r="HL442" s="11"/>
      <c r="HM442" s="11"/>
      <c r="HN442" s="11"/>
      <c r="HO442" s="11"/>
      <c r="HP442" s="11"/>
      <c r="HQ442" s="11"/>
      <c r="HR442" s="11"/>
      <c r="HS442" s="11"/>
      <c r="HT442" s="11"/>
      <c r="HU442" s="11"/>
      <c r="HV442" s="11"/>
      <c r="HW442" s="11"/>
      <c r="HX442" s="11"/>
      <c r="HY442" s="11"/>
      <c r="HZ442" s="11"/>
      <c r="IA442" s="11"/>
      <c r="IB442" s="11"/>
      <c r="IC442" s="11"/>
      <c r="ID442" s="11"/>
      <c r="IE442" s="11"/>
      <c r="IF442" s="11"/>
      <c r="IG442" s="11"/>
      <c r="IH442" s="11"/>
      <c r="II442" s="11"/>
      <c r="IJ442" s="11"/>
      <c r="IK442" s="11"/>
      <c r="IL442" s="11"/>
      <c r="IM442" s="11"/>
      <c r="IN442" s="11"/>
      <c r="IO442" s="11"/>
      <c r="IP442" s="11"/>
      <c r="IQ442" s="11"/>
      <c r="IR442" s="11"/>
      <c r="IS442" s="11"/>
      <c r="IT442" s="11"/>
      <c r="IU442" s="11"/>
      <c r="IV442" s="11"/>
      <c r="IW442" s="11"/>
      <c r="IX442" s="11"/>
      <c r="IY442" s="11"/>
      <c r="IZ442" s="11"/>
      <c r="JA442" s="11"/>
      <c r="JB442" s="11"/>
      <c r="JC442" s="11"/>
      <c r="JD442" s="11"/>
      <c r="JE442" s="11"/>
      <c r="JF442" s="11"/>
      <c r="JG442" s="11"/>
      <c r="JH442" s="11"/>
      <c r="JI442" s="11"/>
      <c r="JJ442" s="11"/>
      <c r="JK442" s="11"/>
      <c r="JL442" s="11"/>
      <c r="JM442" s="11"/>
      <c r="JN442" s="11"/>
      <c r="JO442" s="11"/>
      <c r="JP442" s="11"/>
      <c r="JQ442" s="11"/>
      <c r="JR442" s="11"/>
      <c r="JS442" s="11"/>
      <c r="JT442" s="11"/>
      <c r="JU442" s="11"/>
      <c r="JV442" s="11"/>
      <c r="JW442" s="11"/>
      <c r="JX442" s="11"/>
      <c r="JY442" s="11"/>
      <c r="JZ442" s="11"/>
      <c r="KA442" s="11"/>
      <c r="KB442" s="11"/>
      <c r="KC442" s="11"/>
      <c r="KD442" s="11"/>
      <c r="KE442" s="11"/>
      <c r="KF442" s="11"/>
      <c r="KG442" s="11">
        <v>1</v>
      </c>
      <c r="KH442" s="11"/>
      <c r="KI442" s="11"/>
      <c r="KJ442" s="11"/>
      <c r="KK442" s="11"/>
      <c r="KL442" s="11"/>
      <c r="KM442" s="11"/>
      <c r="KN442" s="11"/>
      <c r="KO442" s="11"/>
      <c r="KP442" s="11"/>
      <c r="KQ442" s="11"/>
      <c r="KR442" s="11"/>
      <c r="KS442" s="11"/>
      <c r="KT442" s="11"/>
      <c r="KU442" s="11"/>
      <c r="KV442" s="11"/>
      <c r="KW442" s="11"/>
      <c r="KX442" s="11"/>
      <c r="KY442" s="11"/>
      <c r="KZ442" s="11"/>
      <c r="LA442" s="11"/>
      <c r="LB442" s="11"/>
      <c r="LC442" s="11"/>
      <c r="LD442" s="11"/>
      <c r="LE442" s="11"/>
      <c r="LF442" s="11"/>
      <c r="LG442" s="11"/>
      <c r="LH442" s="11"/>
      <c r="LI442" s="11"/>
      <c r="LJ442" s="11"/>
      <c r="LK442" s="11"/>
      <c r="LL442" s="11"/>
      <c r="LM442" s="11"/>
      <c r="LN442" s="11"/>
      <c r="LO442" s="11"/>
      <c r="LP442" s="11"/>
      <c r="LQ442" s="11"/>
      <c r="LR442" s="11"/>
      <c r="LS442" s="11"/>
      <c r="LT442" s="11"/>
      <c r="LU442" s="11"/>
      <c r="LV442" s="11"/>
      <c r="LW442" s="11"/>
      <c r="LX442" s="11"/>
      <c r="LY442" s="11"/>
      <c r="LZ442" s="11"/>
      <c r="MA442" s="11"/>
      <c r="MB442" s="11"/>
      <c r="MC442" s="11"/>
      <c r="MD442" s="11"/>
      <c r="ME442" s="11"/>
      <c r="MF442" s="11"/>
      <c r="MG442" s="11"/>
      <c r="MH442" s="11"/>
      <c r="MI442" s="11"/>
      <c r="MJ442" s="11"/>
      <c r="MK442" s="11"/>
      <c r="ML442" s="11"/>
      <c r="MM442" s="11"/>
      <c r="MN442" s="11"/>
      <c r="MO442" s="11"/>
      <c r="MP442" s="11"/>
      <c r="MQ442" s="11"/>
      <c r="MR442" s="11"/>
      <c r="MS442" s="11"/>
      <c r="MT442" s="11"/>
      <c r="MU442" s="11"/>
      <c r="MV442" s="11"/>
      <c r="MW442" s="11"/>
      <c r="MX442" s="11"/>
      <c r="MY442" s="11"/>
      <c r="MZ442" s="11"/>
      <c r="NA442" s="11"/>
      <c r="NB442" s="11"/>
      <c r="NC442" s="11"/>
      <c r="ND442" s="11"/>
      <c r="NE442" s="11"/>
      <c r="NF442" s="11"/>
      <c r="NG442" s="11"/>
      <c r="NH442" s="11"/>
      <c r="NI442" s="11"/>
      <c r="NJ442" s="11"/>
      <c r="NK442" s="11"/>
      <c r="NL442" s="11"/>
      <c r="NM442" s="11"/>
      <c r="NN442" s="11"/>
      <c r="NO442" s="11"/>
      <c r="NP442" s="11"/>
      <c r="NQ442" s="11"/>
      <c r="NR442" s="11"/>
      <c r="NS442" s="11"/>
      <c r="NT442" s="11"/>
      <c r="NU442" s="11"/>
      <c r="NV442" s="11"/>
      <c r="NW442" s="11"/>
      <c r="NX442" s="11"/>
      <c r="NY442" s="11"/>
      <c r="NZ442" s="11"/>
      <c r="OA442" s="11"/>
      <c r="OB442" s="11"/>
      <c r="OC442" s="11"/>
      <c r="OD442" s="11"/>
      <c r="OE442" s="11"/>
      <c r="OF442" s="11"/>
      <c r="OG442" s="11"/>
      <c r="OH442" s="11"/>
      <c r="OI442" s="11"/>
      <c r="OJ442" s="11"/>
      <c r="OK442" s="11"/>
      <c r="OL442" s="11"/>
      <c r="OM442" s="11"/>
      <c r="ON442" s="11"/>
      <c r="OO442" s="11"/>
      <c r="OP442" s="11"/>
      <c r="OQ442" s="11"/>
      <c r="OR442" s="11"/>
      <c r="OS442" s="11"/>
      <c r="OT442" s="11"/>
      <c r="OU442" s="11"/>
      <c r="OV442" s="11"/>
      <c r="OW442" s="11"/>
      <c r="OX442" s="11"/>
      <c r="OY442" s="11"/>
      <c r="OZ442" s="11"/>
      <c r="PA442" s="11"/>
      <c r="PB442" s="11"/>
      <c r="PC442" s="11"/>
      <c r="PD442" s="11"/>
      <c r="PE442" s="11"/>
      <c r="PF442" s="11"/>
      <c r="PG442" s="11"/>
      <c r="PH442" s="11"/>
      <c r="PI442" s="11"/>
      <c r="PJ442" s="11"/>
      <c r="PK442" s="11"/>
      <c r="PL442" s="11"/>
      <c r="PM442" s="11"/>
      <c r="PN442" s="11"/>
      <c r="PO442" s="11"/>
      <c r="PP442" s="11"/>
      <c r="PQ442" s="11"/>
      <c r="PR442" s="11"/>
      <c r="PS442" s="11"/>
      <c r="PT442" s="11"/>
      <c r="PU442" s="11"/>
      <c r="PV442" s="11"/>
      <c r="PW442" s="11"/>
      <c r="PX442" s="11"/>
      <c r="PY442" s="11"/>
      <c r="PZ442" s="11"/>
      <c r="QA442" s="11"/>
      <c r="QB442" s="11"/>
      <c r="QC442" s="11"/>
      <c r="QD442" s="11"/>
      <c r="QE442" s="11"/>
      <c r="QF442" s="11"/>
      <c r="QG442" s="11"/>
      <c r="QH442" s="11"/>
      <c r="QI442" s="11"/>
      <c r="QJ442" s="11"/>
      <c r="QK442" s="11"/>
      <c r="QL442" s="11"/>
      <c r="QM442" s="11"/>
      <c r="QN442" s="11"/>
      <c r="QO442" s="11"/>
      <c r="QP442" s="11"/>
      <c r="QQ442" s="11"/>
      <c r="QR442" s="11"/>
      <c r="QS442" s="11"/>
      <c r="QT442" s="11"/>
      <c r="QU442" s="11"/>
      <c r="QV442" s="11"/>
      <c r="QW442" s="11"/>
      <c r="QX442" s="11"/>
      <c r="QY442" s="11"/>
      <c r="QZ442" s="11"/>
      <c r="RA442" s="11"/>
      <c r="RB442" s="11"/>
      <c r="RC442" s="11"/>
      <c r="RD442" s="11"/>
      <c r="RE442" s="11"/>
      <c r="RF442" s="11"/>
      <c r="RG442" s="11"/>
      <c r="RH442" s="11"/>
      <c r="RI442" s="11"/>
      <c r="RJ442" s="11"/>
      <c r="RK442" s="11"/>
      <c r="RL442" s="11"/>
      <c r="RM442" s="11"/>
      <c r="RN442" s="11"/>
      <c r="RO442" s="11"/>
      <c r="RP442" s="11"/>
      <c r="RQ442" s="11"/>
      <c r="RR442" s="11"/>
      <c r="RS442" s="11"/>
      <c r="RT442" s="11"/>
      <c r="RU442" s="11"/>
      <c r="RV442" s="11"/>
      <c r="RW442" s="11"/>
      <c r="RX442" s="11"/>
      <c r="RY442" s="11"/>
      <c r="RZ442" s="11"/>
      <c r="SA442" s="11"/>
      <c r="SB442" s="11"/>
      <c r="SC442" s="11"/>
      <c r="SD442" s="11"/>
      <c r="SE442" s="11"/>
      <c r="SF442" s="11"/>
      <c r="SG442" s="11"/>
      <c r="SH442" s="11">
        <v>1</v>
      </c>
    </row>
    <row r="443" spans="1:502" x14ac:dyDescent="0.2">
      <c r="A443" s="10">
        <v>5.0401055808889997E-2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  <c r="FW443" s="11"/>
      <c r="FX443" s="11"/>
      <c r="FY443" s="11"/>
      <c r="FZ443" s="11"/>
      <c r="GA443" s="11"/>
      <c r="GB443" s="11"/>
      <c r="GC443" s="11"/>
      <c r="GD443" s="11"/>
      <c r="GE443" s="11"/>
      <c r="GF443" s="11"/>
      <c r="GG443" s="11"/>
      <c r="GH443" s="11"/>
      <c r="GI443" s="11"/>
      <c r="GJ443" s="11"/>
      <c r="GK443" s="11"/>
      <c r="GL443" s="11"/>
      <c r="GM443" s="11"/>
      <c r="GN443" s="11"/>
      <c r="GO443" s="11"/>
      <c r="GP443" s="11"/>
      <c r="GQ443" s="11"/>
      <c r="GR443" s="11"/>
      <c r="GS443" s="11"/>
      <c r="GT443" s="11"/>
      <c r="GU443" s="11"/>
      <c r="GV443" s="11"/>
      <c r="GW443" s="11"/>
      <c r="GX443" s="11"/>
      <c r="GY443" s="11"/>
      <c r="GZ443" s="11"/>
      <c r="HA443" s="11"/>
      <c r="HB443" s="11"/>
      <c r="HC443" s="11"/>
      <c r="HD443" s="11"/>
      <c r="HE443" s="11"/>
      <c r="HF443" s="11"/>
      <c r="HG443" s="11"/>
      <c r="HH443" s="11"/>
      <c r="HI443" s="11"/>
      <c r="HJ443" s="11"/>
      <c r="HK443" s="11"/>
      <c r="HL443" s="11"/>
      <c r="HM443" s="11"/>
      <c r="HN443" s="11"/>
      <c r="HO443" s="11"/>
      <c r="HP443" s="11"/>
      <c r="HQ443" s="11"/>
      <c r="HR443" s="11"/>
      <c r="HS443" s="11"/>
      <c r="HT443" s="11"/>
      <c r="HU443" s="11"/>
      <c r="HV443" s="11"/>
      <c r="HW443" s="11"/>
      <c r="HX443" s="11"/>
      <c r="HY443" s="11"/>
      <c r="HZ443" s="11"/>
      <c r="IA443" s="11"/>
      <c r="IB443" s="11"/>
      <c r="IC443" s="11"/>
      <c r="ID443" s="11"/>
      <c r="IE443" s="11"/>
      <c r="IF443" s="11"/>
      <c r="IG443" s="11"/>
      <c r="IH443" s="11"/>
      <c r="II443" s="11"/>
      <c r="IJ443" s="11"/>
      <c r="IK443" s="11"/>
      <c r="IL443" s="11"/>
      <c r="IM443" s="11"/>
      <c r="IN443" s="11"/>
      <c r="IO443" s="11"/>
      <c r="IP443" s="11"/>
      <c r="IQ443" s="11"/>
      <c r="IR443" s="11"/>
      <c r="IS443" s="11"/>
      <c r="IT443" s="11"/>
      <c r="IU443" s="11"/>
      <c r="IV443" s="11"/>
      <c r="IW443" s="11"/>
      <c r="IX443" s="11"/>
      <c r="IY443" s="11"/>
      <c r="IZ443" s="11"/>
      <c r="JA443" s="11"/>
      <c r="JB443" s="11"/>
      <c r="JC443" s="11"/>
      <c r="JD443" s="11"/>
      <c r="JE443" s="11"/>
      <c r="JF443" s="11"/>
      <c r="JG443" s="11"/>
      <c r="JH443" s="11"/>
      <c r="JI443" s="11"/>
      <c r="JJ443" s="11"/>
      <c r="JK443" s="11"/>
      <c r="JL443" s="11"/>
      <c r="JM443" s="11"/>
      <c r="JN443" s="11"/>
      <c r="JO443" s="11"/>
      <c r="JP443" s="11"/>
      <c r="JQ443" s="11"/>
      <c r="JR443" s="11"/>
      <c r="JS443" s="11"/>
      <c r="JT443" s="11"/>
      <c r="JU443" s="11"/>
      <c r="JV443" s="11"/>
      <c r="JW443" s="11"/>
      <c r="JX443" s="11"/>
      <c r="JY443" s="11"/>
      <c r="JZ443" s="11"/>
      <c r="KA443" s="11"/>
      <c r="KB443" s="11"/>
      <c r="KC443" s="11"/>
      <c r="KD443" s="11"/>
      <c r="KE443" s="11"/>
      <c r="KF443" s="11"/>
      <c r="KG443" s="11"/>
      <c r="KH443" s="11"/>
      <c r="KI443" s="11"/>
      <c r="KJ443" s="11"/>
      <c r="KK443" s="11"/>
      <c r="KL443" s="11"/>
      <c r="KM443" s="11"/>
      <c r="KN443" s="11"/>
      <c r="KO443" s="11"/>
      <c r="KP443" s="11"/>
      <c r="KQ443" s="11"/>
      <c r="KR443" s="11"/>
      <c r="KS443" s="11"/>
      <c r="KT443" s="11"/>
      <c r="KU443" s="11"/>
      <c r="KV443" s="11"/>
      <c r="KW443" s="11"/>
      <c r="KX443" s="11"/>
      <c r="KY443" s="11"/>
      <c r="KZ443" s="11"/>
      <c r="LA443" s="11"/>
      <c r="LB443" s="11"/>
      <c r="LC443" s="11"/>
      <c r="LD443" s="11"/>
      <c r="LE443" s="11"/>
      <c r="LF443" s="11"/>
      <c r="LG443" s="11"/>
      <c r="LH443" s="11"/>
      <c r="LI443" s="11"/>
      <c r="LJ443" s="11"/>
      <c r="LK443" s="11"/>
      <c r="LL443" s="11"/>
      <c r="LM443" s="11"/>
      <c r="LN443" s="11"/>
      <c r="LO443" s="11"/>
      <c r="LP443" s="11"/>
      <c r="LQ443" s="11"/>
      <c r="LR443" s="11"/>
      <c r="LS443" s="11"/>
      <c r="LT443" s="11"/>
      <c r="LU443" s="11"/>
      <c r="LV443" s="11"/>
      <c r="LW443" s="11"/>
      <c r="LX443" s="11"/>
      <c r="LY443" s="11"/>
      <c r="LZ443" s="11"/>
      <c r="MA443" s="11"/>
      <c r="MB443" s="11"/>
      <c r="MC443" s="11"/>
      <c r="MD443" s="11"/>
      <c r="ME443" s="11"/>
      <c r="MF443" s="11"/>
      <c r="MG443" s="11"/>
      <c r="MH443" s="11"/>
      <c r="MI443" s="11"/>
      <c r="MJ443" s="11"/>
      <c r="MK443" s="11"/>
      <c r="ML443" s="11"/>
      <c r="MM443" s="11"/>
      <c r="MN443" s="11"/>
      <c r="MO443" s="11"/>
      <c r="MP443" s="11"/>
      <c r="MQ443" s="11"/>
      <c r="MR443" s="11"/>
      <c r="MS443" s="11"/>
      <c r="MT443" s="11"/>
      <c r="MU443" s="11"/>
      <c r="MV443" s="11"/>
      <c r="MW443" s="11"/>
      <c r="MX443" s="11"/>
      <c r="MY443" s="11"/>
      <c r="MZ443" s="11"/>
      <c r="NA443" s="11"/>
      <c r="NB443" s="11"/>
      <c r="NC443" s="11"/>
      <c r="ND443" s="11"/>
      <c r="NE443" s="11"/>
      <c r="NF443" s="11"/>
      <c r="NG443" s="11"/>
      <c r="NH443" s="11"/>
      <c r="NI443" s="11"/>
      <c r="NJ443" s="11"/>
      <c r="NK443" s="11"/>
      <c r="NL443" s="11"/>
      <c r="NM443" s="11"/>
      <c r="NN443" s="11"/>
      <c r="NO443" s="11"/>
      <c r="NP443" s="11"/>
      <c r="NQ443" s="11"/>
      <c r="NR443" s="11"/>
      <c r="NS443" s="11"/>
      <c r="NT443" s="11"/>
      <c r="NU443" s="11"/>
      <c r="NV443" s="11"/>
      <c r="NW443" s="11"/>
      <c r="NX443" s="11"/>
      <c r="NY443" s="11"/>
      <c r="NZ443" s="11"/>
      <c r="OA443" s="11"/>
      <c r="OB443" s="11"/>
      <c r="OC443" s="11"/>
      <c r="OD443" s="11"/>
      <c r="OE443" s="11"/>
      <c r="OF443" s="11"/>
      <c r="OG443" s="11"/>
      <c r="OH443" s="11"/>
      <c r="OI443" s="11"/>
      <c r="OJ443" s="11"/>
      <c r="OK443" s="11"/>
      <c r="OL443" s="11"/>
      <c r="OM443" s="11"/>
      <c r="ON443" s="11"/>
      <c r="OO443" s="11"/>
      <c r="OP443" s="11"/>
      <c r="OQ443" s="11"/>
      <c r="OR443" s="11"/>
      <c r="OS443" s="11"/>
      <c r="OT443" s="11"/>
      <c r="OU443" s="11"/>
      <c r="OV443" s="11"/>
      <c r="OW443" s="11"/>
      <c r="OX443" s="11"/>
      <c r="OY443" s="11"/>
      <c r="OZ443" s="11"/>
      <c r="PA443" s="11"/>
      <c r="PB443" s="11"/>
      <c r="PC443" s="11"/>
      <c r="PD443" s="11"/>
      <c r="PE443" s="11"/>
      <c r="PF443" s="11"/>
      <c r="PG443" s="11"/>
      <c r="PH443" s="11"/>
      <c r="PI443" s="11"/>
      <c r="PJ443" s="11"/>
      <c r="PK443" s="11"/>
      <c r="PL443" s="11"/>
      <c r="PM443" s="11"/>
      <c r="PN443" s="11"/>
      <c r="PO443" s="11"/>
      <c r="PP443" s="11"/>
      <c r="PQ443" s="11"/>
      <c r="PR443" s="11"/>
      <c r="PS443" s="11"/>
      <c r="PT443" s="11"/>
      <c r="PU443" s="11"/>
      <c r="PV443" s="11"/>
      <c r="PW443" s="11"/>
      <c r="PX443" s="11"/>
      <c r="PY443" s="11"/>
      <c r="PZ443" s="11"/>
      <c r="QA443" s="11"/>
      <c r="QB443" s="11"/>
      <c r="QC443" s="11"/>
      <c r="QD443" s="11"/>
      <c r="QE443" s="11"/>
      <c r="QF443" s="11"/>
      <c r="QG443" s="11"/>
      <c r="QH443" s="11"/>
      <c r="QI443" s="11"/>
      <c r="QJ443" s="11"/>
      <c r="QK443" s="11"/>
      <c r="QL443" s="11"/>
      <c r="QM443" s="11"/>
      <c r="QN443" s="11"/>
      <c r="QO443" s="11"/>
      <c r="QP443" s="11"/>
      <c r="QQ443" s="11"/>
      <c r="QR443" s="11"/>
      <c r="QS443" s="11"/>
      <c r="QT443" s="11"/>
      <c r="QU443" s="11"/>
      <c r="QV443" s="11"/>
      <c r="QW443" s="11"/>
      <c r="QX443" s="11"/>
      <c r="QY443" s="11"/>
      <c r="QZ443" s="11"/>
      <c r="RA443" s="11"/>
      <c r="RB443" s="11"/>
      <c r="RC443" s="11"/>
      <c r="RD443" s="11"/>
      <c r="RE443" s="11"/>
      <c r="RF443" s="11"/>
      <c r="RG443" s="11"/>
      <c r="RH443" s="11"/>
      <c r="RI443" s="11"/>
      <c r="RJ443" s="11"/>
      <c r="RK443" s="11"/>
      <c r="RL443" s="11"/>
      <c r="RM443" s="11"/>
      <c r="RN443" s="11"/>
      <c r="RO443" s="11"/>
      <c r="RP443" s="11"/>
      <c r="RQ443" s="11"/>
      <c r="RR443" s="11"/>
      <c r="RS443" s="11"/>
      <c r="RT443" s="11"/>
      <c r="RU443" s="11"/>
      <c r="RV443" s="11"/>
      <c r="RW443" s="11"/>
      <c r="RX443" s="11"/>
      <c r="RY443" s="11"/>
      <c r="RZ443" s="11"/>
      <c r="SA443" s="11"/>
      <c r="SB443" s="11"/>
      <c r="SC443" s="11"/>
      <c r="SD443" s="11"/>
      <c r="SE443" s="11"/>
      <c r="SF443" s="11"/>
      <c r="SG443" s="11">
        <v>1</v>
      </c>
      <c r="SH443" s="11">
        <v>1</v>
      </c>
    </row>
    <row r="444" spans="1:502" x14ac:dyDescent="0.2">
      <c r="A444" s="10">
        <v>5.0413960564615515E-2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>
        <v>1</v>
      </c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  <c r="GP444" s="11"/>
      <c r="GQ444" s="11"/>
      <c r="GR444" s="11"/>
      <c r="GS444" s="11"/>
      <c r="GT444" s="11"/>
      <c r="GU444" s="11"/>
      <c r="GV444" s="11"/>
      <c r="GW444" s="11"/>
      <c r="GX444" s="11"/>
      <c r="GY444" s="11"/>
      <c r="GZ444" s="11"/>
      <c r="HA444" s="11"/>
      <c r="HB444" s="11"/>
      <c r="HC444" s="11"/>
      <c r="HD444" s="11"/>
      <c r="HE444" s="11"/>
      <c r="HF444" s="11"/>
      <c r="HG444" s="11"/>
      <c r="HH444" s="11"/>
      <c r="HI444" s="11"/>
      <c r="HJ444" s="11"/>
      <c r="HK444" s="11"/>
      <c r="HL444" s="11"/>
      <c r="HM444" s="11"/>
      <c r="HN444" s="11"/>
      <c r="HO444" s="11"/>
      <c r="HP444" s="11"/>
      <c r="HQ444" s="11"/>
      <c r="HR444" s="11"/>
      <c r="HS444" s="11"/>
      <c r="HT444" s="11"/>
      <c r="HU444" s="11"/>
      <c r="HV444" s="11"/>
      <c r="HW444" s="11"/>
      <c r="HX444" s="11"/>
      <c r="HY444" s="11"/>
      <c r="HZ444" s="11"/>
      <c r="IA444" s="11"/>
      <c r="IB444" s="11"/>
      <c r="IC444" s="11"/>
      <c r="ID444" s="11"/>
      <c r="IE444" s="11"/>
      <c r="IF444" s="11"/>
      <c r="IG444" s="11"/>
      <c r="IH444" s="11"/>
      <c r="II444" s="11"/>
      <c r="IJ444" s="11"/>
      <c r="IK444" s="11"/>
      <c r="IL444" s="11"/>
      <c r="IM444" s="11"/>
      <c r="IN444" s="11"/>
      <c r="IO444" s="11"/>
      <c r="IP444" s="11"/>
      <c r="IQ444" s="11"/>
      <c r="IR444" s="11"/>
      <c r="IS444" s="11"/>
      <c r="IT444" s="11"/>
      <c r="IU444" s="11"/>
      <c r="IV444" s="11"/>
      <c r="IW444" s="11"/>
      <c r="IX444" s="11"/>
      <c r="IY444" s="11"/>
      <c r="IZ444" s="11"/>
      <c r="JA444" s="11"/>
      <c r="JB444" s="11"/>
      <c r="JC444" s="11"/>
      <c r="JD444" s="11"/>
      <c r="JE444" s="11"/>
      <c r="JF444" s="11"/>
      <c r="JG444" s="11"/>
      <c r="JH444" s="11"/>
      <c r="JI444" s="11"/>
      <c r="JJ444" s="11"/>
      <c r="JK444" s="11"/>
      <c r="JL444" s="11"/>
      <c r="JM444" s="11"/>
      <c r="JN444" s="11"/>
      <c r="JO444" s="11"/>
      <c r="JP444" s="11"/>
      <c r="JQ444" s="11"/>
      <c r="JR444" s="11"/>
      <c r="JS444" s="11"/>
      <c r="JT444" s="11"/>
      <c r="JU444" s="11"/>
      <c r="JV444" s="11"/>
      <c r="JW444" s="11"/>
      <c r="JX444" s="11"/>
      <c r="JY444" s="11"/>
      <c r="JZ444" s="11"/>
      <c r="KA444" s="11"/>
      <c r="KB444" s="11"/>
      <c r="KC444" s="11"/>
      <c r="KD444" s="11"/>
      <c r="KE444" s="11"/>
      <c r="KF444" s="11"/>
      <c r="KG444" s="11"/>
      <c r="KH444" s="11"/>
      <c r="KI444" s="11"/>
      <c r="KJ444" s="11"/>
      <c r="KK444" s="11"/>
      <c r="KL444" s="11"/>
      <c r="KM444" s="11"/>
      <c r="KN444" s="11"/>
      <c r="KO444" s="11"/>
      <c r="KP444" s="11"/>
      <c r="KQ444" s="11"/>
      <c r="KR444" s="11"/>
      <c r="KS444" s="11"/>
      <c r="KT444" s="11"/>
      <c r="KU444" s="11"/>
      <c r="KV444" s="11"/>
      <c r="KW444" s="11"/>
      <c r="KX444" s="11"/>
      <c r="KY444" s="11"/>
      <c r="KZ444" s="11"/>
      <c r="LA444" s="11"/>
      <c r="LB444" s="11"/>
      <c r="LC444" s="11"/>
      <c r="LD444" s="11"/>
      <c r="LE444" s="11"/>
      <c r="LF444" s="11"/>
      <c r="LG444" s="11"/>
      <c r="LH444" s="11"/>
      <c r="LI444" s="11"/>
      <c r="LJ444" s="11"/>
      <c r="LK444" s="11"/>
      <c r="LL444" s="11"/>
      <c r="LM444" s="11"/>
      <c r="LN444" s="11"/>
      <c r="LO444" s="11"/>
      <c r="LP444" s="11"/>
      <c r="LQ444" s="11"/>
      <c r="LR444" s="11"/>
      <c r="LS444" s="11"/>
      <c r="LT444" s="11"/>
      <c r="LU444" s="11"/>
      <c r="LV444" s="11"/>
      <c r="LW444" s="11"/>
      <c r="LX444" s="11"/>
      <c r="LY444" s="11"/>
      <c r="LZ444" s="11"/>
      <c r="MA444" s="11"/>
      <c r="MB444" s="11"/>
      <c r="MC444" s="11"/>
      <c r="MD444" s="11"/>
      <c r="ME444" s="11"/>
      <c r="MF444" s="11"/>
      <c r="MG444" s="11"/>
      <c r="MH444" s="11"/>
      <c r="MI444" s="11"/>
      <c r="MJ444" s="11"/>
      <c r="MK444" s="11"/>
      <c r="ML444" s="11"/>
      <c r="MM444" s="11"/>
      <c r="MN444" s="11"/>
      <c r="MO444" s="11"/>
      <c r="MP444" s="11"/>
      <c r="MQ444" s="11"/>
      <c r="MR444" s="11"/>
      <c r="MS444" s="11"/>
      <c r="MT444" s="11"/>
      <c r="MU444" s="11"/>
      <c r="MV444" s="11"/>
      <c r="MW444" s="11"/>
      <c r="MX444" s="11"/>
      <c r="MY444" s="11"/>
      <c r="MZ444" s="11"/>
      <c r="NA444" s="11"/>
      <c r="NB444" s="11"/>
      <c r="NC444" s="11"/>
      <c r="ND444" s="11"/>
      <c r="NE444" s="11"/>
      <c r="NF444" s="11"/>
      <c r="NG444" s="11"/>
      <c r="NH444" s="11"/>
      <c r="NI444" s="11"/>
      <c r="NJ444" s="11"/>
      <c r="NK444" s="11"/>
      <c r="NL444" s="11"/>
      <c r="NM444" s="11"/>
      <c r="NN444" s="11"/>
      <c r="NO444" s="11"/>
      <c r="NP444" s="11"/>
      <c r="NQ444" s="11"/>
      <c r="NR444" s="11"/>
      <c r="NS444" s="11"/>
      <c r="NT444" s="11"/>
      <c r="NU444" s="11"/>
      <c r="NV444" s="11"/>
      <c r="NW444" s="11"/>
      <c r="NX444" s="11"/>
      <c r="NY444" s="11"/>
      <c r="NZ444" s="11"/>
      <c r="OA444" s="11"/>
      <c r="OB444" s="11"/>
      <c r="OC444" s="11"/>
      <c r="OD444" s="11"/>
      <c r="OE444" s="11"/>
      <c r="OF444" s="11"/>
      <c r="OG444" s="11"/>
      <c r="OH444" s="11"/>
      <c r="OI444" s="11"/>
      <c r="OJ444" s="11"/>
      <c r="OK444" s="11"/>
      <c r="OL444" s="11"/>
      <c r="OM444" s="11"/>
      <c r="ON444" s="11"/>
      <c r="OO444" s="11"/>
      <c r="OP444" s="11"/>
      <c r="OQ444" s="11"/>
      <c r="OR444" s="11"/>
      <c r="OS444" s="11"/>
      <c r="OT444" s="11"/>
      <c r="OU444" s="11"/>
      <c r="OV444" s="11"/>
      <c r="OW444" s="11"/>
      <c r="OX444" s="11"/>
      <c r="OY444" s="11"/>
      <c r="OZ444" s="11"/>
      <c r="PA444" s="11"/>
      <c r="PB444" s="11"/>
      <c r="PC444" s="11"/>
      <c r="PD444" s="11"/>
      <c r="PE444" s="11"/>
      <c r="PF444" s="11"/>
      <c r="PG444" s="11"/>
      <c r="PH444" s="11"/>
      <c r="PI444" s="11"/>
      <c r="PJ444" s="11"/>
      <c r="PK444" s="11"/>
      <c r="PL444" s="11"/>
      <c r="PM444" s="11"/>
      <c r="PN444" s="11"/>
      <c r="PO444" s="11"/>
      <c r="PP444" s="11"/>
      <c r="PQ444" s="11"/>
      <c r="PR444" s="11"/>
      <c r="PS444" s="11"/>
      <c r="PT444" s="11"/>
      <c r="PU444" s="11"/>
      <c r="PV444" s="11"/>
      <c r="PW444" s="11"/>
      <c r="PX444" s="11"/>
      <c r="PY444" s="11"/>
      <c r="PZ444" s="11"/>
      <c r="QA444" s="11"/>
      <c r="QB444" s="11"/>
      <c r="QC444" s="11"/>
      <c r="QD444" s="11"/>
      <c r="QE444" s="11"/>
      <c r="QF444" s="11"/>
      <c r="QG444" s="11"/>
      <c r="QH444" s="11"/>
      <c r="QI444" s="11"/>
      <c r="QJ444" s="11"/>
      <c r="QK444" s="11"/>
      <c r="QL444" s="11"/>
      <c r="QM444" s="11"/>
      <c r="QN444" s="11"/>
      <c r="QO444" s="11"/>
      <c r="QP444" s="11"/>
      <c r="QQ444" s="11"/>
      <c r="QR444" s="11"/>
      <c r="QS444" s="11"/>
      <c r="QT444" s="11"/>
      <c r="QU444" s="11"/>
      <c r="QV444" s="11"/>
      <c r="QW444" s="11"/>
      <c r="QX444" s="11"/>
      <c r="QY444" s="11"/>
      <c r="QZ444" s="11"/>
      <c r="RA444" s="11"/>
      <c r="RB444" s="11"/>
      <c r="RC444" s="11"/>
      <c r="RD444" s="11"/>
      <c r="RE444" s="11"/>
      <c r="RF444" s="11"/>
      <c r="RG444" s="11"/>
      <c r="RH444" s="11"/>
      <c r="RI444" s="11"/>
      <c r="RJ444" s="11"/>
      <c r="RK444" s="11"/>
      <c r="RL444" s="11"/>
      <c r="RM444" s="11"/>
      <c r="RN444" s="11"/>
      <c r="RO444" s="11"/>
      <c r="RP444" s="11"/>
      <c r="RQ444" s="11"/>
      <c r="RR444" s="11"/>
      <c r="RS444" s="11"/>
      <c r="RT444" s="11"/>
      <c r="RU444" s="11"/>
      <c r="RV444" s="11"/>
      <c r="RW444" s="11"/>
      <c r="RX444" s="11"/>
      <c r="RY444" s="11"/>
      <c r="RZ444" s="11"/>
      <c r="SA444" s="11"/>
      <c r="SB444" s="11"/>
      <c r="SC444" s="11"/>
      <c r="SD444" s="11"/>
      <c r="SE444" s="11"/>
      <c r="SF444" s="11"/>
      <c r="SG444" s="11"/>
      <c r="SH444" s="11">
        <v>1</v>
      </c>
    </row>
    <row r="445" spans="1:502" x14ac:dyDescent="0.2">
      <c r="A445" s="10">
        <v>5.1238734891982336E-2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>
        <v>1</v>
      </c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  <c r="GP445" s="11"/>
      <c r="GQ445" s="11"/>
      <c r="GR445" s="11"/>
      <c r="GS445" s="11"/>
      <c r="GT445" s="11"/>
      <c r="GU445" s="11"/>
      <c r="GV445" s="11"/>
      <c r="GW445" s="11"/>
      <c r="GX445" s="11"/>
      <c r="GY445" s="11"/>
      <c r="GZ445" s="11"/>
      <c r="HA445" s="11"/>
      <c r="HB445" s="11"/>
      <c r="HC445" s="11"/>
      <c r="HD445" s="11"/>
      <c r="HE445" s="11"/>
      <c r="HF445" s="11"/>
      <c r="HG445" s="11"/>
      <c r="HH445" s="11"/>
      <c r="HI445" s="11"/>
      <c r="HJ445" s="11"/>
      <c r="HK445" s="11"/>
      <c r="HL445" s="11"/>
      <c r="HM445" s="11"/>
      <c r="HN445" s="11"/>
      <c r="HO445" s="11"/>
      <c r="HP445" s="11"/>
      <c r="HQ445" s="11"/>
      <c r="HR445" s="11"/>
      <c r="HS445" s="11"/>
      <c r="HT445" s="11"/>
      <c r="HU445" s="11"/>
      <c r="HV445" s="11"/>
      <c r="HW445" s="11"/>
      <c r="HX445" s="11"/>
      <c r="HY445" s="11"/>
      <c r="HZ445" s="11"/>
      <c r="IA445" s="11"/>
      <c r="IB445" s="11"/>
      <c r="IC445" s="11"/>
      <c r="ID445" s="11"/>
      <c r="IE445" s="11"/>
      <c r="IF445" s="11"/>
      <c r="IG445" s="11"/>
      <c r="IH445" s="11"/>
      <c r="II445" s="11"/>
      <c r="IJ445" s="11"/>
      <c r="IK445" s="11"/>
      <c r="IL445" s="11"/>
      <c r="IM445" s="11"/>
      <c r="IN445" s="11"/>
      <c r="IO445" s="11"/>
      <c r="IP445" s="11"/>
      <c r="IQ445" s="11"/>
      <c r="IR445" s="11"/>
      <c r="IS445" s="11"/>
      <c r="IT445" s="11"/>
      <c r="IU445" s="11"/>
      <c r="IV445" s="11"/>
      <c r="IW445" s="11"/>
      <c r="IX445" s="11"/>
      <c r="IY445" s="11"/>
      <c r="IZ445" s="11"/>
      <c r="JA445" s="11"/>
      <c r="JB445" s="11"/>
      <c r="JC445" s="11"/>
      <c r="JD445" s="11"/>
      <c r="JE445" s="11"/>
      <c r="JF445" s="11"/>
      <c r="JG445" s="11"/>
      <c r="JH445" s="11"/>
      <c r="JI445" s="11"/>
      <c r="JJ445" s="11"/>
      <c r="JK445" s="11"/>
      <c r="JL445" s="11"/>
      <c r="JM445" s="11"/>
      <c r="JN445" s="11"/>
      <c r="JO445" s="11"/>
      <c r="JP445" s="11"/>
      <c r="JQ445" s="11"/>
      <c r="JR445" s="11"/>
      <c r="JS445" s="11"/>
      <c r="JT445" s="11"/>
      <c r="JU445" s="11"/>
      <c r="JV445" s="11"/>
      <c r="JW445" s="11"/>
      <c r="JX445" s="11"/>
      <c r="JY445" s="11"/>
      <c r="JZ445" s="11"/>
      <c r="KA445" s="11"/>
      <c r="KB445" s="11"/>
      <c r="KC445" s="11"/>
      <c r="KD445" s="11"/>
      <c r="KE445" s="11"/>
      <c r="KF445" s="11"/>
      <c r="KG445" s="11"/>
      <c r="KH445" s="11"/>
      <c r="KI445" s="11"/>
      <c r="KJ445" s="11"/>
      <c r="KK445" s="11"/>
      <c r="KL445" s="11"/>
      <c r="KM445" s="11"/>
      <c r="KN445" s="11"/>
      <c r="KO445" s="11"/>
      <c r="KP445" s="11"/>
      <c r="KQ445" s="11"/>
      <c r="KR445" s="11"/>
      <c r="KS445" s="11"/>
      <c r="KT445" s="11"/>
      <c r="KU445" s="11"/>
      <c r="KV445" s="11"/>
      <c r="KW445" s="11"/>
      <c r="KX445" s="11"/>
      <c r="KY445" s="11"/>
      <c r="KZ445" s="11"/>
      <c r="LA445" s="11"/>
      <c r="LB445" s="11"/>
      <c r="LC445" s="11"/>
      <c r="LD445" s="11"/>
      <c r="LE445" s="11"/>
      <c r="LF445" s="11"/>
      <c r="LG445" s="11"/>
      <c r="LH445" s="11"/>
      <c r="LI445" s="11"/>
      <c r="LJ445" s="11"/>
      <c r="LK445" s="11"/>
      <c r="LL445" s="11"/>
      <c r="LM445" s="11"/>
      <c r="LN445" s="11"/>
      <c r="LO445" s="11"/>
      <c r="LP445" s="11"/>
      <c r="LQ445" s="11"/>
      <c r="LR445" s="11"/>
      <c r="LS445" s="11"/>
      <c r="LT445" s="11"/>
      <c r="LU445" s="11"/>
      <c r="LV445" s="11"/>
      <c r="LW445" s="11"/>
      <c r="LX445" s="11"/>
      <c r="LY445" s="11"/>
      <c r="LZ445" s="11"/>
      <c r="MA445" s="11"/>
      <c r="MB445" s="11"/>
      <c r="MC445" s="11"/>
      <c r="MD445" s="11"/>
      <c r="ME445" s="11"/>
      <c r="MF445" s="11"/>
      <c r="MG445" s="11"/>
      <c r="MH445" s="11"/>
      <c r="MI445" s="11"/>
      <c r="MJ445" s="11"/>
      <c r="MK445" s="11"/>
      <c r="ML445" s="11"/>
      <c r="MM445" s="11"/>
      <c r="MN445" s="11"/>
      <c r="MO445" s="11"/>
      <c r="MP445" s="11"/>
      <c r="MQ445" s="11"/>
      <c r="MR445" s="11"/>
      <c r="MS445" s="11"/>
      <c r="MT445" s="11"/>
      <c r="MU445" s="11"/>
      <c r="MV445" s="11"/>
      <c r="MW445" s="11"/>
      <c r="MX445" s="11"/>
      <c r="MY445" s="11"/>
      <c r="MZ445" s="11"/>
      <c r="NA445" s="11"/>
      <c r="NB445" s="11"/>
      <c r="NC445" s="11"/>
      <c r="ND445" s="11"/>
      <c r="NE445" s="11"/>
      <c r="NF445" s="11"/>
      <c r="NG445" s="11"/>
      <c r="NH445" s="11"/>
      <c r="NI445" s="11"/>
      <c r="NJ445" s="11"/>
      <c r="NK445" s="11"/>
      <c r="NL445" s="11"/>
      <c r="NM445" s="11"/>
      <c r="NN445" s="11"/>
      <c r="NO445" s="11"/>
      <c r="NP445" s="11"/>
      <c r="NQ445" s="11"/>
      <c r="NR445" s="11"/>
      <c r="NS445" s="11"/>
      <c r="NT445" s="11"/>
      <c r="NU445" s="11"/>
      <c r="NV445" s="11"/>
      <c r="NW445" s="11"/>
      <c r="NX445" s="11"/>
      <c r="NY445" s="11"/>
      <c r="NZ445" s="11"/>
      <c r="OA445" s="11"/>
      <c r="OB445" s="11"/>
      <c r="OC445" s="11"/>
      <c r="OD445" s="11"/>
      <c r="OE445" s="11"/>
      <c r="OF445" s="11"/>
      <c r="OG445" s="11"/>
      <c r="OH445" s="11"/>
      <c r="OI445" s="11"/>
      <c r="OJ445" s="11"/>
      <c r="OK445" s="11"/>
      <c r="OL445" s="11"/>
      <c r="OM445" s="11"/>
      <c r="ON445" s="11"/>
      <c r="OO445" s="11"/>
      <c r="OP445" s="11"/>
      <c r="OQ445" s="11"/>
      <c r="OR445" s="11"/>
      <c r="OS445" s="11"/>
      <c r="OT445" s="11"/>
      <c r="OU445" s="11"/>
      <c r="OV445" s="11"/>
      <c r="OW445" s="11"/>
      <c r="OX445" s="11"/>
      <c r="OY445" s="11"/>
      <c r="OZ445" s="11"/>
      <c r="PA445" s="11"/>
      <c r="PB445" s="11"/>
      <c r="PC445" s="11"/>
      <c r="PD445" s="11"/>
      <c r="PE445" s="11"/>
      <c r="PF445" s="11"/>
      <c r="PG445" s="11"/>
      <c r="PH445" s="11"/>
      <c r="PI445" s="11"/>
      <c r="PJ445" s="11"/>
      <c r="PK445" s="11"/>
      <c r="PL445" s="11"/>
      <c r="PM445" s="11"/>
      <c r="PN445" s="11"/>
      <c r="PO445" s="11"/>
      <c r="PP445" s="11"/>
      <c r="PQ445" s="11"/>
      <c r="PR445" s="11"/>
      <c r="PS445" s="11"/>
      <c r="PT445" s="11"/>
      <c r="PU445" s="11"/>
      <c r="PV445" s="11"/>
      <c r="PW445" s="11"/>
      <c r="PX445" s="11"/>
      <c r="PY445" s="11"/>
      <c r="PZ445" s="11"/>
      <c r="QA445" s="11"/>
      <c r="QB445" s="11"/>
      <c r="QC445" s="11"/>
      <c r="QD445" s="11"/>
      <c r="QE445" s="11"/>
      <c r="QF445" s="11"/>
      <c r="QG445" s="11"/>
      <c r="QH445" s="11"/>
      <c r="QI445" s="11"/>
      <c r="QJ445" s="11"/>
      <c r="QK445" s="11"/>
      <c r="QL445" s="11"/>
      <c r="QM445" s="11"/>
      <c r="QN445" s="11"/>
      <c r="QO445" s="11"/>
      <c r="QP445" s="11"/>
      <c r="QQ445" s="11"/>
      <c r="QR445" s="11"/>
      <c r="QS445" s="11"/>
      <c r="QT445" s="11"/>
      <c r="QU445" s="11"/>
      <c r="QV445" s="11"/>
      <c r="QW445" s="11"/>
      <c r="QX445" s="11"/>
      <c r="QY445" s="11"/>
      <c r="QZ445" s="11"/>
      <c r="RA445" s="11"/>
      <c r="RB445" s="11"/>
      <c r="RC445" s="11"/>
      <c r="RD445" s="11"/>
      <c r="RE445" s="11"/>
      <c r="RF445" s="11"/>
      <c r="RG445" s="11"/>
      <c r="RH445" s="11"/>
      <c r="RI445" s="11"/>
      <c r="RJ445" s="11"/>
      <c r="RK445" s="11"/>
      <c r="RL445" s="11"/>
      <c r="RM445" s="11"/>
      <c r="RN445" s="11"/>
      <c r="RO445" s="11"/>
      <c r="RP445" s="11"/>
      <c r="RQ445" s="11"/>
      <c r="RR445" s="11"/>
      <c r="RS445" s="11"/>
      <c r="RT445" s="11"/>
      <c r="RU445" s="11"/>
      <c r="RV445" s="11"/>
      <c r="RW445" s="11"/>
      <c r="RX445" s="11"/>
      <c r="RY445" s="11"/>
      <c r="RZ445" s="11"/>
      <c r="SA445" s="11"/>
      <c r="SB445" s="11"/>
      <c r="SC445" s="11"/>
      <c r="SD445" s="11"/>
      <c r="SE445" s="11"/>
      <c r="SF445" s="11"/>
      <c r="SG445" s="11"/>
      <c r="SH445" s="11">
        <v>1</v>
      </c>
    </row>
    <row r="446" spans="1:502" x14ac:dyDescent="0.2">
      <c r="A446" s="10">
        <v>5.1392128854295067E-2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1"/>
      <c r="FM446" s="11"/>
      <c r="FN446" s="11"/>
      <c r="FO446" s="11"/>
      <c r="FP446" s="11"/>
      <c r="FQ446" s="11"/>
      <c r="FR446" s="11"/>
      <c r="FS446" s="11"/>
      <c r="FT446" s="11"/>
      <c r="FU446" s="11"/>
      <c r="FV446" s="11"/>
      <c r="FW446" s="11"/>
      <c r="FX446" s="11"/>
      <c r="FY446" s="11"/>
      <c r="FZ446" s="11"/>
      <c r="GA446" s="11"/>
      <c r="GB446" s="11"/>
      <c r="GC446" s="11"/>
      <c r="GD446" s="11"/>
      <c r="GE446" s="11"/>
      <c r="GF446" s="11"/>
      <c r="GG446" s="11"/>
      <c r="GH446" s="11"/>
      <c r="GI446" s="11"/>
      <c r="GJ446" s="11"/>
      <c r="GK446" s="11"/>
      <c r="GL446" s="11"/>
      <c r="GM446" s="11"/>
      <c r="GN446" s="11"/>
      <c r="GO446" s="11"/>
      <c r="GP446" s="11"/>
      <c r="GQ446" s="11"/>
      <c r="GR446" s="11"/>
      <c r="GS446" s="11"/>
      <c r="GT446" s="11"/>
      <c r="GU446" s="11"/>
      <c r="GV446" s="11"/>
      <c r="GW446" s="11"/>
      <c r="GX446" s="11"/>
      <c r="GY446" s="11"/>
      <c r="GZ446" s="11"/>
      <c r="HA446" s="11"/>
      <c r="HB446" s="11"/>
      <c r="HC446" s="11"/>
      <c r="HD446" s="11"/>
      <c r="HE446" s="11"/>
      <c r="HF446" s="11"/>
      <c r="HG446" s="11"/>
      <c r="HH446" s="11"/>
      <c r="HI446" s="11"/>
      <c r="HJ446" s="11"/>
      <c r="HK446" s="11"/>
      <c r="HL446" s="11"/>
      <c r="HM446" s="11"/>
      <c r="HN446" s="11"/>
      <c r="HO446" s="11"/>
      <c r="HP446" s="11"/>
      <c r="HQ446" s="11"/>
      <c r="HR446" s="11"/>
      <c r="HS446" s="11"/>
      <c r="HT446" s="11"/>
      <c r="HU446" s="11"/>
      <c r="HV446" s="11"/>
      <c r="HW446" s="11"/>
      <c r="HX446" s="11"/>
      <c r="HY446" s="11"/>
      <c r="HZ446" s="11"/>
      <c r="IA446" s="11"/>
      <c r="IB446" s="11"/>
      <c r="IC446" s="11"/>
      <c r="ID446" s="11"/>
      <c r="IE446" s="11"/>
      <c r="IF446" s="11"/>
      <c r="IG446" s="11"/>
      <c r="IH446" s="11"/>
      <c r="II446" s="11"/>
      <c r="IJ446" s="11"/>
      <c r="IK446" s="11"/>
      <c r="IL446" s="11"/>
      <c r="IM446" s="11"/>
      <c r="IN446" s="11"/>
      <c r="IO446" s="11"/>
      <c r="IP446" s="11"/>
      <c r="IQ446" s="11"/>
      <c r="IR446" s="11"/>
      <c r="IS446" s="11"/>
      <c r="IT446" s="11"/>
      <c r="IU446" s="11"/>
      <c r="IV446" s="11"/>
      <c r="IW446" s="11"/>
      <c r="IX446" s="11"/>
      <c r="IY446" s="11"/>
      <c r="IZ446" s="11"/>
      <c r="JA446" s="11"/>
      <c r="JB446" s="11"/>
      <c r="JC446" s="11"/>
      <c r="JD446" s="11"/>
      <c r="JE446" s="11"/>
      <c r="JF446" s="11"/>
      <c r="JG446" s="11"/>
      <c r="JH446" s="11"/>
      <c r="JI446" s="11"/>
      <c r="JJ446" s="11"/>
      <c r="JK446" s="11"/>
      <c r="JL446" s="11"/>
      <c r="JM446" s="11"/>
      <c r="JN446" s="11"/>
      <c r="JO446" s="11"/>
      <c r="JP446" s="11"/>
      <c r="JQ446" s="11"/>
      <c r="JR446" s="11"/>
      <c r="JS446" s="11"/>
      <c r="JT446" s="11"/>
      <c r="JU446" s="11"/>
      <c r="JV446" s="11"/>
      <c r="JW446" s="11"/>
      <c r="JX446" s="11"/>
      <c r="JY446" s="11"/>
      <c r="JZ446" s="11"/>
      <c r="KA446" s="11"/>
      <c r="KB446" s="11"/>
      <c r="KC446" s="11"/>
      <c r="KD446" s="11"/>
      <c r="KE446" s="11"/>
      <c r="KF446" s="11"/>
      <c r="KG446" s="11"/>
      <c r="KH446" s="11"/>
      <c r="KI446" s="11"/>
      <c r="KJ446" s="11"/>
      <c r="KK446" s="11"/>
      <c r="KL446" s="11"/>
      <c r="KM446" s="11"/>
      <c r="KN446" s="11"/>
      <c r="KO446" s="11"/>
      <c r="KP446" s="11"/>
      <c r="KQ446" s="11"/>
      <c r="KR446" s="11"/>
      <c r="KS446" s="11"/>
      <c r="KT446" s="11"/>
      <c r="KU446" s="11"/>
      <c r="KV446" s="11"/>
      <c r="KW446" s="11"/>
      <c r="KX446" s="11"/>
      <c r="KY446" s="11"/>
      <c r="KZ446" s="11"/>
      <c r="LA446" s="11"/>
      <c r="LB446" s="11"/>
      <c r="LC446" s="11"/>
      <c r="LD446" s="11"/>
      <c r="LE446" s="11"/>
      <c r="LF446" s="11"/>
      <c r="LG446" s="11"/>
      <c r="LH446" s="11"/>
      <c r="LI446" s="11"/>
      <c r="LJ446" s="11"/>
      <c r="LK446" s="11"/>
      <c r="LL446" s="11"/>
      <c r="LM446" s="11"/>
      <c r="LN446" s="11"/>
      <c r="LO446" s="11"/>
      <c r="LP446" s="11"/>
      <c r="LQ446" s="11"/>
      <c r="LR446" s="11"/>
      <c r="LS446" s="11"/>
      <c r="LT446" s="11"/>
      <c r="LU446" s="11"/>
      <c r="LV446" s="11"/>
      <c r="LW446" s="11"/>
      <c r="LX446" s="11"/>
      <c r="LY446" s="11"/>
      <c r="LZ446" s="11"/>
      <c r="MA446" s="11"/>
      <c r="MB446" s="11"/>
      <c r="MC446" s="11"/>
      <c r="MD446" s="11"/>
      <c r="ME446" s="11"/>
      <c r="MF446" s="11"/>
      <c r="MG446" s="11"/>
      <c r="MH446" s="11"/>
      <c r="MI446" s="11"/>
      <c r="MJ446" s="11"/>
      <c r="MK446" s="11"/>
      <c r="ML446" s="11"/>
      <c r="MM446" s="11"/>
      <c r="MN446" s="11"/>
      <c r="MO446" s="11"/>
      <c r="MP446" s="11"/>
      <c r="MQ446" s="11"/>
      <c r="MR446" s="11"/>
      <c r="MS446" s="11"/>
      <c r="MT446" s="11"/>
      <c r="MU446" s="11"/>
      <c r="MV446" s="11"/>
      <c r="MW446" s="11"/>
      <c r="MX446" s="11"/>
      <c r="MY446" s="11"/>
      <c r="MZ446" s="11"/>
      <c r="NA446" s="11"/>
      <c r="NB446" s="11"/>
      <c r="NC446" s="11"/>
      <c r="ND446" s="11"/>
      <c r="NE446" s="11"/>
      <c r="NF446" s="11"/>
      <c r="NG446" s="11"/>
      <c r="NH446" s="11"/>
      <c r="NI446" s="11"/>
      <c r="NJ446" s="11"/>
      <c r="NK446" s="11"/>
      <c r="NL446" s="11"/>
      <c r="NM446" s="11"/>
      <c r="NN446" s="11"/>
      <c r="NO446" s="11"/>
      <c r="NP446" s="11"/>
      <c r="NQ446" s="11"/>
      <c r="NR446" s="11"/>
      <c r="NS446" s="11"/>
      <c r="NT446" s="11"/>
      <c r="NU446" s="11"/>
      <c r="NV446" s="11"/>
      <c r="NW446" s="11"/>
      <c r="NX446" s="11"/>
      <c r="NY446" s="11"/>
      <c r="NZ446" s="11"/>
      <c r="OA446" s="11"/>
      <c r="OB446" s="11"/>
      <c r="OC446" s="11"/>
      <c r="OD446" s="11"/>
      <c r="OE446" s="11"/>
      <c r="OF446" s="11"/>
      <c r="OG446" s="11"/>
      <c r="OH446" s="11"/>
      <c r="OI446" s="11"/>
      <c r="OJ446" s="11"/>
      <c r="OK446" s="11"/>
      <c r="OL446" s="11"/>
      <c r="OM446" s="11"/>
      <c r="ON446" s="11"/>
      <c r="OO446" s="11"/>
      <c r="OP446" s="11"/>
      <c r="OQ446" s="11"/>
      <c r="OR446" s="11"/>
      <c r="OS446" s="11"/>
      <c r="OT446" s="11"/>
      <c r="OU446" s="11"/>
      <c r="OV446" s="11"/>
      <c r="OW446" s="11"/>
      <c r="OX446" s="11"/>
      <c r="OY446" s="11"/>
      <c r="OZ446" s="11"/>
      <c r="PA446" s="11"/>
      <c r="PB446" s="11"/>
      <c r="PC446" s="11"/>
      <c r="PD446" s="11"/>
      <c r="PE446" s="11"/>
      <c r="PF446" s="11"/>
      <c r="PG446" s="11"/>
      <c r="PH446" s="11"/>
      <c r="PI446" s="11"/>
      <c r="PJ446" s="11"/>
      <c r="PK446" s="11"/>
      <c r="PL446" s="11"/>
      <c r="PM446" s="11"/>
      <c r="PN446" s="11"/>
      <c r="PO446" s="11"/>
      <c r="PP446" s="11"/>
      <c r="PQ446" s="11"/>
      <c r="PR446" s="11"/>
      <c r="PS446" s="11"/>
      <c r="PT446" s="11"/>
      <c r="PU446" s="11"/>
      <c r="PV446" s="11"/>
      <c r="PW446" s="11"/>
      <c r="PX446" s="11"/>
      <c r="PY446" s="11"/>
      <c r="PZ446" s="11"/>
      <c r="QA446" s="11"/>
      <c r="QB446" s="11"/>
      <c r="QC446" s="11"/>
      <c r="QD446" s="11"/>
      <c r="QE446" s="11"/>
      <c r="QF446" s="11"/>
      <c r="QG446" s="11"/>
      <c r="QH446" s="11"/>
      <c r="QI446" s="11"/>
      <c r="QJ446" s="11"/>
      <c r="QK446" s="11"/>
      <c r="QL446" s="11"/>
      <c r="QM446" s="11"/>
      <c r="QN446" s="11"/>
      <c r="QO446" s="11"/>
      <c r="QP446" s="11"/>
      <c r="QQ446" s="11"/>
      <c r="QR446" s="11"/>
      <c r="QS446" s="11"/>
      <c r="QT446" s="11"/>
      <c r="QU446" s="11"/>
      <c r="QV446" s="11"/>
      <c r="QW446" s="11"/>
      <c r="QX446" s="11"/>
      <c r="QY446" s="11"/>
      <c r="QZ446" s="11"/>
      <c r="RA446" s="11"/>
      <c r="RB446" s="11"/>
      <c r="RC446" s="11"/>
      <c r="RD446" s="11">
        <v>1</v>
      </c>
      <c r="RE446" s="11"/>
      <c r="RF446" s="11"/>
      <c r="RG446" s="11"/>
      <c r="RH446" s="11"/>
      <c r="RI446" s="11"/>
      <c r="RJ446" s="11"/>
      <c r="RK446" s="11"/>
      <c r="RL446" s="11"/>
      <c r="RM446" s="11"/>
      <c r="RN446" s="11"/>
      <c r="RO446" s="11"/>
      <c r="RP446" s="11"/>
      <c r="RQ446" s="11"/>
      <c r="RR446" s="11"/>
      <c r="RS446" s="11"/>
      <c r="RT446" s="11"/>
      <c r="RU446" s="11"/>
      <c r="RV446" s="11"/>
      <c r="RW446" s="11"/>
      <c r="RX446" s="11"/>
      <c r="RY446" s="11"/>
      <c r="RZ446" s="11"/>
      <c r="SA446" s="11"/>
      <c r="SB446" s="11"/>
      <c r="SC446" s="11"/>
      <c r="SD446" s="11"/>
      <c r="SE446" s="11"/>
      <c r="SF446" s="11"/>
      <c r="SG446" s="11"/>
      <c r="SH446" s="11">
        <v>1</v>
      </c>
    </row>
    <row r="447" spans="1:502" x14ac:dyDescent="0.2">
      <c r="A447" s="10">
        <v>5.1477787090671231E-2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>
        <v>1</v>
      </c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  <c r="GP447" s="11"/>
      <c r="GQ447" s="11"/>
      <c r="GR447" s="11"/>
      <c r="GS447" s="11"/>
      <c r="GT447" s="11"/>
      <c r="GU447" s="11"/>
      <c r="GV447" s="11"/>
      <c r="GW447" s="11"/>
      <c r="GX447" s="11"/>
      <c r="GY447" s="11"/>
      <c r="GZ447" s="11"/>
      <c r="HA447" s="11"/>
      <c r="HB447" s="11"/>
      <c r="HC447" s="11"/>
      <c r="HD447" s="11"/>
      <c r="HE447" s="11"/>
      <c r="HF447" s="11"/>
      <c r="HG447" s="11"/>
      <c r="HH447" s="11"/>
      <c r="HI447" s="11"/>
      <c r="HJ447" s="11"/>
      <c r="HK447" s="11"/>
      <c r="HL447" s="11"/>
      <c r="HM447" s="11"/>
      <c r="HN447" s="11"/>
      <c r="HO447" s="11"/>
      <c r="HP447" s="11"/>
      <c r="HQ447" s="11"/>
      <c r="HR447" s="11"/>
      <c r="HS447" s="11"/>
      <c r="HT447" s="11"/>
      <c r="HU447" s="11"/>
      <c r="HV447" s="11"/>
      <c r="HW447" s="11"/>
      <c r="HX447" s="11"/>
      <c r="HY447" s="11"/>
      <c r="HZ447" s="11"/>
      <c r="IA447" s="11"/>
      <c r="IB447" s="11"/>
      <c r="IC447" s="11"/>
      <c r="ID447" s="11"/>
      <c r="IE447" s="11"/>
      <c r="IF447" s="11"/>
      <c r="IG447" s="11"/>
      <c r="IH447" s="11"/>
      <c r="II447" s="11"/>
      <c r="IJ447" s="11"/>
      <c r="IK447" s="11"/>
      <c r="IL447" s="11"/>
      <c r="IM447" s="11"/>
      <c r="IN447" s="11"/>
      <c r="IO447" s="11"/>
      <c r="IP447" s="11"/>
      <c r="IQ447" s="11"/>
      <c r="IR447" s="11"/>
      <c r="IS447" s="11"/>
      <c r="IT447" s="11"/>
      <c r="IU447" s="11"/>
      <c r="IV447" s="11"/>
      <c r="IW447" s="11"/>
      <c r="IX447" s="11"/>
      <c r="IY447" s="11"/>
      <c r="IZ447" s="11"/>
      <c r="JA447" s="11"/>
      <c r="JB447" s="11"/>
      <c r="JC447" s="11"/>
      <c r="JD447" s="11"/>
      <c r="JE447" s="11"/>
      <c r="JF447" s="11"/>
      <c r="JG447" s="11"/>
      <c r="JH447" s="11"/>
      <c r="JI447" s="11"/>
      <c r="JJ447" s="11"/>
      <c r="JK447" s="11"/>
      <c r="JL447" s="11"/>
      <c r="JM447" s="11"/>
      <c r="JN447" s="11"/>
      <c r="JO447" s="11"/>
      <c r="JP447" s="11"/>
      <c r="JQ447" s="11"/>
      <c r="JR447" s="11"/>
      <c r="JS447" s="11"/>
      <c r="JT447" s="11"/>
      <c r="JU447" s="11"/>
      <c r="JV447" s="11"/>
      <c r="JW447" s="11"/>
      <c r="JX447" s="11"/>
      <c r="JY447" s="11"/>
      <c r="JZ447" s="11"/>
      <c r="KA447" s="11"/>
      <c r="KB447" s="11"/>
      <c r="KC447" s="11"/>
      <c r="KD447" s="11"/>
      <c r="KE447" s="11"/>
      <c r="KF447" s="11"/>
      <c r="KG447" s="11"/>
      <c r="KH447" s="11"/>
      <c r="KI447" s="11"/>
      <c r="KJ447" s="11"/>
      <c r="KK447" s="11"/>
      <c r="KL447" s="11"/>
      <c r="KM447" s="11"/>
      <c r="KN447" s="11"/>
      <c r="KO447" s="11"/>
      <c r="KP447" s="11"/>
      <c r="KQ447" s="11"/>
      <c r="KR447" s="11"/>
      <c r="KS447" s="11"/>
      <c r="KT447" s="11"/>
      <c r="KU447" s="11"/>
      <c r="KV447" s="11"/>
      <c r="KW447" s="11"/>
      <c r="KX447" s="11"/>
      <c r="KY447" s="11"/>
      <c r="KZ447" s="11"/>
      <c r="LA447" s="11"/>
      <c r="LB447" s="11"/>
      <c r="LC447" s="11"/>
      <c r="LD447" s="11"/>
      <c r="LE447" s="11"/>
      <c r="LF447" s="11"/>
      <c r="LG447" s="11"/>
      <c r="LH447" s="11"/>
      <c r="LI447" s="11"/>
      <c r="LJ447" s="11"/>
      <c r="LK447" s="11"/>
      <c r="LL447" s="11"/>
      <c r="LM447" s="11"/>
      <c r="LN447" s="11"/>
      <c r="LO447" s="11"/>
      <c r="LP447" s="11"/>
      <c r="LQ447" s="11"/>
      <c r="LR447" s="11"/>
      <c r="LS447" s="11"/>
      <c r="LT447" s="11"/>
      <c r="LU447" s="11"/>
      <c r="LV447" s="11"/>
      <c r="LW447" s="11"/>
      <c r="LX447" s="11"/>
      <c r="LY447" s="11"/>
      <c r="LZ447" s="11"/>
      <c r="MA447" s="11"/>
      <c r="MB447" s="11"/>
      <c r="MC447" s="11"/>
      <c r="MD447" s="11"/>
      <c r="ME447" s="11"/>
      <c r="MF447" s="11"/>
      <c r="MG447" s="11"/>
      <c r="MH447" s="11"/>
      <c r="MI447" s="11"/>
      <c r="MJ447" s="11"/>
      <c r="MK447" s="11"/>
      <c r="ML447" s="11"/>
      <c r="MM447" s="11"/>
      <c r="MN447" s="11"/>
      <c r="MO447" s="11"/>
      <c r="MP447" s="11"/>
      <c r="MQ447" s="11"/>
      <c r="MR447" s="11"/>
      <c r="MS447" s="11"/>
      <c r="MT447" s="11"/>
      <c r="MU447" s="11"/>
      <c r="MV447" s="11"/>
      <c r="MW447" s="11"/>
      <c r="MX447" s="11"/>
      <c r="MY447" s="11"/>
      <c r="MZ447" s="11"/>
      <c r="NA447" s="11"/>
      <c r="NB447" s="11"/>
      <c r="NC447" s="11"/>
      <c r="ND447" s="11"/>
      <c r="NE447" s="11"/>
      <c r="NF447" s="11"/>
      <c r="NG447" s="11"/>
      <c r="NH447" s="11"/>
      <c r="NI447" s="11"/>
      <c r="NJ447" s="11"/>
      <c r="NK447" s="11"/>
      <c r="NL447" s="11"/>
      <c r="NM447" s="11"/>
      <c r="NN447" s="11"/>
      <c r="NO447" s="11"/>
      <c r="NP447" s="11"/>
      <c r="NQ447" s="11"/>
      <c r="NR447" s="11"/>
      <c r="NS447" s="11"/>
      <c r="NT447" s="11"/>
      <c r="NU447" s="11"/>
      <c r="NV447" s="11"/>
      <c r="NW447" s="11"/>
      <c r="NX447" s="11"/>
      <c r="NY447" s="11"/>
      <c r="NZ447" s="11"/>
      <c r="OA447" s="11"/>
      <c r="OB447" s="11"/>
      <c r="OC447" s="11"/>
      <c r="OD447" s="11"/>
      <c r="OE447" s="11"/>
      <c r="OF447" s="11"/>
      <c r="OG447" s="11"/>
      <c r="OH447" s="11"/>
      <c r="OI447" s="11"/>
      <c r="OJ447" s="11"/>
      <c r="OK447" s="11"/>
      <c r="OL447" s="11"/>
      <c r="OM447" s="11"/>
      <c r="ON447" s="11"/>
      <c r="OO447" s="11"/>
      <c r="OP447" s="11"/>
      <c r="OQ447" s="11"/>
      <c r="OR447" s="11"/>
      <c r="OS447" s="11"/>
      <c r="OT447" s="11"/>
      <c r="OU447" s="11"/>
      <c r="OV447" s="11"/>
      <c r="OW447" s="11"/>
      <c r="OX447" s="11"/>
      <c r="OY447" s="11"/>
      <c r="OZ447" s="11"/>
      <c r="PA447" s="11"/>
      <c r="PB447" s="11"/>
      <c r="PC447" s="11"/>
      <c r="PD447" s="11"/>
      <c r="PE447" s="11"/>
      <c r="PF447" s="11"/>
      <c r="PG447" s="11"/>
      <c r="PH447" s="11"/>
      <c r="PI447" s="11"/>
      <c r="PJ447" s="11"/>
      <c r="PK447" s="11"/>
      <c r="PL447" s="11"/>
      <c r="PM447" s="11"/>
      <c r="PN447" s="11"/>
      <c r="PO447" s="11"/>
      <c r="PP447" s="11"/>
      <c r="PQ447" s="11"/>
      <c r="PR447" s="11"/>
      <c r="PS447" s="11"/>
      <c r="PT447" s="11"/>
      <c r="PU447" s="11"/>
      <c r="PV447" s="11"/>
      <c r="PW447" s="11"/>
      <c r="PX447" s="11"/>
      <c r="PY447" s="11"/>
      <c r="PZ447" s="11"/>
      <c r="QA447" s="11"/>
      <c r="QB447" s="11"/>
      <c r="QC447" s="11"/>
      <c r="QD447" s="11"/>
      <c r="QE447" s="11"/>
      <c r="QF447" s="11"/>
      <c r="QG447" s="11"/>
      <c r="QH447" s="11"/>
      <c r="QI447" s="11"/>
      <c r="QJ447" s="11"/>
      <c r="QK447" s="11"/>
      <c r="QL447" s="11"/>
      <c r="QM447" s="11"/>
      <c r="QN447" s="11"/>
      <c r="QO447" s="11"/>
      <c r="QP447" s="11"/>
      <c r="QQ447" s="11"/>
      <c r="QR447" s="11"/>
      <c r="QS447" s="11"/>
      <c r="QT447" s="11"/>
      <c r="QU447" s="11"/>
      <c r="QV447" s="11"/>
      <c r="QW447" s="11"/>
      <c r="QX447" s="11"/>
      <c r="QY447" s="11"/>
      <c r="QZ447" s="11"/>
      <c r="RA447" s="11"/>
      <c r="RB447" s="11"/>
      <c r="RC447" s="11"/>
      <c r="RD447" s="11"/>
      <c r="RE447" s="11"/>
      <c r="RF447" s="11"/>
      <c r="RG447" s="11"/>
      <c r="RH447" s="11"/>
      <c r="RI447" s="11"/>
      <c r="RJ447" s="11"/>
      <c r="RK447" s="11"/>
      <c r="RL447" s="11"/>
      <c r="RM447" s="11"/>
      <c r="RN447" s="11"/>
      <c r="RO447" s="11"/>
      <c r="RP447" s="11"/>
      <c r="RQ447" s="11"/>
      <c r="RR447" s="11"/>
      <c r="RS447" s="11"/>
      <c r="RT447" s="11"/>
      <c r="RU447" s="11"/>
      <c r="RV447" s="11"/>
      <c r="RW447" s="11"/>
      <c r="RX447" s="11"/>
      <c r="RY447" s="11"/>
      <c r="RZ447" s="11"/>
      <c r="SA447" s="11"/>
      <c r="SB447" s="11"/>
      <c r="SC447" s="11"/>
      <c r="SD447" s="11"/>
      <c r="SE447" s="11"/>
      <c r="SF447" s="11"/>
      <c r="SG447" s="11"/>
      <c r="SH447" s="11">
        <v>1</v>
      </c>
    </row>
    <row r="448" spans="1:502" x14ac:dyDescent="0.2">
      <c r="A448" s="10">
        <v>5.1492438275834461E-2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>
        <v>1</v>
      </c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1"/>
      <c r="FM448" s="11"/>
      <c r="FN448" s="11"/>
      <c r="FO448" s="11"/>
      <c r="FP448" s="11"/>
      <c r="FQ448" s="11"/>
      <c r="FR448" s="11"/>
      <c r="FS448" s="11"/>
      <c r="FT448" s="11"/>
      <c r="FU448" s="11"/>
      <c r="FV448" s="11"/>
      <c r="FW448" s="11"/>
      <c r="FX448" s="11"/>
      <c r="FY448" s="11"/>
      <c r="FZ448" s="11"/>
      <c r="GA448" s="11"/>
      <c r="GB448" s="11"/>
      <c r="GC448" s="11"/>
      <c r="GD448" s="11"/>
      <c r="GE448" s="11"/>
      <c r="GF448" s="11"/>
      <c r="GG448" s="11"/>
      <c r="GH448" s="11"/>
      <c r="GI448" s="11"/>
      <c r="GJ448" s="11"/>
      <c r="GK448" s="11"/>
      <c r="GL448" s="11"/>
      <c r="GM448" s="11"/>
      <c r="GN448" s="11"/>
      <c r="GO448" s="11"/>
      <c r="GP448" s="11"/>
      <c r="GQ448" s="11"/>
      <c r="GR448" s="11"/>
      <c r="GS448" s="11"/>
      <c r="GT448" s="11"/>
      <c r="GU448" s="11"/>
      <c r="GV448" s="11"/>
      <c r="GW448" s="11"/>
      <c r="GX448" s="11"/>
      <c r="GY448" s="11"/>
      <c r="GZ448" s="11"/>
      <c r="HA448" s="11"/>
      <c r="HB448" s="11"/>
      <c r="HC448" s="11"/>
      <c r="HD448" s="11"/>
      <c r="HE448" s="11"/>
      <c r="HF448" s="11"/>
      <c r="HG448" s="11"/>
      <c r="HH448" s="11"/>
      <c r="HI448" s="11"/>
      <c r="HJ448" s="11"/>
      <c r="HK448" s="11"/>
      <c r="HL448" s="11"/>
      <c r="HM448" s="11"/>
      <c r="HN448" s="11"/>
      <c r="HO448" s="11"/>
      <c r="HP448" s="11"/>
      <c r="HQ448" s="11"/>
      <c r="HR448" s="11"/>
      <c r="HS448" s="11"/>
      <c r="HT448" s="11"/>
      <c r="HU448" s="11"/>
      <c r="HV448" s="11"/>
      <c r="HW448" s="11"/>
      <c r="HX448" s="11"/>
      <c r="HY448" s="11"/>
      <c r="HZ448" s="11"/>
      <c r="IA448" s="11"/>
      <c r="IB448" s="11"/>
      <c r="IC448" s="11"/>
      <c r="ID448" s="11"/>
      <c r="IE448" s="11"/>
      <c r="IF448" s="11"/>
      <c r="IG448" s="11"/>
      <c r="IH448" s="11"/>
      <c r="II448" s="11"/>
      <c r="IJ448" s="11"/>
      <c r="IK448" s="11"/>
      <c r="IL448" s="11"/>
      <c r="IM448" s="11"/>
      <c r="IN448" s="11"/>
      <c r="IO448" s="11"/>
      <c r="IP448" s="11"/>
      <c r="IQ448" s="11"/>
      <c r="IR448" s="11"/>
      <c r="IS448" s="11"/>
      <c r="IT448" s="11"/>
      <c r="IU448" s="11"/>
      <c r="IV448" s="11"/>
      <c r="IW448" s="11"/>
      <c r="IX448" s="11"/>
      <c r="IY448" s="11"/>
      <c r="IZ448" s="11"/>
      <c r="JA448" s="11"/>
      <c r="JB448" s="11"/>
      <c r="JC448" s="11"/>
      <c r="JD448" s="11"/>
      <c r="JE448" s="11"/>
      <c r="JF448" s="11"/>
      <c r="JG448" s="11"/>
      <c r="JH448" s="11"/>
      <c r="JI448" s="11"/>
      <c r="JJ448" s="11"/>
      <c r="JK448" s="11"/>
      <c r="JL448" s="11"/>
      <c r="JM448" s="11"/>
      <c r="JN448" s="11"/>
      <c r="JO448" s="11"/>
      <c r="JP448" s="11"/>
      <c r="JQ448" s="11"/>
      <c r="JR448" s="11"/>
      <c r="JS448" s="11"/>
      <c r="JT448" s="11"/>
      <c r="JU448" s="11"/>
      <c r="JV448" s="11"/>
      <c r="JW448" s="11"/>
      <c r="JX448" s="11"/>
      <c r="JY448" s="11"/>
      <c r="JZ448" s="11"/>
      <c r="KA448" s="11"/>
      <c r="KB448" s="11"/>
      <c r="KC448" s="11"/>
      <c r="KD448" s="11"/>
      <c r="KE448" s="11"/>
      <c r="KF448" s="11"/>
      <c r="KG448" s="11"/>
      <c r="KH448" s="11"/>
      <c r="KI448" s="11"/>
      <c r="KJ448" s="11"/>
      <c r="KK448" s="11"/>
      <c r="KL448" s="11"/>
      <c r="KM448" s="11"/>
      <c r="KN448" s="11"/>
      <c r="KO448" s="11"/>
      <c r="KP448" s="11"/>
      <c r="KQ448" s="11"/>
      <c r="KR448" s="11"/>
      <c r="KS448" s="11"/>
      <c r="KT448" s="11"/>
      <c r="KU448" s="11"/>
      <c r="KV448" s="11"/>
      <c r="KW448" s="11"/>
      <c r="KX448" s="11"/>
      <c r="KY448" s="11"/>
      <c r="KZ448" s="11"/>
      <c r="LA448" s="11"/>
      <c r="LB448" s="11"/>
      <c r="LC448" s="11"/>
      <c r="LD448" s="11"/>
      <c r="LE448" s="11"/>
      <c r="LF448" s="11"/>
      <c r="LG448" s="11"/>
      <c r="LH448" s="11"/>
      <c r="LI448" s="11"/>
      <c r="LJ448" s="11"/>
      <c r="LK448" s="11"/>
      <c r="LL448" s="11"/>
      <c r="LM448" s="11"/>
      <c r="LN448" s="11"/>
      <c r="LO448" s="11"/>
      <c r="LP448" s="11"/>
      <c r="LQ448" s="11"/>
      <c r="LR448" s="11"/>
      <c r="LS448" s="11"/>
      <c r="LT448" s="11"/>
      <c r="LU448" s="11"/>
      <c r="LV448" s="11"/>
      <c r="LW448" s="11"/>
      <c r="LX448" s="11"/>
      <c r="LY448" s="11"/>
      <c r="LZ448" s="11"/>
      <c r="MA448" s="11"/>
      <c r="MB448" s="11"/>
      <c r="MC448" s="11"/>
      <c r="MD448" s="11"/>
      <c r="ME448" s="11"/>
      <c r="MF448" s="11"/>
      <c r="MG448" s="11"/>
      <c r="MH448" s="11"/>
      <c r="MI448" s="11"/>
      <c r="MJ448" s="11"/>
      <c r="MK448" s="11"/>
      <c r="ML448" s="11"/>
      <c r="MM448" s="11"/>
      <c r="MN448" s="11"/>
      <c r="MO448" s="11"/>
      <c r="MP448" s="11"/>
      <c r="MQ448" s="11"/>
      <c r="MR448" s="11"/>
      <c r="MS448" s="11"/>
      <c r="MT448" s="11"/>
      <c r="MU448" s="11"/>
      <c r="MV448" s="11"/>
      <c r="MW448" s="11"/>
      <c r="MX448" s="11"/>
      <c r="MY448" s="11"/>
      <c r="MZ448" s="11"/>
      <c r="NA448" s="11"/>
      <c r="NB448" s="11"/>
      <c r="NC448" s="11"/>
      <c r="ND448" s="11"/>
      <c r="NE448" s="11"/>
      <c r="NF448" s="11"/>
      <c r="NG448" s="11"/>
      <c r="NH448" s="11"/>
      <c r="NI448" s="11"/>
      <c r="NJ448" s="11"/>
      <c r="NK448" s="11"/>
      <c r="NL448" s="11"/>
      <c r="NM448" s="11"/>
      <c r="NN448" s="11"/>
      <c r="NO448" s="11"/>
      <c r="NP448" s="11"/>
      <c r="NQ448" s="11"/>
      <c r="NR448" s="11"/>
      <c r="NS448" s="11"/>
      <c r="NT448" s="11"/>
      <c r="NU448" s="11"/>
      <c r="NV448" s="11"/>
      <c r="NW448" s="11"/>
      <c r="NX448" s="11"/>
      <c r="NY448" s="11"/>
      <c r="NZ448" s="11"/>
      <c r="OA448" s="11"/>
      <c r="OB448" s="11"/>
      <c r="OC448" s="11"/>
      <c r="OD448" s="11"/>
      <c r="OE448" s="11"/>
      <c r="OF448" s="11"/>
      <c r="OG448" s="11"/>
      <c r="OH448" s="11"/>
      <c r="OI448" s="11"/>
      <c r="OJ448" s="11"/>
      <c r="OK448" s="11"/>
      <c r="OL448" s="11"/>
      <c r="OM448" s="11"/>
      <c r="ON448" s="11"/>
      <c r="OO448" s="11"/>
      <c r="OP448" s="11"/>
      <c r="OQ448" s="11"/>
      <c r="OR448" s="11"/>
      <c r="OS448" s="11"/>
      <c r="OT448" s="11"/>
      <c r="OU448" s="11"/>
      <c r="OV448" s="11"/>
      <c r="OW448" s="11"/>
      <c r="OX448" s="11"/>
      <c r="OY448" s="11"/>
      <c r="OZ448" s="11"/>
      <c r="PA448" s="11"/>
      <c r="PB448" s="11"/>
      <c r="PC448" s="11"/>
      <c r="PD448" s="11"/>
      <c r="PE448" s="11"/>
      <c r="PF448" s="11"/>
      <c r="PG448" s="11"/>
      <c r="PH448" s="11"/>
      <c r="PI448" s="11"/>
      <c r="PJ448" s="11"/>
      <c r="PK448" s="11"/>
      <c r="PL448" s="11"/>
      <c r="PM448" s="11"/>
      <c r="PN448" s="11"/>
      <c r="PO448" s="11"/>
      <c r="PP448" s="11"/>
      <c r="PQ448" s="11"/>
      <c r="PR448" s="11"/>
      <c r="PS448" s="11"/>
      <c r="PT448" s="11"/>
      <c r="PU448" s="11"/>
      <c r="PV448" s="11"/>
      <c r="PW448" s="11"/>
      <c r="PX448" s="11"/>
      <c r="PY448" s="11"/>
      <c r="PZ448" s="11"/>
      <c r="QA448" s="11"/>
      <c r="QB448" s="11"/>
      <c r="QC448" s="11"/>
      <c r="QD448" s="11"/>
      <c r="QE448" s="11"/>
      <c r="QF448" s="11"/>
      <c r="QG448" s="11"/>
      <c r="QH448" s="11"/>
      <c r="QI448" s="11"/>
      <c r="QJ448" s="11"/>
      <c r="QK448" s="11"/>
      <c r="QL448" s="11"/>
      <c r="QM448" s="11"/>
      <c r="QN448" s="11"/>
      <c r="QO448" s="11"/>
      <c r="QP448" s="11"/>
      <c r="QQ448" s="11"/>
      <c r="QR448" s="11"/>
      <c r="QS448" s="11"/>
      <c r="QT448" s="11"/>
      <c r="QU448" s="11"/>
      <c r="QV448" s="11"/>
      <c r="QW448" s="11"/>
      <c r="QX448" s="11"/>
      <c r="QY448" s="11"/>
      <c r="QZ448" s="11"/>
      <c r="RA448" s="11"/>
      <c r="RB448" s="11"/>
      <c r="RC448" s="11"/>
      <c r="RD448" s="11"/>
      <c r="RE448" s="11"/>
      <c r="RF448" s="11"/>
      <c r="RG448" s="11"/>
      <c r="RH448" s="11"/>
      <c r="RI448" s="11"/>
      <c r="RJ448" s="11"/>
      <c r="RK448" s="11"/>
      <c r="RL448" s="11"/>
      <c r="RM448" s="11"/>
      <c r="RN448" s="11"/>
      <c r="RO448" s="11"/>
      <c r="RP448" s="11"/>
      <c r="RQ448" s="11"/>
      <c r="RR448" s="11"/>
      <c r="RS448" s="11"/>
      <c r="RT448" s="11"/>
      <c r="RU448" s="11"/>
      <c r="RV448" s="11"/>
      <c r="RW448" s="11"/>
      <c r="RX448" s="11"/>
      <c r="RY448" s="11"/>
      <c r="RZ448" s="11"/>
      <c r="SA448" s="11"/>
      <c r="SB448" s="11"/>
      <c r="SC448" s="11"/>
      <c r="SD448" s="11"/>
      <c r="SE448" s="11"/>
      <c r="SF448" s="11"/>
      <c r="SG448" s="11"/>
      <c r="SH448" s="11">
        <v>1</v>
      </c>
    </row>
    <row r="449" spans="1:502" x14ac:dyDescent="0.2">
      <c r="A449" s="10">
        <v>5.1719451102388091E-2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>
        <v>1</v>
      </c>
      <c r="GK449" s="11"/>
      <c r="GL449" s="11"/>
      <c r="GM449" s="11"/>
      <c r="GN449" s="11"/>
      <c r="GO449" s="11"/>
      <c r="GP449" s="11"/>
      <c r="GQ449" s="11"/>
      <c r="GR449" s="11"/>
      <c r="GS449" s="11"/>
      <c r="GT449" s="11"/>
      <c r="GU449" s="11"/>
      <c r="GV449" s="11"/>
      <c r="GW449" s="11"/>
      <c r="GX449" s="11"/>
      <c r="GY449" s="11"/>
      <c r="GZ449" s="11"/>
      <c r="HA449" s="11"/>
      <c r="HB449" s="11"/>
      <c r="HC449" s="11"/>
      <c r="HD449" s="11"/>
      <c r="HE449" s="11"/>
      <c r="HF449" s="11"/>
      <c r="HG449" s="11"/>
      <c r="HH449" s="11"/>
      <c r="HI449" s="11"/>
      <c r="HJ449" s="11"/>
      <c r="HK449" s="11"/>
      <c r="HL449" s="11"/>
      <c r="HM449" s="11"/>
      <c r="HN449" s="11"/>
      <c r="HO449" s="11"/>
      <c r="HP449" s="11"/>
      <c r="HQ449" s="11"/>
      <c r="HR449" s="11"/>
      <c r="HS449" s="11"/>
      <c r="HT449" s="11"/>
      <c r="HU449" s="11"/>
      <c r="HV449" s="11"/>
      <c r="HW449" s="11"/>
      <c r="HX449" s="11"/>
      <c r="HY449" s="11"/>
      <c r="HZ449" s="11"/>
      <c r="IA449" s="11"/>
      <c r="IB449" s="11"/>
      <c r="IC449" s="11"/>
      <c r="ID449" s="11"/>
      <c r="IE449" s="11"/>
      <c r="IF449" s="11"/>
      <c r="IG449" s="11"/>
      <c r="IH449" s="11"/>
      <c r="II449" s="11"/>
      <c r="IJ449" s="11"/>
      <c r="IK449" s="11"/>
      <c r="IL449" s="11"/>
      <c r="IM449" s="11"/>
      <c r="IN449" s="11"/>
      <c r="IO449" s="11"/>
      <c r="IP449" s="11"/>
      <c r="IQ449" s="11"/>
      <c r="IR449" s="11"/>
      <c r="IS449" s="11"/>
      <c r="IT449" s="11"/>
      <c r="IU449" s="11"/>
      <c r="IV449" s="11"/>
      <c r="IW449" s="11"/>
      <c r="IX449" s="11"/>
      <c r="IY449" s="11"/>
      <c r="IZ449" s="11"/>
      <c r="JA449" s="11"/>
      <c r="JB449" s="11"/>
      <c r="JC449" s="11"/>
      <c r="JD449" s="11"/>
      <c r="JE449" s="11"/>
      <c r="JF449" s="11"/>
      <c r="JG449" s="11"/>
      <c r="JH449" s="11"/>
      <c r="JI449" s="11"/>
      <c r="JJ449" s="11"/>
      <c r="JK449" s="11"/>
      <c r="JL449" s="11"/>
      <c r="JM449" s="11"/>
      <c r="JN449" s="11"/>
      <c r="JO449" s="11"/>
      <c r="JP449" s="11"/>
      <c r="JQ449" s="11"/>
      <c r="JR449" s="11"/>
      <c r="JS449" s="11"/>
      <c r="JT449" s="11"/>
      <c r="JU449" s="11"/>
      <c r="JV449" s="11"/>
      <c r="JW449" s="11"/>
      <c r="JX449" s="11"/>
      <c r="JY449" s="11"/>
      <c r="JZ449" s="11"/>
      <c r="KA449" s="11"/>
      <c r="KB449" s="11"/>
      <c r="KC449" s="11"/>
      <c r="KD449" s="11"/>
      <c r="KE449" s="11"/>
      <c r="KF449" s="11"/>
      <c r="KG449" s="11"/>
      <c r="KH449" s="11"/>
      <c r="KI449" s="11"/>
      <c r="KJ449" s="11"/>
      <c r="KK449" s="11"/>
      <c r="KL449" s="11"/>
      <c r="KM449" s="11"/>
      <c r="KN449" s="11"/>
      <c r="KO449" s="11"/>
      <c r="KP449" s="11"/>
      <c r="KQ449" s="11"/>
      <c r="KR449" s="11"/>
      <c r="KS449" s="11"/>
      <c r="KT449" s="11"/>
      <c r="KU449" s="11"/>
      <c r="KV449" s="11"/>
      <c r="KW449" s="11"/>
      <c r="KX449" s="11"/>
      <c r="KY449" s="11"/>
      <c r="KZ449" s="11"/>
      <c r="LA449" s="11"/>
      <c r="LB449" s="11"/>
      <c r="LC449" s="11"/>
      <c r="LD449" s="11"/>
      <c r="LE449" s="11"/>
      <c r="LF449" s="11"/>
      <c r="LG449" s="11"/>
      <c r="LH449" s="11"/>
      <c r="LI449" s="11"/>
      <c r="LJ449" s="11"/>
      <c r="LK449" s="11"/>
      <c r="LL449" s="11"/>
      <c r="LM449" s="11"/>
      <c r="LN449" s="11"/>
      <c r="LO449" s="11"/>
      <c r="LP449" s="11"/>
      <c r="LQ449" s="11"/>
      <c r="LR449" s="11"/>
      <c r="LS449" s="11"/>
      <c r="LT449" s="11"/>
      <c r="LU449" s="11"/>
      <c r="LV449" s="11"/>
      <c r="LW449" s="11"/>
      <c r="LX449" s="11"/>
      <c r="LY449" s="11"/>
      <c r="LZ449" s="11"/>
      <c r="MA449" s="11"/>
      <c r="MB449" s="11"/>
      <c r="MC449" s="11"/>
      <c r="MD449" s="11"/>
      <c r="ME449" s="11"/>
      <c r="MF449" s="11"/>
      <c r="MG449" s="11"/>
      <c r="MH449" s="11"/>
      <c r="MI449" s="11"/>
      <c r="MJ449" s="11"/>
      <c r="MK449" s="11"/>
      <c r="ML449" s="11"/>
      <c r="MM449" s="11"/>
      <c r="MN449" s="11"/>
      <c r="MO449" s="11"/>
      <c r="MP449" s="11"/>
      <c r="MQ449" s="11"/>
      <c r="MR449" s="11"/>
      <c r="MS449" s="11"/>
      <c r="MT449" s="11"/>
      <c r="MU449" s="11"/>
      <c r="MV449" s="11"/>
      <c r="MW449" s="11"/>
      <c r="MX449" s="11"/>
      <c r="MY449" s="11"/>
      <c r="MZ449" s="11"/>
      <c r="NA449" s="11"/>
      <c r="NB449" s="11"/>
      <c r="NC449" s="11"/>
      <c r="ND449" s="11"/>
      <c r="NE449" s="11"/>
      <c r="NF449" s="11"/>
      <c r="NG449" s="11"/>
      <c r="NH449" s="11"/>
      <c r="NI449" s="11"/>
      <c r="NJ449" s="11"/>
      <c r="NK449" s="11"/>
      <c r="NL449" s="11"/>
      <c r="NM449" s="11"/>
      <c r="NN449" s="11"/>
      <c r="NO449" s="11"/>
      <c r="NP449" s="11"/>
      <c r="NQ449" s="11"/>
      <c r="NR449" s="11"/>
      <c r="NS449" s="11"/>
      <c r="NT449" s="11"/>
      <c r="NU449" s="11"/>
      <c r="NV449" s="11"/>
      <c r="NW449" s="11"/>
      <c r="NX449" s="11"/>
      <c r="NY449" s="11"/>
      <c r="NZ449" s="11"/>
      <c r="OA449" s="11"/>
      <c r="OB449" s="11"/>
      <c r="OC449" s="11"/>
      <c r="OD449" s="11"/>
      <c r="OE449" s="11"/>
      <c r="OF449" s="11"/>
      <c r="OG449" s="11"/>
      <c r="OH449" s="11"/>
      <c r="OI449" s="11"/>
      <c r="OJ449" s="11"/>
      <c r="OK449" s="11"/>
      <c r="OL449" s="11"/>
      <c r="OM449" s="11"/>
      <c r="ON449" s="11"/>
      <c r="OO449" s="11"/>
      <c r="OP449" s="11"/>
      <c r="OQ449" s="11"/>
      <c r="OR449" s="11"/>
      <c r="OS449" s="11"/>
      <c r="OT449" s="11"/>
      <c r="OU449" s="11"/>
      <c r="OV449" s="11"/>
      <c r="OW449" s="11"/>
      <c r="OX449" s="11"/>
      <c r="OY449" s="11"/>
      <c r="OZ449" s="11"/>
      <c r="PA449" s="11"/>
      <c r="PB449" s="11"/>
      <c r="PC449" s="11"/>
      <c r="PD449" s="11"/>
      <c r="PE449" s="11"/>
      <c r="PF449" s="11"/>
      <c r="PG449" s="11"/>
      <c r="PH449" s="11"/>
      <c r="PI449" s="11"/>
      <c r="PJ449" s="11"/>
      <c r="PK449" s="11"/>
      <c r="PL449" s="11"/>
      <c r="PM449" s="11"/>
      <c r="PN449" s="11"/>
      <c r="PO449" s="11"/>
      <c r="PP449" s="11"/>
      <c r="PQ449" s="11"/>
      <c r="PR449" s="11"/>
      <c r="PS449" s="11"/>
      <c r="PT449" s="11"/>
      <c r="PU449" s="11"/>
      <c r="PV449" s="11"/>
      <c r="PW449" s="11"/>
      <c r="PX449" s="11"/>
      <c r="PY449" s="11"/>
      <c r="PZ449" s="11"/>
      <c r="QA449" s="11"/>
      <c r="QB449" s="11"/>
      <c r="QC449" s="11"/>
      <c r="QD449" s="11"/>
      <c r="QE449" s="11"/>
      <c r="QF449" s="11"/>
      <c r="QG449" s="11"/>
      <c r="QH449" s="11"/>
      <c r="QI449" s="11"/>
      <c r="QJ449" s="11"/>
      <c r="QK449" s="11"/>
      <c r="QL449" s="11"/>
      <c r="QM449" s="11"/>
      <c r="QN449" s="11"/>
      <c r="QO449" s="11"/>
      <c r="QP449" s="11"/>
      <c r="QQ449" s="11"/>
      <c r="QR449" s="11"/>
      <c r="QS449" s="11"/>
      <c r="QT449" s="11"/>
      <c r="QU449" s="11"/>
      <c r="QV449" s="11"/>
      <c r="QW449" s="11"/>
      <c r="QX449" s="11"/>
      <c r="QY449" s="11"/>
      <c r="QZ449" s="11"/>
      <c r="RA449" s="11"/>
      <c r="RB449" s="11"/>
      <c r="RC449" s="11"/>
      <c r="RD449" s="11"/>
      <c r="RE449" s="11"/>
      <c r="RF449" s="11"/>
      <c r="RG449" s="11"/>
      <c r="RH449" s="11"/>
      <c r="RI449" s="11"/>
      <c r="RJ449" s="11"/>
      <c r="RK449" s="11"/>
      <c r="RL449" s="11"/>
      <c r="RM449" s="11"/>
      <c r="RN449" s="11"/>
      <c r="RO449" s="11"/>
      <c r="RP449" s="11"/>
      <c r="RQ449" s="11"/>
      <c r="RR449" s="11"/>
      <c r="RS449" s="11"/>
      <c r="RT449" s="11"/>
      <c r="RU449" s="11"/>
      <c r="RV449" s="11"/>
      <c r="RW449" s="11"/>
      <c r="RX449" s="11"/>
      <c r="RY449" s="11"/>
      <c r="RZ449" s="11"/>
      <c r="SA449" s="11"/>
      <c r="SB449" s="11"/>
      <c r="SC449" s="11"/>
      <c r="SD449" s="11"/>
      <c r="SE449" s="11"/>
      <c r="SF449" s="11"/>
      <c r="SG449" s="11"/>
      <c r="SH449" s="11">
        <v>1</v>
      </c>
    </row>
    <row r="450" spans="1:502" x14ac:dyDescent="0.2">
      <c r="A450" s="10">
        <v>5.1772967518337216E-2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>
        <v>1</v>
      </c>
      <c r="GP450" s="11"/>
      <c r="GQ450" s="11"/>
      <c r="GR450" s="11"/>
      <c r="GS450" s="11"/>
      <c r="GT450" s="11"/>
      <c r="GU450" s="11"/>
      <c r="GV450" s="11"/>
      <c r="GW450" s="11"/>
      <c r="GX450" s="11"/>
      <c r="GY450" s="11"/>
      <c r="GZ450" s="11"/>
      <c r="HA450" s="11"/>
      <c r="HB450" s="11"/>
      <c r="HC450" s="11"/>
      <c r="HD450" s="11"/>
      <c r="HE450" s="11"/>
      <c r="HF450" s="11"/>
      <c r="HG450" s="11"/>
      <c r="HH450" s="11"/>
      <c r="HI450" s="11"/>
      <c r="HJ450" s="11"/>
      <c r="HK450" s="11"/>
      <c r="HL450" s="11"/>
      <c r="HM450" s="11"/>
      <c r="HN450" s="11"/>
      <c r="HO450" s="11"/>
      <c r="HP450" s="11"/>
      <c r="HQ450" s="11"/>
      <c r="HR450" s="11"/>
      <c r="HS450" s="11"/>
      <c r="HT450" s="11"/>
      <c r="HU450" s="11"/>
      <c r="HV450" s="11"/>
      <c r="HW450" s="11"/>
      <c r="HX450" s="11"/>
      <c r="HY450" s="11"/>
      <c r="HZ450" s="11"/>
      <c r="IA450" s="11"/>
      <c r="IB450" s="11"/>
      <c r="IC450" s="11"/>
      <c r="ID450" s="11"/>
      <c r="IE450" s="11"/>
      <c r="IF450" s="11"/>
      <c r="IG450" s="11"/>
      <c r="IH450" s="11"/>
      <c r="II450" s="11"/>
      <c r="IJ450" s="11"/>
      <c r="IK450" s="11"/>
      <c r="IL450" s="11"/>
      <c r="IM450" s="11"/>
      <c r="IN450" s="11"/>
      <c r="IO450" s="11"/>
      <c r="IP450" s="11"/>
      <c r="IQ450" s="11"/>
      <c r="IR450" s="11"/>
      <c r="IS450" s="11"/>
      <c r="IT450" s="11"/>
      <c r="IU450" s="11"/>
      <c r="IV450" s="11"/>
      <c r="IW450" s="11"/>
      <c r="IX450" s="11"/>
      <c r="IY450" s="11"/>
      <c r="IZ450" s="11"/>
      <c r="JA450" s="11"/>
      <c r="JB450" s="11"/>
      <c r="JC450" s="11"/>
      <c r="JD450" s="11"/>
      <c r="JE450" s="11"/>
      <c r="JF450" s="11"/>
      <c r="JG450" s="11"/>
      <c r="JH450" s="11"/>
      <c r="JI450" s="11"/>
      <c r="JJ450" s="11"/>
      <c r="JK450" s="11"/>
      <c r="JL450" s="11"/>
      <c r="JM450" s="11"/>
      <c r="JN450" s="11"/>
      <c r="JO450" s="11"/>
      <c r="JP450" s="11"/>
      <c r="JQ450" s="11"/>
      <c r="JR450" s="11"/>
      <c r="JS450" s="11"/>
      <c r="JT450" s="11"/>
      <c r="JU450" s="11"/>
      <c r="JV450" s="11"/>
      <c r="JW450" s="11"/>
      <c r="JX450" s="11"/>
      <c r="JY450" s="11"/>
      <c r="JZ450" s="11"/>
      <c r="KA450" s="11"/>
      <c r="KB450" s="11"/>
      <c r="KC450" s="11"/>
      <c r="KD450" s="11"/>
      <c r="KE450" s="11"/>
      <c r="KF450" s="11"/>
      <c r="KG450" s="11"/>
      <c r="KH450" s="11"/>
      <c r="KI450" s="11"/>
      <c r="KJ450" s="11"/>
      <c r="KK450" s="11"/>
      <c r="KL450" s="11"/>
      <c r="KM450" s="11"/>
      <c r="KN450" s="11"/>
      <c r="KO450" s="11"/>
      <c r="KP450" s="11"/>
      <c r="KQ450" s="11"/>
      <c r="KR450" s="11"/>
      <c r="KS450" s="11"/>
      <c r="KT450" s="11"/>
      <c r="KU450" s="11"/>
      <c r="KV450" s="11"/>
      <c r="KW450" s="11"/>
      <c r="KX450" s="11"/>
      <c r="KY450" s="11"/>
      <c r="KZ450" s="11"/>
      <c r="LA450" s="11"/>
      <c r="LB450" s="11"/>
      <c r="LC450" s="11"/>
      <c r="LD450" s="11"/>
      <c r="LE450" s="11"/>
      <c r="LF450" s="11"/>
      <c r="LG450" s="11"/>
      <c r="LH450" s="11"/>
      <c r="LI450" s="11"/>
      <c r="LJ450" s="11"/>
      <c r="LK450" s="11"/>
      <c r="LL450" s="11"/>
      <c r="LM450" s="11"/>
      <c r="LN450" s="11"/>
      <c r="LO450" s="11"/>
      <c r="LP450" s="11"/>
      <c r="LQ450" s="11"/>
      <c r="LR450" s="11"/>
      <c r="LS450" s="11"/>
      <c r="LT450" s="11"/>
      <c r="LU450" s="11"/>
      <c r="LV450" s="11"/>
      <c r="LW450" s="11"/>
      <c r="LX450" s="11"/>
      <c r="LY450" s="11"/>
      <c r="LZ450" s="11"/>
      <c r="MA450" s="11"/>
      <c r="MB450" s="11"/>
      <c r="MC450" s="11"/>
      <c r="MD450" s="11"/>
      <c r="ME450" s="11"/>
      <c r="MF450" s="11"/>
      <c r="MG450" s="11"/>
      <c r="MH450" s="11"/>
      <c r="MI450" s="11"/>
      <c r="MJ450" s="11"/>
      <c r="MK450" s="11"/>
      <c r="ML450" s="11"/>
      <c r="MM450" s="11"/>
      <c r="MN450" s="11"/>
      <c r="MO450" s="11"/>
      <c r="MP450" s="11"/>
      <c r="MQ450" s="11"/>
      <c r="MR450" s="11"/>
      <c r="MS450" s="11"/>
      <c r="MT450" s="11"/>
      <c r="MU450" s="11"/>
      <c r="MV450" s="11"/>
      <c r="MW450" s="11"/>
      <c r="MX450" s="11"/>
      <c r="MY450" s="11"/>
      <c r="MZ450" s="11"/>
      <c r="NA450" s="11"/>
      <c r="NB450" s="11"/>
      <c r="NC450" s="11"/>
      <c r="ND450" s="11"/>
      <c r="NE450" s="11"/>
      <c r="NF450" s="11"/>
      <c r="NG450" s="11"/>
      <c r="NH450" s="11"/>
      <c r="NI450" s="11"/>
      <c r="NJ450" s="11"/>
      <c r="NK450" s="11"/>
      <c r="NL450" s="11"/>
      <c r="NM450" s="11"/>
      <c r="NN450" s="11"/>
      <c r="NO450" s="11"/>
      <c r="NP450" s="11"/>
      <c r="NQ450" s="11"/>
      <c r="NR450" s="11"/>
      <c r="NS450" s="11"/>
      <c r="NT450" s="11"/>
      <c r="NU450" s="11"/>
      <c r="NV450" s="11"/>
      <c r="NW450" s="11"/>
      <c r="NX450" s="11"/>
      <c r="NY450" s="11"/>
      <c r="NZ450" s="11"/>
      <c r="OA450" s="11"/>
      <c r="OB450" s="11"/>
      <c r="OC450" s="11"/>
      <c r="OD450" s="11"/>
      <c r="OE450" s="11"/>
      <c r="OF450" s="11"/>
      <c r="OG450" s="11"/>
      <c r="OH450" s="11"/>
      <c r="OI450" s="11"/>
      <c r="OJ450" s="11"/>
      <c r="OK450" s="11"/>
      <c r="OL450" s="11"/>
      <c r="OM450" s="11"/>
      <c r="ON450" s="11"/>
      <c r="OO450" s="11"/>
      <c r="OP450" s="11"/>
      <c r="OQ450" s="11"/>
      <c r="OR450" s="11"/>
      <c r="OS450" s="11"/>
      <c r="OT450" s="11"/>
      <c r="OU450" s="11"/>
      <c r="OV450" s="11"/>
      <c r="OW450" s="11"/>
      <c r="OX450" s="11"/>
      <c r="OY450" s="11"/>
      <c r="OZ450" s="11"/>
      <c r="PA450" s="11"/>
      <c r="PB450" s="11"/>
      <c r="PC450" s="11"/>
      <c r="PD450" s="11"/>
      <c r="PE450" s="11"/>
      <c r="PF450" s="11"/>
      <c r="PG450" s="11"/>
      <c r="PH450" s="11"/>
      <c r="PI450" s="11"/>
      <c r="PJ450" s="11"/>
      <c r="PK450" s="11"/>
      <c r="PL450" s="11"/>
      <c r="PM450" s="11"/>
      <c r="PN450" s="11"/>
      <c r="PO450" s="11"/>
      <c r="PP450" s="11"/>
      <c r="PQ450" s="11"/>
      <c r="PR450" s="11"/>
      <c r="PS450" s="11"/>
      <c r="PT450" s="11"/>
      <c r="PU450" s="11"/>
      <c r="PV450" s="11"/>
      <c r="PW450" s="11"/>
      <c r="PX450" s="11"/>
      <c r="PY450" s="11"/>
      <c r="PZ450" s="11"/>
      <c r="QA450" s="11"/>
      <c r="QB450" s="11"/>
      <c r="QC450" s="11"/>
      <c r="QD450" s="11"/>
      <c r="QE450" s="11"/>
      <c r="QF450" s="11"/>
      <c r="QG450" s="11"/>
      <c r="QH450" s="11"/>
      <c r="QI450" s="11"/>
      <c r="QJ450" s="11"/>
      <c r="QK450" s="11"/>
      <c r="QL450" s="11"/>
      <c r="QM450" s="11"/>
      <c r="QN450" s="11"/>
      <c r="QO450" s="11"/>
      <c r="QP450" s="11"/>
      <c r="QQ450" s="11"/>
      <c r="QR450" s="11"/>
      <c r="QS450" s="11"/>
      <c r="QT450" s="11"/>
      <c r="QU450" s="11"/>
      <c r="QV450" s="11"/>
      <c r="QW450" s="11"/>
      <c r="QX450" s="11"/>
      <c r="QY450" s="11"/>
      <c r="QZ450" s="11"/>
      <c r="RA450" s="11"/>
      <c r="RB450" s="11"/>
      <c r="RC450" s="11"/>
      <c r="RD450" s="11"/>
      <c r="RE450" s="11"/>
      <c r="RF450" s="11"/>
      <c r="RG450" s="11"/>
      <c r="RH450" s="11"/>
      <c r="RI450" s="11"/>
      <c r="RJ450" s="11"/>
      <c r="RK450" s="11"/>
      <c r="RL450" s="11"/>
      <c r="RM450" s="11"/>
      <c r="RN450" s="11"/>
      <c r="RO450" s="11"/>
      <c r="RP450" s="11"/>
      <c r="RQ450" s="11"/>
      <c r="RR450" s="11"/>
      <c r="RS450" s="11"/>
      <c r="RT450" s="11"/>
      <c r="RU450" s="11"/>
      <c r="RV450" s="11"/>
      <c r="RW450" s="11"/>
      <c r="RX450" s="11"/>
      <c r="RY450" s="11"/>
      <c r="RZ450" s="11"/>
      <c r="SA450" s="11"/>
      <c r="SB450" s="11"/>
      <c r="SC450" s="11"/>
      <c r="SD450" s="11"/>
      <c r="SE450" s="11"/>
      <c r="SF450" s="11"/>
      <c r="SG450" s="11"/>
      <c r="SH450" s="11">
        <v>1</v>
      </c>
    </row>
    <row r="451" spans="1:502" x14ac:dyDescent="0.2">
      <c r="A451" s="10">
        <v>5.2086161798138041E-2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>
        <v>1</v>
      </c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  <c r="FW451" s="11"/>
      <c r="FX451" s="11"/>
      <c r="FY451" s="11"/>
      <c r="FZ451" s="11"/>
      <c r="GA451" s="11"/>
      <c r="GB451" s="11"/>
      <c r="GC451" s="11"/>
      <c r="GD451" s="11"/>
      <c r="GE451" s="11"/>
      <c r="GF451" s="11"/>
      <c r="GG451" s="11"/>
      <c r="GH451" s="11"/>
      <c r="GI451" s="11"/>
      <c r="GJ451" s="11"/>
      <c r="GK451" s="11"/>
      <c r="GL451" s="11"/>
      <c r="GM451" s="11"/>
      <c r="GN451" s="11"/>
      <c r="GO451" s="11"/>
      <c r="GP451" s="11"/>
      <c r="GQ451" s="11"/>
      <c r="GR451" s="11"/>
      <c r="GS451" s="11"/>
      <c r="GT451" s="11"/>
      <c r="GU451" s="11"/>
      <c r="GV451" s="11"/>
      <c r="GW451" s="11"/>
      <c r="GX451" s="11"/>
      <c r="GY451" s="11"/>
      <c r="GZ451" s="11"/>
      <c r="HA451" s="11"/>
      <c r="HB451" s="11"/>
      <c r="HC451" s="11"/>
      <c r="HD451" s="11"/>
      <c r="HE451" s="11"/>
      <c r="HF451" s="11"/>
      <c r="HG451" s="11"/>
      <c r="HH451" s="11"/>
      <c r="HI451" s="11"/>
      <c r="HJ451" s="11"/>
      <c r="HK451" s="11"/>
      <c r="HL451" s="11"/>
      <c r="HM451" s="11"/>
      <c r="HN451" s="11"/>
      <c r="HO451" s="11"/>
      <c r="HP451" s="11"/>
      <c r="HQ451" s="11"/>
      <c r="HR451" s="11"/>
      <c r="HS451" s="11"/>
      <c r="HT451" s="11"/>
      <c r="HU451" s="11"/>
      <c r="HV451" s="11"/>
      <c r="HW451" s="11"/>
      <c r="HX451" s="11"/>
      <c r="HY451" s="11"/>
      <c r="HZ451" s="11"/>
      <c r="IA451" s="11"/>
      <c r="IB451" s="11"/>
      <c r="IC451" s="11"/>
      <c r="ID451" s="11"/>
      <c r="IE451" s="11"/>
      <c r="IF451" s="11"/>
      <c r="IG451" s="11"/>
      <c r="IH451" s="11"/>
      <c r="II451" s="11"/>
      <c r="IJ451" s="11"/>
      <c r="IK451" s="11"/>
      <c r="IL451" s="11"/>
      <c r="IM451" s="11"/>
      <c r="IN451" s="11"/>
      <c r="IO451" s="11"/>
      <c r="IP451" s="11"/>
      <c r="IQ451" s="11"/>
      <c r="IR451" s="11"/>
      <c r="IS451" s="11"/>
      <c r="IT451" s="11"/>
      <c r="IU451" s="11"/>
      <c r="IV451" s="11"/>
      <c r="IW451" s="11"/>
      <c r="IX451" s="11"/>
      <c r="IY451" s="11"/>
      <c r="IZ451" s="11"/>
      <c r="JA451" s="11"/>
      <c r="JB451" s="11"/>
      <c r="JC451" s="11"/>
      <c r="JD451" s="11"/>
      <c r="JE451" s="11"/>
      <c r="JF451" s="11"/>
      <c r="JG451" s="11"/>
      <c r="JH451" s="11"/>
      <c r="JI451" s="11"/>
      <c r="JJ451" s="11"/>
      <c r="JK451" s="11"/>
      <c r="JL451" s="11"/>
      <c r="JM451" s="11"/>
      <c r="JN451" s="11"/>
      <c r="JO451" s="11"/>
      <c r="JP451" s="11"/>
      <c r="JQ451" s="11"/>
      <c r="JR451" s="11"/>
      <c r="JS451" s="11"/>
      <c r="JT451" s="11"/>
      <c r="JU451" s="11"/>
      <c r="JV451" s="11"/>
      <c r="JW451" s="11"/>
      <c r="JX451" s="11"/>
      <c r="JY451" s="11"/>
      <c r="JZ451" s="11"/>
      <c r="KA451" s="11"/>
      <c r="KB451" s="11"/>
      <c r="KC451" s="11"/>
      <c r="KD451" s="11"/>
      <c r="KE451" s="11"/>
      <c r="KF451" s="11"/>
      <c r="KG451" s="11"/>
      <c r="KH451" s="11"/>
      <c r="KI451" s="11"/>
      <c r="KJ451" s="11"/>
      <c r="KK451" s="11"/>
      <c r="KL451" s="11"/>
      <c r="KM451" s="11"/>
      <c r="KN451" s="11"/>
      <c r="KO451" s="11"/>
      <c r="KP451" s="11"/>
      <c r="KQ451" s="11"/>
      <c r="KR451" s="11"/>
      <c r="KS451" s="11"/>
      <c r="KT451" s="11"/>
      <c r="KU451" s="11"/>
      <c r="KV451" s="11"/>
      <c r="KW451" s="11"/>
      <c r="KX451" s="11"/>
      <c r="KY451" s="11"/>
      <c r="KZ451" s="11"/>
      <c r="LA451" s="11"/>
      <c r="LB451" s="11"/>
      <c r="LC451" s="11"/>
      <c r="LD451" s="11"/>
      <c r="LE451" s="11"/>
      <c r="LF451" s="11"/>
      <c r="LG451" s="11"/>
      <c r="LH451" s="11"/>
      <c r="LI451" s="11"/>
      <c r="LJ451" s="11"/>
      <c r="LK451" s="11"/>
      <c r="LL451" s="11"/>
      <c r="LM451" s="11"/>
      <c r="LN451" s="11"/>
      <c r="LO451" s="11"/>
      <c r="LP451" s="11"/>
      <c r="LQ451" s="11"/>
      <c r="LR451" s="11"/>
      <c r="LS451" s="11"/>
      <c r="LT451" s="11"/>
      <c r="LU451" s="11"/>
      <c r="LV451" s="11"/>
      <c r="LW451" s="11"/>
      <c r="LX451" s="11"/>
      <c r="LY451" s="11"/>
      <c r="LZ451" s="11"/>
      <c r="MA451" s="11"/>
      <c r="MB451" s="11"/>
      <c r="MC451" s="11"/>
      <c r="MD451" s="11"/>
      <c r="ME451" s="11"/>
      <c r="MF451" s="11"/>
      <c r="MG451" s="11"/>
      <c r="MH451" s="11"/>
      <c r="MI451" s="11"/>
      <c r="MJ451" s="11"/>
      <c r="MK451" s="11"/>
      <c r="ML451" s="11"/>
      <c r="MM451" s="11"/>
      <c r="MN451" s="11"/>
      <c r="MO451" s="11"/>
      <c r="MP451" s="11"/>
      <c r="MQ451" s="11"/>
      <c r="MR451" s="11"/>
      <c r="MS451" s="11"/>
      <c r="MT451" s="11"/>
      <c r="MU451" s="11"/>
      <c r="MV451" s="11"/>
      <c r="MW451" s="11"/>
      <c r="MX451" s="11"/>
      <c r="MY451" s="11"/>
      <c r="MZ451" s="11"/>
      <c r="NA451" s="11"/>
      <c r="NB451" s="11"/>
      <c r="NC451" s="11"/>
      <c r="ND451" s="11"/>
      <c r="NE451" s="11"/>
      <c r="NF451" s="11"/>
      <c r="NG451" s="11"/>
      <c r="NH451" s="11"/>
      <c r="NI451" s="11"/>
      <c r="NJ451" s="11"/>
      <c r="NK451" s="11"/>
      <c r="NL451" s="11"/>
      <c r="NM451" s="11"/>
      <c r="NN451" s="11"/>
      <c r="NO451" s="11"/>
      <c r="NP451" s="11"/>
      <c r="NQ451" s="11"/>
      <c r="NR451" s="11"/>
      <c r="NS451" s="11"/>
      <c r="NT451" s="11"/>
      <c r="NU451" s="11"/>
      <c r="NV451" s="11"/>
      <c r="NW451" s="11"/>
      <c r="NX451" s="11"/>
      <c r="NY451" s="11"/>
      <c r="NZ451" s="11"/>
      <c r="OA451" s="11"/>
      <c r="OB451" s="11"/>
      <c r="OC451" s="11"/>
      <c r="OD451" s="11"/>
      <c r="OE451" s="11"/>
      <c r="OF451" s="11"/>
      <c r="OG451" s="11"/>
      <c r="OH451" s="11"/>
      <c r="OI451" s="11"/>
      <c r="OJ451" s="11"/>
      <c r="OK451" s="11"/>
      <c r="OL451" s="11"/>
      <c r="OM451" s="11"/>
      <c r="ON451" s="11"/>
      <c r="OO451" s="11"/>
      <c r="OP451" s="11"/>
      <c r="OQ451" s="11"/>
      <c r="OR451" s="11"/>
      <c r="OS451" s="11"/>
      <c r="OT451" s="11"/>
      <c r="OU451" s="11"/>
      <c r="OV451" s="11"/>
      <c r="OW451" s="11"/>
      <c r="OX451" s="11"/>
      <c r="OY451" s="11"/>
      <c r="OZ451" s="11"/>
      <c r="PA451" s="11"/>
      <c r="PB451" s="11"/>
      <c r="PC451" s="11"/>
      <c r="PD451" s="11"/>
      <c r="PE451" s="11"/>
      <c r="PF451" s="11"/>
      <c r="PG451" s="11"/>
      <c r="PH451" s="11"/>
      <c r="PI451" s="11"/>
      <c r="PJ451" s="11"/>
      <c r="PK451" s="11"/>
      <c r="PL451" s="11"/>
      <c r="PM451" s="11"/>
      <c r="PN451" s="11"/>
      <c r="PO451" s="11"/>
      <c r="PP451" s="11"/>
      <c r="PQ451" s="11"/>
      <c r="PR451" s="11"/>
      <c r="PS451" s="11"/>
      <c r="PT451" s="11"/>
      <c r="PU451" s="11"/>
      <c r="PV451" s="11"/>
      <c r="PW451" s="11"/>
      <c r="PX451" s="11"/>
      <c r="PY451" s="11"/>
      <c r="PZ451" s="11"/>
      <c r="QA451" s="11"/>
      <c r="QB451" s="11"/>
      <c r="QC451" s="11"/>
      <c r="QD451" s="11"/>
      <c r="QE451" s="11"/>
      <c r="QF451" s="11"/>
      <c r="QG451" s="11"/>
      <c r="QH451" s="11"/>
      <c r="QI451" s="11"/>
      <c r="QJ451" s="11"/>
      <c r="QK451" s="11"/>
      <c r="QL451" s="11"/>
      <c r="QM451" s="11"/>
      <c r="QN451" s="11"/>
      <c r="QO451" s="11"/>
      <c r="QP451" s="11"/>
      <c r="QQ451" s="11"/>
      <c r="QR451" s="11"/>
      <c r="QS451" s="11"/>
      <c r="QT451" s="11"/>
      <c r="QU451" s="11"/>
      <c r="QV451" s="11"/>
      <c r="QW451" s="11"/>
      <c r="QX451" s="11"/>
      <c r="QY451" s="11"/>
      <c r="QZ451" s="11"/>
      <c r="RA451" s="11"/>
      <c r="RB451" s="11"/>
      <c r="RC451" s="11"/>
      <c r="RD451" s="11"/>
      <c r="RE451" s="11"/>
      <c r="RF451" s="11"/>
      <c r="RG451" s="11"/>
      <c r="RH451" s="11"/>
      <c r="RI451" s="11"/>
      <c r="RJ451" s="11"/>
      <c r="RK451" s="11"/>
      <c r="RL451" s="11"/>
      <c r="RM451" s="11"/>
      <c r="RN451" s="11"/>
      <c r="RO451" s="11"/>
      <c r="RP451" s="11"/>
      <c r="RQ451" s="11"/>
      <c r="RR451" s="11"/>
      <c r="RS451" s="11"/>
      <c r="RT451" s="11"/>
      <c r="RU451" s="11"/>
      <c r="RV451" s="11"/>
      <c r="RW451" s="11"/>
      <c r="RX451" s="11"/>
      <c r="RY451" s="11"/>
      <c r="RZ451" s="11"/>
      <c r="SA451" s="11"/>
      <c r="SB451" s="11"/>
      <c r="SC451" s="11"/>
      <c r="SD451" s="11"/>
      <c r="SE451" s="11"/>
      <c r="SF451" s="11"/>
      <c r="SG451" s="11"/>
      <c r="SH451" s="11">
        <v>1</v>
      </c>
    </row>
    <row r="452" spans="1:502" x14ac:dyDescent="0.2">
      <c r="A452" s="10">
        <v>5.2292276160369175E-2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>
        <v>1</v>
      </c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1"/>
      <c r="FM452" s="11"/>
      <c r="FN452" s="11"/>
      <c r="FO452" s="11"/>
      <c r="FP452" s="11"/>
      <c r="FQ452" s="11"/>
      <c r="FR452" s="11"/>
      <c r="FS452" s="11"/>
      <c r="FT452" s="11"/>
      <c r="FU452" s="11"/>
      <c r="FV452" s="11"/>
      <c r="FW452" s="11"/>
      <c r="FX452" s="11"/>
      <c r="FY452" s="11"/>
      <c r="FZ452" s="11"/>
      <c r="GA452" s="11"/>
      <c r="GB452" s="11"/>
      <c r="GC452" s="11"/>
      <c r="GD452" s="11"/>
      <c r="GE452" s="11"/>
      <c r="GF452" s="11"/>
      <c r="GG452" s="11"/>
      <c r="GH452" s="11"/>
      <c r="GI452" s="11"/>
      <c r="GJ452" s="11"/>
      <c r="GK452" s="11"/>
      <c r="GL452" s="11"/>
      <c r="GM452" s="11"/>
      <c r="GN452" s="11"/>
      <c r="GO452" s="11"/>
      <c r="GP452" s="11"/>
      <c r="GQ452" s="11"/>
      <c r="GR452" s="11"/>
      <c r="GS452" s="11"/>
      <c r="GT452" s="11"/>
      <c r="GU452" s="11"/>
      <c r="GV452" s="11"/>
      <c r="GW452" s="11"/>
      <c r="GX452" s="11"/>
      <c r="GY452" s="11"/>
      <c r="GZ452" s="11"/>
      <c r="HA452" s="11"/>
      <c r="HB452" s="11"/>
      <c r="HC452" s="11"/>
      <c r="HD452" s="11"/>
      <c r="HE452" s="11"/>
      <c r="HF452" s="11"/>
      <c r="HG452" s="11"/>
      <c r="HH452" s="11"/>
      <c r="HI452" s="11"/>
      <c r="HJ452" s="11"/>
      <c r="HK452" s="11"/>
      <c r="HL452" s="11"/>
      <c r="HM452" s="11"/>
      <c r="HN452" s="11"/>
      <c r="HO452" s="11"/>
      <c r="HP452" s="11"/>
      <c r="HQ452" s="11"/>
      <c r="HR452" s="11"/>
      <c r="HS452" s="11"/>
      <c r="HT452" s="11"/>
      <c r="HU452" s="11"/>
      <c r="HV452" s="11"/>
      <c r="HW452" s="11"/>
      <c r="HX452" s="11"/>
      <c r="HY452" s="11"/>
      <c r="HZ452" s="11"/>
      <c r="IA452" s="11"/>
      <c r="IB452" s="11"/>
      <c r="IC452" s="11"/>
      <c r="ID452" s="11"/>
      <c r="IE452" s="11"/>
      <c r="IF452" s="11"/>
      <c r="IG452" s="11"/>
      <c r="IH452" s="11"/>
      <c r="II452" s="11"/>
      <c r="IJ452" s="11"/>
      <c r="IK452" s="11"/>
      <c r="IL452" s="11"/>
      <c r="IM452" s="11"/>
      <c r="IN452" s="11"/>
      <c r="IO452" s="11"/>
      <c r="IP452" s="11"/>
      <c r="IQ452" s="11"/>
      <c r="IR452" s="11"/>
      <c r="IS452" s="11"/>
      <c r="IT452" s="11"/>
      <c r="IU452" s="11"/>
      <c r="IV452" s="11"/>
      <c r="IW452" s="11"/>
      <c r="IX452" s="11"/>
      <c r="IY452" s="11"/>
      <c r="IZ452" s="11"/>
      <c r="JA452" s="11"/>
      <c r="JB452" s="11"/>
      <c r="JC452" s="11"/>
      <c r="JD452" s="11"/>
      <c r="JE452" s="11"/>
      <c r="JF452" s="11"/>
      <c r="JG452" s="11"/>
      <c r="JH452" s="11"/>
      <c r="JI452" s="11"/>
      <c r="JJ452" s="11"/>
      <c r="JK452" s="11"/>
      <c r="JL452" s="11"/>
      <c r="JM452" s="11"/>
      <c r="JN452" s="11"/>
      <c r="JO452" s="11"/>
      <c r="JP452" s="11"/>
      <c r="JQ452" s="11"/>
      <c r="JR452" s="11"/>
      <c r="JS452" s="11"/>
      <c r="JT452" s="11"/>
      <c r="JU452" s="11"/>
      <c r="JV452" s="11"/>
      <c r="JW452" s="11"/>
      <c r="JX452" s="11"/>
      <c r="JY452" s="11"/>
      <c r="JZ452" s="11"/>
      <c r="KA452" s="11"/>
      <c r="KB452" s="11"/>
      <c r="KC452" s="11"/>
      <c r="KD452" s="11"/>
      <c r="KE452" s="11"/>
      <c r="KF452" s="11"/>
      <c r="KG452" s="11"/>
      <c r="KH452" s="11"/>
      <c r="KI452" s="11"/>
      <c r="KJ452" s="11"/>
      <c r="KK452" s="11"/>
      <c r="KL452" s="11"/>
      <c r="KM452" s="11"/>
      <c r="KN452" s="11"/>
      <c r="KO452" s="11"/>
      <c r="KP452" s="11"/>
      <c r="KQ452" s="11"/>
      <c r="KR452" s="11"/>
      <c r="KS452" s="11"/>
      <c r="KT452" s="11"/>
      <c r="KU452" s="11"/>
      <c r="KV452" s="11"/>
      <c r="KW452" s="11"/>
      <c r="KX452" s="11"/>
      <c r="KY452" s="11"/>
      <c r="KZ452" s="11"/>
      <c r="LA452" s="11"/>
      <c r="LB452" s="11"/>
      <c r="LC452" s="11"/>
      <c r="LD452" s="11"/>
      <c r="LE452" s="11"/>
      <c r="LF452" s="11"/>
      <c r="LG452" s="11"/>
      <c r="LH452" s="11"/>
      <c r="LI452" s="11"/>
      <c r="LJ452" s="11"/>
      <c r="LK452" s="11"/>
      <c r="LL452" s="11"/>
      <c r="LM452" s="11"/>
      <c r="LN452" s="11"/>
      <c r="LO452" s="11"/>
      <c r="LP452" s="11"/>
      <c r="LQ452" s="11"/>
      <c r="LR452" s="11"/>
      <c r="LS452" s="11"/>
      <c r="LT452" s="11"/>
      <c r="LU452" s="11"/>
      <c r="LV452" s="11"/>
      <c r="LW452" s="11"/>
      <c r="LX452" s="11"/>
      <c r="LY452" s="11"/>
      <c r="LZ452" s="11"/>
      <c r="MA452" s="11"/>
      <c r="MB452" s="11"/>
      <c r="MC452" s="11"/>
      <c r="MD452" s="11"/>
      <c r="ME452" s="11"/>
      <c r="MF452" s="11"/>
      <c r="MG452" s="11"/>
      <c r="MH452" s="11"/>
      <c r="MI452" s="11"/>
      <c r="MJ452" s="11"/>
      <c r="MK452" s="11"/>
      <c r="ML452" s="11"/>
      <c r="MM452" s="11"/>
      <c r="MN452" s="11"/>
      <c r="MO452" s="11"/>
      <c r="MP452" s="11"/>
      <c r="MQ452" s="11"/>
      <c r="MR452" s="11"/>
      <c r="MS452" s="11"/>
      <c r="MT452" s="11"/>
      <c r="MU452" s="11"/>
      <c r="MV452" s="11"/>
      <c r="MW452" s="11"/>
      <c r="MX452" s="11"/>
      <c r="MY452" s="11"/>
      <c r="MZ452" s="11"/>
      <c r="NA452" s="11"/>
      <c r="NB452" s="11"/>
      <c r="NC452" s="11"/>
      <c r="ND452" s="11"/>
      <c r="NE452" s="11"/>
      <c r="NF452" s="11"/>
      <c r="NG452" s="11"/>
      <c r="NH452" s="11"/>
      <c r="NI452" s="11"/>
      <c r="NJ452" s="11"/>
      <c r="NK452" s="11"/>
      <c r="NL452" s="11"/>
      <c r="NM452" s="11"/>
      <c r="NN452" s="11"/>
      <c r="NO452" s="11"/>
      <c r="NP452" s="11"/>
      <c r="NQ452" s="11"/>
      <c r="NR452" s="11"/>
      <c r="NS452" s="11"/>
      <c r="NT452" s="11"/>
      <c r="NU452" s="11"/>
      <c r="NV452" s="11"/>
      <c r="NW452" s="11"/>
      <c r="NX452" s="11"/>
      <c r="NY452" s="11"/>
      <c r="NZ452" s="11"/>
      <c r="OA452" s="11"/>
      <c r="OB452" s="11"/>
      <c r="OC452" s="11"/>
      <c r="OD452" s="11"/>
      <c r="OE452" s="11"/>
      <c r="OF452" s="11"/>
      <c r="OG452" s="11"/>
      <c r="OH452" s="11"/>
      <c r="OI452" s="11"/>
      <c r="OJ452" s="11"/>
      <c r="OK452" s="11"/>
      <c r="OL452" s="11"/>
      <c r="OM452" s="11"/>
      <c r="ON452" s="11"/>
      <c r="OO452" s="11"/>
      <c r="OP452" s="11"/>
      <c r="OQ452" s="11"/>
      <c r="OR452" s="11"/>
      <c r="OS452" s="11"/>
      <c r="OT452" s="11"/>
      <c r="OU452" s="11"/>
      <c r="OV452" s="11"/>
      <c r="OW452" s="11"/>
      <c r="OX452" s="11"/>
      <c r="OY452" s="11"/>
      <c r="OZ452" s="11"/>
      <c r="PA452" s="11"/>
      <c r="PB452" s="11"/>
      <c r="PC452" s="11"/>
      <c r="PD452" s="11"/>
      <c r="PE452" s="11"/>
      <c r="PF452" s="11"/>
      <c r="PG452" s="11"/>
      <c r="PH452" s="11"/>
      <c r="PI452" s="11"/>
      <c r="PJ452" s="11"/>
      <c r="PK452" s="11"/>
      <c r="PL452" s="11"/>
      <c r="PM452" s="11"/>
      <c r="PN452" s="11"/>
      <c r="PO452" s="11"/>
      <c r="PP452" s="11"/>
      <c r="PQ452" s="11"/>
      <c r="PR452" s="11"/>
      <c r="PS452" s="11"/>
      <c r="PT452" s="11"/>
      <c r="PU452" s="11"/>
      <c r="PV452" s="11"/>
      <c r="PW452" s="11"/>
      <c r="PX452" s="11"/>
      <c r="PY452" s="11"/>
      <c r="PZ452" s="11"/>
      <c r="QA452" s="11"/>
      <c r="QB452" s="11"/>
      <c r="QC452" s="11"/>
      <c r="QD452" s="11"/>
      <c r="QE452" s="11"/>
      <c r="QF452" s="11"/>
      <c r="QG452" s="11"/>
      <c r="QH452" s="11"/>
      <c r="QI452" s="11"/>
      <c r="QJ452" s="11"/>
      <c r="QK452" s="11"/>
      <c r="QL452" s="11"/>
      <c r="QM452" s="11"/>
      <c r="QN452" s="11"/>
      <c r="QO452" s="11"/>
      <c r="QP452" s="11"/>
      <c r="QQ452" s="11"/>
      <c r="QR452" s="11"/>
      <c r="QS452" s="11"/>
      <c r="QT452" s="11"/>
      <c r="QU452" s="11"/>
      <c r="QV452" s="11"/>
      <c r="QW452" s="11"/>
      <c r="QX452" s="11"/>
      <c r="QY452" s="11"/>
      <c r="QZ452" s="11"/>
      <c r="RA452" s="11"/>
      <c r="RB452" s="11"/>
      <c r="RC452" s="11"/>
      <c r="RD452" s="11"/>
      <c r="RE452" s="11"/>
      <c r="RF452" s="11"/>
      <c r="RG452" s="11"/>
      <c r="RH452" s="11"/>
      <c r="RI452" s="11"/>
      <c r="RJ452" s="11"/>
      <c r="RK452" s="11"/>
      <c r="RL452" s="11"/>
      <c r="RM452" s="11"/>
      <c r="RN452" s="11"/>
      <c r="RO452" s="11"/>
      <c r="RP452" s="11"/>
      <c r="RQ452" s="11"/>
      <c r="RR452" s="11"/>
      <c r="RS452" s="11"/>
      <c r="RT452" s="11"/>
      <c r="RU452" s="11"/>
      <c r="RV452" s="11"/>
      <c r="RW452" s="11"/>
      <c r="RX452" s="11"/>
      <c r="RY452" s="11"/>
      <c r="RZ452" s="11"/>
      <c r="SA452" s="11"/>
      <c r="SB452" s="11"/>
      <c r="SC452" s="11"/>
      <c r="SD452" s="11"/>
      <c r="SE452" s="11"/>
      <c r="SF452" s="11"/>
      <c r="SG452" s="11"/>
      <c r="SH452" s="11">
        <v>1</v>
      </c>
    </row>
    <row r="453" spans="1:502" x14ac:dyDescent="0.2">
      <c r="A453" s="10">
        <v>5.2618572553443273E-2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>
        <v>1</v>
      </c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  <c r="FW453" s="11"/>
      <c r="FX453" s="11"/>
      <c r="FY453" s="11"/>
      <c r="FZ453" s="11"/>
      <c r="GA453" s="11"/>
      <c r="GB453" s="11"/>
      <c r="GC453" s="11"/>
      <c r="GD453" s="11"/>
      <c r="GE453" s="11"/>
      <c r="GF453" s="11"/>
      <c r="GG453" s="11"/>
      <c r="GH453" s="11"/>
      <c r="GI453" s="11"/>
      <c r="GJ453" s="11"/>
      <c r="GK453" s="11"/>
      <c r="GL453" s="11"/>
      <c r="GM453" s="11"/>
      <c r="GN453" s="11"/>
      <c r="GO453" s="11"/>
      <c r="GP453" s="11"/>
      <c r="GQ453" s="11"/>
      <c r="GR453" s="11"/>
      <c r="GS453" s="11"/>
      <c r="GT453" s="11"/>
      <c r="GU453" s="11"/>
      <c r="GV453" s="11"/>
      <c r="GW453" s="11"/>
      <c r="GX453" s="11"/>
      <c r="GY453" s="11"/>
      <c r="GZ453" s="11"/>
      <c r="HA453" s="11"/>
      <c r="HB453" s="11"/>
      <c r="HC453" s="11"/>
      <c r="HD453" s="11"/>
      <c r="HE453" s="11"/>
      <c r="HF453" s="11"/>
      <c r="HG453" s="11"/>
      <c r="HH453" s="11"/>
      <c r="HI453" s="11"/>
      <c r="HJ453" s="11"/>
      <c r="HK453" s="11"/>
      <c r="HL453" s="11"/>
      <c r="HM453" s="11"/>
      <c r="HN453" s="11"/>
      <c r="HO453" s="11"/>
      <c r="HP453" s="11"/>
      <c r="HQ453" s="11"/>
      <c r="HR453" s="11"/>
      <c r="HS453" s="11"/>
      <c r="HT453" s="11"/>
      <c r="HU453" s="11"/>
      <c r="HV453" s="11"/>
      <c r="HW453" s="11"/>
      <c r="HX453" s="11"/>
      <c r="HY453" s="11"/>
      <c r="HZ453" s="11"/>
      <c r="IA453" s="11"/>
      <c r="IB453" s="11"/>
      <c r="IC453" s="11"/>
      <c r="ID453" s="11"/>
      <c r="IE453" s="11"/>
      <c r="IF453" s="11"/>
      <c r="IG453" s="11"/>
      <c r="IH453" s="11"/>
      <c r="II453" s="11"/>
      <c r="IJ453" s="11"/>
      <c r="IK453" s="11"/>
      <c r="IL453" s="11"/>
      <c r="IM453" s="11"/>
      <c r="IN453" s="11"/>
      <c r="IO453" s="11"/>
      <c r="IP453" s="11"/>
      <c r="IQ453" s="11"/>
      <c r="IR453" s="11"/>
      <c r="IS453" s="11"/>
      <c r="IT453" s="11"/>
      <c r="IU453" s="11"/>
      <c r="IV453" s="11"/>
      <c r="IW453" s="11"/>
      <c r="IX453" s="11"/>
      <c r="IY453" s="11"/>
      <c r="IZ453" s="11"/>
      <c r="JA453" s="11"/>
      <c r="JB453" s="11"/>
      <c r="JC453" s="11"/>
      <c r="JD453" s="11"/>
      <c r="JE453" s="11"/>
      <c r="JF453" s="11"/>
      <c r="JG453" s="11"/>
      <c r="JH453" s="11"/>
      <c r="JI453" s="11"/>
      <c r="JJ453" s="11"/>
      <c r="JK453" s="11"/>
      <c r="JL453" s="11"/>
      <c r="JM453" s="11"/>
      <c r="JN453" s="11"/>
      <c r="JO453" s="11"/>
      <c r="JP453" s="11"/>
      <c r="JQ453" s="11"/>
      <c r="JR453" s="11"/>
      <c r="JS453" s="11"/>
      <c r="JT453" s="11"/>
      <c r="JU453" s="11"/>
      <c r="JV453" s="11"/>
      <c r="JW453" s="11"/>
      <c r="JX453" s="11"/>
      <c r="JY453" s="11"/>
      <c r="JZ453" s="11"/>
      <c r="KA453" s="11"/>
      <c r="KB453" s="11"/>
      <c r="KC453" s="11"/>
      <c r="KD453" s="11"/>
      <c r="KE453" s="11"/>
      <c r="KF453" s="11"/>
      <c r="KG453" s="11"/>
      <c r="KH453" s="11"/>
      <c r="KI453" s="11"/>
      <c r="KJ453" s="11"/>
      <c r="KK453" s="11"/>
      <c r="KL453" s="11"/>
      <c r="KM453" s="11"/>
      <c r="KN453" s="11"/>
      <c r="KO453" s="11"/>
      <c r="KP453" s="11"/>
      <c r="KQ453" s="11"/>
      <c r="KR453" s="11"/>
      <c r="KS453" s="11"/>
      <c r="KT453" s="11"/>
      <c r="KU453" s="11"/>
      <c r="KV453" s="11"/>
      <c r="KW453" s="11"/>
      <c r="KX453" s="11"/>
      <c r="KY453" s="11"/>
      <c r="KZ453" s="11"/>
      <c r="LA453" s="11"/>
      <c r="LB453" s="11"/>
      <c r="LC453" s="11"/>
      <c r="LD453" s="11"/>
      <c r="LE453" s="11"/>
      <c r="LF453" s="11"/>
      <c r="LG453" s="11"/>
      <c r="LH453" s="11"/>
      <c r="LI453" s="11"/>
      <c r="LJ453" s="11"/>
      <c r="LK453" s="11"/>
      <c r="LL453" s="11"/>
      <c r="LM453" s="11"/>
      <c r="LN453" s="11"/>
      <c r="LO453" s="11"/>
      <c r="LP453" s="11"/>
      <c r="LQ453" s="11"/>
      <c r="LR453" s="11"/>
      <c r="LS453" s="11"/>
      <c r="LT453" s="11"/>
      <c r="LU453" s="11"/>
      <c r="LV453" s="11"/>
      <c r="LW453" s="11"/>
      <c r="LX453" s="11"/>
      <c r="LY453" s="11"/>
      <c r="LZ453" s="11"/>
      <c r="MA453" s="11"/>
      <c r="MB453" s="11"/>
      <c r="MC453" s="11"/>
      <c r="MD453" s="11"/>
      <c r="ME453" s="11"/>
      <c r="MF453" s="11"/>
      <c r="MG453" s="11"/>
      <c r="MH453" s="11"/>
      <c r="MI453" s="11"/>
      <c r="MJ453" s="11"/>
      <c r="MK453" s="11"/>
      <c r="ML453" s="11"/>
      <c r="MM453" s="11"/>
      <c r="MN453" s="11"/>
      <c r="MO453" s="11"/>
      <c r="MP453" s="11"/>
      <c r="MQ453" s="11"/>
      <c r="MR453" s="11"/>
      <c r="MS453" s="11"/>
      <c r="MT453" s="11"/>
      <c r="MU453" s="11"/>
      <c r="MV453" s="11"/>
      <c r="MW453" s="11"/>
      <c r="MX453" s="11"/>
      <c r="MY453" s="11"/>
      <c r="MZ453" s="11"/>
      <c r="NA453" s="11"/>
      <c r="NB453" s="11"/>
      <c r="NC453" s="11"/>
      <c r="ND453" s="11"/>
      <c r="NE453" s="11"/>
      <c r="NF453" s="11"/>
      <c r="NG453" s="11"/>
      <c r="NH453" s="11"/>
      <c r="NI453" s="11"/>
      <c r="NJ453" s="11"/>
      <c r="NK453" s="11"/>
      <c r="NL453" s="11"/>
      <c r="NM453" s="11"/>
      <c r="NN453" s="11"/>
      <c r="NO453" s="11"/>
      <c r="NP453" s="11"/>
      <c r="NQ453" s="11"/>
      <c r="NR453" s="11"/>
      <c r="NS453" s="11"/>
      <c r="NT453" s="11"/>
      <c r="NU453" s="11"/>
      <c r="NV453" s="11"/>
      <c r="NW453" s="11"/>
      <c r="NX453" s="11"/>
      <c r="NY453" s="11"/>
      <c r="NZ453" s="11"/>
      <c r="OA453" s="11"/>
      <c r="OB453" s="11"/>
      <c r="OC453" s="11"/>
      <c r="OD453" s="11"/>
      <c r="OE453" s="11"/>
      <c r="OF453" s="11"/>
      <c r="OG453" s="11"/>
      <c r="OH453" s="11"/>
      <c r="OI453" s="11"/>
      <c r="OJ453" s="11"/>
      <c r="OK453" s="11"/>
      <c r="OL453" s="11"/>
      <c r="OM453" s="11"/>
      <c r="ON453" s="11"/>
      <c r="OO453" s="11"/>
      <c r="OP453" s="11"/>
      <c r="OQ453" s="11"/>
      <c r="OR453" s="11"/>
      <c r="OS453" s="11"/>
      <c r="OT453" s="11"/>
      <c r="OU453" s="11"/>
      <c r="OV453" s="11"/>
      <c r="OW453" s="11"/>
      <c r="OX453" s="11"/>
      <c r="OY453" s="11"/>
      <c r="OZ453" s="11"/>
      <c r="PA453" s="11"/>
      <c r="PB453" s="11"/>
      <c r="PC453" s="11"/>
      <c r="PD453" s="11"/>
      <c r="PE453" s="11"/>
      <c r="PF453" s="11"/>
      <c r="PG453" s="11"/>
      <c r="PH453" s="11"/>
      <c r="PI453" s="11"/>
      <c r="PJ453" s="11"/>
      <c r="PK453" s="11"/>
      <c r="PL453" s="11"/>
      <c r="PM453" s="11"/>
      <c r="PN453" s="11"/>
      <c r="PO453" s="11"/>
      <c r="PP453" s="11"/>
      <c r="PQ453" s="11"/>
      <c r="PR453" s="11"/>
      <c r="PS453" s="11"/>
      <c r="PT453" s="11"/>
      <c r="PU453" s="11"/>
      <c r="PV453" s="11"/>
      <c r="PW453" s="11"/>
      <c r="PX453" s="11"/>
      <c r="PY453" s="11"/>
      <c r="PZ453" s="11"/>
      <c r="QA453" s="11"/>
      <c r="QB453" s="11"/>
      <c r="QC453" s="11"/>
      <c r="QD453" s="11"/>
      <c r="QE453" s="11"/>
      <c r="QF453" s="11"/>
      <c r="QG453" s="11"/>
      <c r="QH453" s="11"/>
      <c r="QI453" s="11"/>
      <c r="QJ453" s="11"/>
      <c r="QK453" s="11"/>
      <c r="QL453" s="11"/>
      <c r="QM453" s="11"/>
      <c r="QN453" s="11"/>
      <c r="QO453" s="11"/>
      <c r="QP453" s="11"/>
      <c r="QQ453" s="11"/>
      <c r="QR453" s="11"/>
      <c r="QS453" s="11"/>
      <c r="QT453" s="11"/>
      <c r="QU453" s="11"/>
      <c r="QV453" s="11"/>
      <c r="QW453" s="11"/>
      <c r="QX453" s="11"/>
      <c r="QY453" s="11"/>
      <c r="QZ453" s="11"/>
      <c r="RA453" s="11"/>
      <c r="RB453" s="11"/>
      <c r="RC453" s="11"/>
      <c r="RD453" s="11"/>
      <c r="RE453" s="11"/>
      <c r="RF453" s="11"/>
      <c r="RG453" s="11"/>
      <c r="RH453" s="11"/>
      <c r="RI453" s="11"/>
      <c r="RJ453" s="11"/>
      <c r="RK453" s="11"/>
      <c r="RL453" s="11"/>
      <c r="RM453" s="11"/>
      <c r="RN453" s="11"/>
      <c r="RO453" s="11"/>
      <c r="RP453" s="11"/>
      <c r="RQ453" s="11"/>
      <c r="RR453" s="11"/>
      <c r="RS453" s="11"/>
      <c r="RT453" s="11"/>
      <c r="RU453" s="11"/>
      <c r="RV453" s="11"/>
      <c r="RW453" s="11"/>
      <c r="RX453" s="11"/>
      <c r="RY453" s="11"/>
      <c r="RZ453" s="11"/>
      <c r="SA453" s="11"/>
      <c r="SB453" s="11"/>
      <c r="SC453" s="11"/>
      <c r="SD453" s="11"/>
      <c r="SE453" s="11"/>
      <c r="SF453" s="11"/>
      <c r="SG453" s="11"/>
      <c r="SH453" s="11">
        <v>1</v>
      </c>
    </row>
    <row r="454" spans="1:502" x14ac:dyDescent="0.2">
      <c r="A454" s="10">
        <v>5.2886270242177201E-2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>
        <v>1</v>
      </c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  <c r="GP454" s="11"/>
      <c r="GQ454" s="11"/>
      <c r="GR454" s="11"/>
      <c r="GS454" s="11"/>
      <c r="GT454" s="11"/>
      <c r="GU454" s="11"/>
      <c r="GV454" s="11"/>
      <c r="GW454" s="11"/>
      <c r="GX454" s="11"/>
      <c r="GY454" s="11"/>
      <c r="GZ454" s="11"/>
      <c r="HA454" s="11"/>
      <c r="HB454" s="11"/>
      <c r="HC454" s="11"/>
      <c r="HD454" s="11"/>
      <c r="HE454" s="11"/>
      <c r="HF454" s="11"/>
      <c r="HG454" s="11"/>
      <c r="HH454" s="11"/>
      <c r="HI454" s="11"/>
      <c r="HJ454" s="11"/>
      <c r="HK454" s="11"/>
      <c r="HL454" s="11"/>
      <c r="HM454" s="11"/>
      <c r="HN454" s="11"/>
      <c r="HO454" s="11"/>
      <c r="HP454" s="11"/>
      <c r="HQ454" s="11"/>
      <c r="HR454" s="11"/>
      <c r="HS454" s="11"/>
      <c r="HT454" s="11"/>
      <c r="HU454" s="11"/>
      <c r="HV454" s="11"/>
      <c r="HW454" s="11"/>
      <c r="HX454" s="11"/>
      <c r="HY454" s="11"/>
      <c r="HZ454" s="11"/>
      <c r="IA454" s="11"/>
      <c r="IB454" s="11"/>
      <c r="IC454" s="11"/>
      <c r="ID454" s="11"/>
      <c r="IE454" s="11"/>
      <c r="IF454" s="11"/>
      <c r="IG454" s="11"/>
      <c r="IH454" s="11"/>
      <c r="II454" s="11"/>
      <c r="IJ454" s="11"/>
      <c r="IK454" s="11"/>
      <c r="IL454" s="11"/>
      <c r="IM454" s="11"/>
      <c r="IN454" s="11"/>
      <c r="IO454" s="11"/>
      <c r="IP454" s="11"/>
      <c r="IQ454" s="11"/>
      <c r="IR454" s="11"/>
      <c r="IS454" s="11"/>
      <c r="IT454" s="11"/>
      <c r="IU454" s="11"/>
      <c r="IV454" s="11"/>
      <c r="IW454" s="11"/>
      <c r="IX454" s="11"/>
      <c r="IY454" s="11"/>
      <c r="IZ454" s="11"/>
      <c r="JA454" s="11"/>
      <c r="JB454" s="11"/>
      <c r="JC454" s="11"/>
      <c r="JD454" s="11"/>
      <c r="JE454" s="11"/>
      <c r="JF454" s="11"/>
      <c r="JG454" s="11"/>
      <c r="JH454" s="11"/>
      <c r="JI454" s="11"/>
      <c r="JJ454" s="11"/>
      <c r="JK454" s="11"/>
      <c r="JL454" s="11"/>
      <c r="JM454" s="11"/>
      <c r="JN454" s="11"/>
      <c r="JO454" s="11"/>
      <c r="JP454" s="11"/>
      <c r="JQ454" s="11"/>
      <c r="JR454" s="11"/>
      <c r="JS454" s="11"/>
      <c r="JT454" s="11"/>
      <c r="JU454" s="11"/>
      <c r="JV454" s="11"/>
      <c r="JW454" s="11"/>
      <c r="JX454" s="11"/>
      <c r="JY454" s="11"/>
      <c r="JZ454" s="11"/>
      <c r="KA454" s="11"/>
      <c r="KB454" s="11"/>
      <c r="KC454" s="11"/>
      <c r="KD454" s="11"/>
      <c r="KE454" s="11"/>
      <c r="KF454" s="11"/>
      <c r="KG454" s="11"/>
      <c r="KH454" s="11"/>
      <c r="KI454" s="11"/>
      <c r="KJ454" s="11"/>
      <c r="KK454" s="11"/>
      <c r="KL454" s="11"/>
      <c r="KM454" s="11"/>
      <c r="KN454" s="11"/>
      <c r="KO454" s="11"/>
      <c r="KP454" s="11"/>
      <c r="KQ454" s="11"/>
      <c r="KR454" s="11"/>
      <c r="KS454" s="11"/>
      <c r="KT454" s="11"/>
      <c r="KU454" s="11"/>
      <c r="KV454" s="11"/>
      <c r="KW454" s="11"/>
      <c r="KX454" s="11"/>
      <c r="KY454" s="11"/>
      <c r="KZ454" s="11"/>
      <c r="LA454" s="11"/>
      <c r="LB454" s="11"/>
      <c r="LC454" s="11"/>
      <c r="LD454" s="11"/>
      <c r="LE454" s="11"/>
      <c r="LF454" s="11"/>
      <c r="LG454" s="11"/>
      <c r="LH454" s="11"/>
      <c r="LI454" s="11"/>
      <c r="LJ454" s="11"/>
      <c r="LK454" s="11"/>
      <c r="LL454" s="11"/>
      <c r="LM454" s="11"/>
      <c r="LN454" s="11"/>
      <c r="LO454" s="11"/>
      <c r="LP454" s="11"/>
      <c r="LQ454" s="11"/>
      <c r="LR454" s="11"/>
      <c r="LS454" s="11"/>
      <c r="LT454" s="11"/>
      <c r="LU454" s="11"/>
      <c r="LV454" s="11"/>
      <c r="LW454" s="11"/>
      <c r="LX454" s="11"/>
      <c r="LY454" s="11"/>
      <c r="LZ454" s="11"/>
      <c r="MA454" s="11"/>
      <c r="MB454" s="11"/>
      <c r="MC454" s="11"/>
      <c r="MD454" s="11"/>
      <c r="ME454" s="11"/>
      <c r="MF454" s="11"/>
      <c r="MG454" s="11"/>
      <c r="MH454" s="11"/>
      <c r="MI454" s="11"/>
      <c r="MJ454" s="11"/>
      <c r="MK454" s="11"/>
      <c r="ML454" s="11"/>
      <c r="MM454" s="11"/>
      <c r="MN454" s="11"/>
      <c r="MO454" s="11"/>
      <c r="MP454" s="11"/>
      <c r="MQ454" s="11"/>
      <c r="MR454" s="11"/>
      <c r="MS454" s="11"/>
      <c r="MT454" s="11"/>
      <c r="MU454" s="11"/>
      <c r="MV454" s="11"/>
      <c r="MW454" s="11"/>
      <c r="MX454" s="11"/>
      <c r="MY454" s="11"/>
      <c r="MZ454" s="11"/>
      <c r="NA454" s="11"/>
      <c r="NB454" s="11"/>
      <c r="NC454" s="11"/>
      <c r="ND454" s="11"/>
      <c r="NE454" s="11"/>
      <c r="NF454" s="11"/>
      <c r="NG454" s="11"/>
      <c r="NH454" s="11"/>
      <c r="NI454" s="11"/>
      <c r="NJ454" s="11"/>
      <c r="NK454" s="11"/>
      <c r="NL454" s="11"/>
      <c r="NM454" s="11"/>
      <c r="NN454" s="11"/>
      <c r="NO454" s="11"/>
      <c r="NP454" s="11"/>
      <c r="NQ454" s="11"/>
      <c r="NR454" s="11"/>
      <c r="NS454" s="11"/>
      <c r="NT454" s="11"/>
      <c r="NU454" s="11"/>
      <c r="NV454" s="11"/>
      <c r="NW454" s="11"/>
      <c r="NX454" s="11"/>
      <c r="NY454" s="11"/>
      <c r="NZ454" s="11"/>
      <c r="OA454" s="11"/>
      <c r="OB454" s="11"/>
      <c r="OC454" s="11"/>
      <c r="OD454" s="11"/>
      <c r="OE454" s="11"/>
      <c r="OF454" s="11"/>
      <c r="OG454" s="11"/>
      <c r="OH454" s="11"/>
      <c r="OI454" s="11"/>
      <c r="OJ454" s="11"/>
      <c r="OK454" s="11"/>
      <c r="OL454" s="11"/>
      <c r="OM454" s="11"/>
      <c r="ON454" s="11"/>
      <c r="OO454" s="11"/>
      <c r="OP454" s="11"/>
      <c r="OQ454" s="11"/>
      <c r="OR454" s="11"/>
      <c r="OS454" s="11"/>
      <c r="OT454" s="11"/>
      <c r="OU454" s="11"/>
      <c r="OV454" s="11"/>
      <c r="OW454" s="11"/>
      <c r="OX454" s="11"/>
      <c r="OY454" s="11"/>
      <c r="OZ454" s="11"/>
      <c r="PA454" s="11"/>
      <c r="PB454" s="11"/>
      <c r="PC454" s="11"/>
      <c r="PD454" s="11"/>
      <c r="PE454" s="11"/>
      <c r="PF454" s="11"/>
      <c r="PG454" s="11"/>
      <c r="PH454" s="11"/>
      <c r="PI454" s="11"/>
      <c r="PJ454" s="11"/>
      <c r="PK454" s="11"/>
      <c r="PL454" s="11"/>
      <c r="PM454" s="11"/>
      <c r="PN454" s="11"/>
      <c r="PO454" s="11"/>
      <c r="PP454" s="11"/>
      <c r="PQ454" s="11"/>
      <c r="PR454" s="11"/>
      <c r="PS454" s="11"/>
      <c r="PT454" s="11"/>
      <c r="PU454" s="11"/>
      <c r="PV454" s="11"/>
      <c r="PW454" s="11"/>
      <c r="PX454" s="11"/>
      <c r="PY454" s="11"/>
      <c r="PZ454" s="11"/>
      <c r="QA454" s="11"/>
      <c r="QB454" s="11"/>
      <c r="QC454" s="11"/>
      <c r="QD454" s="11"/>
      <c r="QE454" s="11"/>
      <c r="QF454" s="11"/>
      <c r="QG454" s="11"/>
      <c r="QH454" s="11"/>
      <c r="QI454" s="11"/>
      <c r="QJ454" s="11"/>
      <c r="QK454" s="11"/>
      <c r="QL454" s="11"/>
      <c r="QM454" s="11"/>
      <c r="QN454" s="11"/>
      <c r="QO454" s="11"/>
      <c r="QP454" s="11"/>
      <c r="QQ454" s="11"/>
      <c r="QR454" s="11"/>
      <c r="QS454" s="11"/>
      <c r="QT454" s="11"/>
      <c r="QU454" s="11"/>
      <c r="QV454" s="11"/>
      <c r="QW454" s="11"/>
      <c r="QX454" s="11"/>
      <c r="QY454" s="11"/>
      <c r="QZ454" s="11"/>
      <c r="RA454" s="11"/>
      <c r="RB454" s="11"/>
      <c r="RC454" s="11"/>
      <c r="RD454" s="11"/>
      <c r="RE454" s="11"/>
      <c r="RF454" s="11"/>
      <c r="RG454" s="11"/>
      <c r="RH454" s="11"/>
      <c r="RI454" s="11"/>
      <c r="RJ454" s="11"/>
      <c r="RK454" s="11"/>
      <c r="RL454" s="11"/>
      <c r="RM454" s="11"/>
      <c r="RN454" s="11"/>
      <c r="RO454" s="11"/>
      <c r="RP454" s="11"/>
      <c r="RQ454" s="11"/>
      <c r="RR454" s="11"/>
      <c r="RS454" s="11"/>
      <c r="RT454" s="11"/>
      <c r="RU454" s="11"/>
      <c r="RV454" s="11"/>
      <c r="RW454" s="11"/>
      <c r="RX454" s="11"/>
      <c r="RY454" s="11"/>
      <c r="RZ454" s="11"/>
      <c r="SA454" s="11"/>
      <c r="SB454" s="11"/>
      <c r="SC454" s="11"/>
      <c r="SD454" s="11"/>
      <c r="SE454" s="11"/>
      <c r="SF454" s="11"/>
      <c r="SG454" s="11"/>
      <c r="SH454" s="11">
        <v>1</v>
      </c>
    </row>
    <row r="455" spans="1:502" x14ac:dyDescent="0.2">
      <c r="A455" s="10">
        <v>5.3315684494951943E-2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1"/>
      <c r="FW455" s="11"/>
      <c r="FX455" s="11"/>
      <c r="FY455" s="11"/>
      <c r="FZ455" s="11"/>
      <c r="GA455" s="11"/>
      <c r="GB455" s="11"/>
      <c r="GC455" s="11"/>
      <c r="GD455" s="11"/>
      <c r="GE455" s="11"/>
      <c r="GF455" s="11"/>
      <c r="GG455" s="11"/>
      <c r="GH455" s="11"/>
      <c r="GI455" s="11"/>
      <c r="GJ455" s="11"/>
      <c r="GK455" s="11"/>
      <c r="GL455" s="11"/>
      <c r="GM455" s="11"/>
      <c r="GN455" s="11"/>
      <c r="GO455" s="11"/>
      <c r="GP455" s="11"/>
      <c r="GQ455" s="11"/>
      <c r="GR455" s="11"/>
      <c r="GS455" s="11"/>
      <c r="GT455" s="11"/>
      <c r="GU455" s="11"/>
      <c r="GV455" s="11"/>
      <c r="GW455" s="11"/>
      <c r="GX455" s="11"/>
      <c r="GY455" s="11"/>
      <c r="GZ455" s="11"/>
      <c r="HA455" s="11"/>
      <c r="HB455" s="11"/>
      <c r="HC455" s="11"/>
      <c r="HD455" s="11"/>
      <c r="HE455" s="11"/>
      <c r="HF455" s="11"/>
      <c r="HG455" s="11"/>
      <c r="HH455" s="11"/>
      <c r="HI455" s="11"/>
      <c r="HJ455" s="11"/>
      <c r="HK455" s="11"/>
      <c r="HL455" s="11"/>
      <c r="HM455" s="11"/>
      <c r="HN455" s="11"/>
      <c r="HO455" s="11"/>
      <c r="HP455" s="11"/>
      <c r="HQ455" s="11"/>
      <c r="HR455" s="11"/>
      <c r="HS455" s="11"/>
      <c r="HT455" s="11"/>
      <c r="HU455" s="11"/>
      <c r="HV455" s="11"/>
      <c r="HW455" s="11"/>
      <c r="HX455" s="11"/>
      <c r="HY455" s="11"/>
      <c r="HZ455" s="11"/>
      <c r="IA455" s="11"/>
      <c r="IB455" s="11"/>
      <c r="IC455" s="11"/>
      <c r="ID455" s="11"/>
      <c r="IE455" s="11"/>
      <c r="IF455" s="11"/>
      <c r="IG455" s="11"/>
      <c r="IH455" s="11"/>
      <c r="II455" s="11"/>
      <c r="IJ455" s="11"/>
      <c r="IK455" s="11"/>
      <c r="IL455" s="11"/>
      <c r="IM455" s="11"/>
      <c r="IN455" s="11"/>
      <c r="IO455" s="11"/>
      <c r="IP455" s="11"/>
      <c r="IQ455" s="11"/>
      <c r="IR455" s="11"/>
      <c r="IS455" s="11"/>
      <c r="IT455" s="11"/>
      <c r="IU455" s="11"/>
      <c r="IV455" s="11"/>
      <c r="IW455" s="11"/>
      <c r="IX455" s="11"/>
      <c r="IY455" s="11"/>
      <c r="IZ455" s="11"/>
      <c r="JA455" s="11"/>
      <c r="JB455" s="11"/>
      <c r="JC455" s="11"/>
      <c r="JD455" s="11"/>
      <c r="JE455" s="11"/>
      <c r="JF455" s="11"/>
      <c r="JG455" s="11"/>
      <c r="JH455" s="11"/>
      <c r="JI455" s="11"/>
      <c r="JJ455" s="11"/>
      <c r="JK455" s="11"/>
      <c r="JL455" s="11"/>
      <c r="JM455" s="11"/>
      <c r="JN455" s="11"/>
      <c r="JO455" s="11"/>
      <c r="JP455" s="11"/>
      <c r="JQ455" s="11"/>
      <c r="JR455" s="11"/>
      <c r="JS455" s="11"/>
      <c r="JT455" s="11"/>
      <c r="JU455" s="11"/>
      <c r="JV455" s="11"/>
      <c r="JW455" s="11"/>
      <c r="JX455" s="11"/>
      <c r="JY455" s="11"/>
      <c r="JZ455" s="11"/>
      <c r="KA455" s="11"/>
      <c r="KB455" s="11"/>
      <c r="KC455" s="11"/>
      <c r="KD455" s="11"/>
      <c r="KE455" s="11"/>
      <c r="KF455" s="11"/>
      <c r="KG455" s="11"/>
      <c r="KH455" s="11"/>
      <c r="KI455" s="11"/>
      <c r="KJ455" s="11"/>
      <c r="KK455" s="11"/>
      <c r="KL455" s="11"/>
      <c r="KM455" s="11"/>
      <c r="KN455" s="11"/>
      <c r="KO455" s="11"/>
      <c r="KP455" s="11"/>
      <c r="KQ455" s="11"/>
      <c r="KR455" s="11"/>
      <c r="KS455" s="11"/>
      <c r="KT455" s="11"/>
      <c r="KU455" s="11"/>
      <c r="KV455" s="11"/>
      <c r="KW455" s="11"/>
      <c r="KX455" s="11"/>
      <c r="KY455" s="11"/>
      <c r="KZ455" s="11"/>
      <c r="LA455" s="11"/>
      <c r="LB455" s="11"/>
      <c r="LC455" s="11"/>
      <c r="LD455" s="11"/>
      <c r="LE455" s="11"/>
      <c r="LF455" s="11"/>
      <c r="LG455" s="11"/>
      <c r="LH455" s="11"/>
      <c r="LI455" s="11"/>
      <c r="LJ455" s="11"/>
      <c r="LK455" s="11"/>
      <c r="LL455" s="11"/>
      <c r="LM455" s="11"/>
      <c r="LN455" s="11"/>
      <c r="LO455" s="11"/>
      <c r="LP455" s="11"/>
      <c r="LQ455" s="11"/>
      <c r="LR455" s="11"/>
      <c r="LS455" s="11"/>
      <c r="LT455" s="11"/>
      <c r="LU455" s="11"/>
      <c r="LV455" s="11"/>
      <c r="LW455" s="11"/>
      <c r="LX455" s="11"/>
      <c r="LY455" s="11"/>
      <c r="LZ455" s="11"/>
      <c r="MA455" s="11"/>
      <c r="MB455" s="11"/>
      <c r="MC455" s="11"/>
      <c r="MD455" s="11"/>
      <c r="ME455" s="11"/>
      <c r="MF455" s="11"/>
      <c r="MG455" s="11"/>
      <c r="MH455" s="11"/>
      <c r="MI455" s="11"/>
      <c r="MJ455" s="11"/>
      <c r="MK455" s="11"/>
      <c r="ML455" s="11"/>
      <c r="MM455" s="11"/>
      <c r="MN455" s="11"/>
      <c r="MO455" s="11"/>
      <c r="MP455" s="11"/>
      <c r="MQ455" s="11"/>
      <c r="MR455" s="11"/>
      <c r="MS455" s="11"/>
      <c r="MT455" s="11"/>
      <c r="MU455" s="11"/>
      <c r="MV455" s="11"/>
      <c r="MW455" s="11"/>
      <c r="MX455" s="11"/>
      <c r="MY455" s="11"/>
      <c r="MZ455" s="11"/>
      <c r="NA455" s="11"/>
      <c r="NB455" s="11"/>
      <c r="NC455" s="11"/>
      <c r="ND455" s="11"/>
      <c r="NE455" s="11"/>
      <c r="NF455" s="11"/>
      <c r="NG455" s="11"/>
      <c r="NH455" s="11"/>
      <c r="NI455" s="11"/>
      <c r="NJ455" s="11"/>
      <c r="NK455" s="11"/>
      <c r="NL455" s="11"/>
      <c r="NM455" s="11"/>
      <c r="NN455" s="11"/>
      <c r="NO455" s="11"/>
      <c r="NP455" s="11"/>
      <c r="NQ455" s="11"/>
      <c r="NR455" s="11"/>
      <c r="NS455" s="11"/>
      <c r="NT455" s="11"/>
      <c r="NU455" s="11"/>
      <c r="NV455" s="11"/>
      <c r="NW455" s="11"/>
      <c r="NX455" s="11"/>
      <c r="NY455" s="11"/>
      <c r="NZ455" s="11"/>
      <c r="OA455" s="11"/>
      <c r="OB455" s="11"/>
      <c r="OC455" s="11"/>
      <c r="OD455" s="11"/>
      <c r="OE455" s="11"/>
      <c r="OF455" s="11"/>
      <c r="OG455" s="11"/>
      <c r="OH455" s="11"/>
      <c r="OI455" s="11"/>
      <c r="OJ455" s="11"/>
      <c r="OK455" s="11"/>
      <c r="OL455" s="11"/>
      <c r="OM455" s="11"/>
      <c r="ON455" s="11"/>
      <c r="OO455" s="11"/>
      <c r="OP455" s="11"/>
      <c r="OQ455" s="11"/>
      <c r="OR455" s="11"/>
      <c r="OS455" s="11"/>
      <c r="OT455" s="11"/>
      <c r="OU455" s="11"/>
      <c r="OV455" s="11"/>
      <c r="OW455" s="11"/>
      <c r="OX455" s="11"/>
      <c r="OY455" s="11"/>
      <c r="OZ455" s="11"/>
      <c r="PA455" s="11"/>
      <c r="PB455" s="11"/>
      <c r="PC455" s="11"/>
      <c r="PD455" s="11"/>
      <c r="PE455" s="11"/>
      <c r="PF455" s="11"/>
      <c r="PG455" s="11"/>
      <c r="PH455" s="11"/>
      <c r="PI455" s="11"/>
      <c r="PJ455" s="11"/>
      <c r="PK455" s="11"/>
      <c r="PL455" s="11">
        <v>1</v>
      </c>
      <c r="PM455" s="11"/>
      <c r="PN455" s="11"/>
      <c r="PO455" s="11"/>
      <c r="PP455" s="11"/>
      <c r="PQ455" s="11"/>
      <c r="PR455" s="11"/>
      <c r="PS455" s="11"/>
      <c r="PT455" s="11"/>
      <c r="PU455" s="11"/>
      <c r="PV455" s="11"/>
      <c r="PW455" s="11"/>
      <c r="PX455" s="11"/>
      <c r="PY455" s="11"/>
      <c r="PZ455" s="11"/>
      <c r="QA455" s="11"/>
      <c r="QB455" s="11"/>
      <c r="QC455" s="11"/>
      <c r="QD455" s="11"/>
      <c r="QE455" s="11"/>
      <c r="QF455" s="11"/>
      <c r="QG455" s="11"/>
      <c r="QH455" s="11"/>
      <c r="QI455" s="11"/>
      <c r="QJ455" s="11"/>
      <c r="QK455" s="11"/>
      <c r="QL455" s="11"/>
      <c r="QM455" s="11"/>
      <c r="QN455" s="11"/>
      <c r="QO455" s="11"/>
      <c r="QP455" s="11"/>
      <c r="QQ455" s="11"/>
      <c r="QR455" s="11"/>
      <c r="QS455" s="11"/>
      <c r="QT455" s="11"/>
      <c r="QU455" s="11"/>
      <c r="QV455" s="11"/>
      <c r="QW455" s="11"/>
      <c r="QX455" s="11"/>
      <c r="QY455" s="11"/>
      <c r="QZ455" s="11"/>
      <c r="RA455" s="11"/>
      <c r="RB455" s="11"/>
      <c r="RC455" s="11"/>
      <c r="RD455" s="11"/>
      <c r="RE455" s="11"/>
      <c r="RF455" s="11"/>
      <c r="RG455" s="11"/>
      <c r="RH455" s="11"/>
      <c r="RI455" s="11"/>
      <c r="RJ455" s="11"/>
      <c r="RK455" s="11"/>
      <c r="RL455" s="11"/>
      <c r="RM455" s="11"/>
      <c r="RN455" s="11"/>
      <c r="RO455" s="11"/>
      <c r="RP455" s="11"/>
      <c r="RQ455" s="11"/>
      <c r="RR455" s="11"/>
      <c r="RS455" s="11"/>
      <c r="RT455" s="11"/>
      <c r="RU455" s="11"/>
      <c r="RV455" s="11"/>
      <c r="RW455" s="11"/>
      <c r="RX455" s="11"/>
      <c r="RY455" s="11"/>
      <c r="RZ455" s="11"/>
      <c r="SA455" s="11"/>
      <c r="SB455" s="11"/>
      <c r="SC455" s="11"/>
      <c r="SD455" s="11"/>
      <c r="SE455" s="11"/>
      <c r="SF455" s="11"/>
      <c r="SG455" s="11"/>
      <c r="SH455" s="11">
        <v>1</v>
      </c>
    </row>
    <row r="456" spans="1:502" x14ac:dyDescent="0.2">
      <c r="A456" s="10">
        <v>5.3477371943714123E-2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/>
      <c r="GD456" s="11"/>
      <c r="GE456" s="11"/>
      <c r="GF456" s="11"/>
      <c r="GG456" s="11"/>
      <c r="GH456" s="11"/>
      <c r="GI456" s="11"/>
      <c r="GJ456" s="11"/>
      <c r="GK456" s="11"/>
      <c r="GL456" s="11"/>
      <c r="GM456" s="11"/>
      <c r="GN456" s="11"/>
      <c r="GO456" s="11"/>
      <c r="GP456" s="11"/>
      <c r="GQ456" s="11"/>
      <c r="GR456" s="11"/>
      <c r="GS456" s="11"/>
      <c r="GT456" s="11"/>
      <c r="GU456" s="11"/>
      <c r="GV456" s="11"/>
      <c r="GW456" s="11"/>
      <c r="GX456" s="11"/>
      <c r="GY456" s="11"/>
      <c r="GZ456" s="11"/>
      <c r="HA456" s="11"/>
      <c r="HB456" s="11"/>
      <c r="HC456" s="11"/>
      <c r="HD456" s="11"/>
      <c r="HE456" s="11"/>
      <c r="HF456" s="11"/>
      <c r="HG456" s="11"/>
      <c r="HH456" s="11"/>
      <c r="HI456" s="11"/>
      <c r="HJ456" s="11"/>
      <c r="HK456" s="11"/>
      <c r="HL456" s="11"/>
      <c r="HM456" s="11"/>
      <c r="HN456" s="11"/>
      <c r="HO456" s="11"/>
      <c r="HP456" s="11"/>
      <c r="HQ456" s="11"/>
      <c r="HR456" s="11"/>
      <c r="HS456" s="11"/>
      <c r="HT456" s="11"/>
      <c r="HU456" s="11"/>
      <c r="HV456" s="11"/>
      <c r="HW456" s="11"/>
      <c r="HX456" s="11"/>
      <c r="HY456" s="11"/>
      <c r="HZ456" s="11"/>
      <c r="IA456" s="11"/>
      <c r="IB456" s="11"/>
      <c r="IC456" s="11"/>
      <c r="ID456" s="11"/>
      <c r="IE456" s="11"/>
      <c r="IF456" s="11"/>
      <c r="IG456" s="11"/>
      <c r="IH456" s="11"/>
      <c r="II456" s="11"/>
      <c r="IJ456" s="11"/>
      <c r="IK456" s="11"/>
      <c r="IL456" s="11"/>
      <c r="IM456" s="11"/>
      <c r="IN456" s="11"/>
      <c r="IO456" s="11"/>
      <c r="IP456" s="11"/>
      <c r="IQ456" s="11"/>
      <c r="IR456" s="11"/>
      <c r="IS456" s="11"/>
      <c r="IT456" s="11"/>
      <c r="IU456" s="11"/>
      <c r="IV456" s="11"/>
      <c r="IW456" s="11"/>
      <c r="IX456" s="11"/>
      <c r="IY456" s="11"/>
      <c r="IZ456" s="11"/>
      <c r="JA456" s="11"/>
      <c r="JB456" s="11"/>
      <c r="JC456" s="11"/>
      <c r="JD456" s="11"/>
      <c r="JE456" s="11"/>
      <c r="JF456" s="11"/>
      <c r="JG456" s="11"/>
      <c r="JH456" s="11"/>
      <c r="JI456" s="11"/>
      <c r="JJ456" s="11"/>
      <c r="JK456" s="11"/>
      <c r="JL456" s="11"/>
      <c r="JM456" s="11"/>
      <c r="JN456" s="11"/>
      <c r="JO456" s="11"/>
      <c r="JP456" s="11"/>
      <c r="JQ456" s="11"/>
      <c r="JR456" s="11"/>
      <c r="JS456" s="11"/>
      <c r="JT456" s="11"/>
      <c r="JU456" s="11"/>
      <c r="JV456" s="11"/>
      <c r="JW456" s="11"/>
      <c r="JX456" s="11"/>
      <c r="JY456" s="11"/>
      <c r="JZ456" s="11"/>
      <c r="KA456" s="11"/>
      <c r="KB456" s="11"/>
      <c r="KC456" s="11"/>
      <c r="KD456" s="11"/>
      <c r="KE456" s="11"/>
      <c r="KF456" s="11"/>
      <c r="KG456" s="11"/>
      <c r="KH456" s="11"/>
      <c r="KI456" s="11"/>
      <c r="KJ456" s="11"/>
      <c r="KK456" s="11"/>
      <c r="KL456" s="11"/>
      <c r="KM456" s="11"/>
      <c r="KN456" s="11"/>
      <c r="KO456" s="11"/>
      <c r="KP456" s="11"/>
      <c r="KQ456" s="11"/>
      <c r="KR456" s="11"/>
      <c r="KS456" s="11"/>
      <c r="KT456" s="11"/>
      <c r="KU456" s="11"/>
      <c r="KV456" s="11"/>
      <c r="KW456" s="11"/>
      <c r="KX456" s="11"/>
      <c r="KY456" s="11"/>
      <c r="KZ456" s="11"/>
      <c r="LA456" s="11"/>
      <c r="LB456" s="11"/>
      <c r="LC456" s="11"/>
      <c r="LD456" s="11"/>
      <c r="LE456" s="11"/>
      <c r="LF456" s="11"/>
      <c r="LG456" s="11"/>
      <c r="LH456" s="11"/>
      <c r="LI456" s="11"/>
      <c r="LJ456" s="11"/>
      <c r="LK456" s="11"/>
      <c r="LL456" s="11"/>
      <c r="LM456" s="11">
        <v>1</v>
      </c>
      <c r="LN456" s="11"/>
      <c r="LO456" s="11"/>
      <c r="LP456" s="11"/>
      <c r="LQ456" s="11"/>
      <c r="LR456" s="11"/>
      <c r="LS456" s="11"/>
      <c r="LT456" s="11"/>
      <c r="LU456" s="11"/>
      <c r="LV456" s="11"/>
      <c r="LW456" s="11"/>
      <c r="LX456" s="11"/>
      <c r="LY456" s="11"/>
      <c r="LZ456" s="11"/>
      <c r="MA456" s="11"/>
      <c r="MB456" s="11"/>
      <c r="MC456" s="11"/>
      <c r="MD456" s="11"/>
      <c r="ME456" s="11"/>
      <c r="MF456" s="11"/>
      <c r="MG456" s="11"/>
      <c r="MH456" s="11"/>
      <c r="MI456" s="11"/>
      <c r="MJ456" s="11"/>
      <c r="MK456" s="11"/>
      <c r="ML456" s="11"/>
      <c r="MM456" s="11"/>
      <c r="MN456" s="11"/>
      <c r="MO456" s="11"/>
      <c r="MP456" s="11"/>
      <c r="MQ456" s="11"/>
      <c r="MR456" s="11"/>
      <c r="MS456" s="11"/>
      <c r="MT456" s="11"/>
      <c r="MU456" s="11"/>
      <c r="MV456" s="11"/>
      <c r="MW456" s="11"/>
      <c r="MX456" s="11"/>
      <c r="MY456" s="11"/>
      <c r="MZ456" s="11"/>
      <c r="NA456" s="11"/>
      <c r="NB456" s="11"/>
      <c r="NC456" s="11"/>
      <c r="ND456" s="11"/>
      <c r="NE456" s="11"/>
      <c r="NF456" s="11"/>
      <c r="NG456" s="11"/>
      <c r="NH456" s="11"/>
      <c r="NI456" s="11"/>
      <c r="NJ456" s="11"/>
      <c r="NK456" s="11"/>
      <c r="NL456" s="11"/>
      <c r="NM456" s="11"/>
      <c r="NN456" s="11"/>
      <c r="NO456" s="11"/>
      <c r="NP456" s="11"/>
      <c r="NQ456" s="11"/>
      <c r="NR456" s="11"/>
      <c r="NS456" s="11"/>
      <c r="NT456" s="11"/>
      <c r="NU456" s="11"/>
      <c r="NV456" s="11"/>
      <c r="NW456" s="11"/>
      <c r="NX456" s="11"/>
      <c r="NY456" s="11"/>
      <c r="NZ456" s="11"/>
      <c r="OA456" s="11"/>
      <c r="OB456" s="11"/>
      <c r="OC456" s="11"/>
      <c r="OD456" s="11"/>
      <c r="OE456" s="11"/>
      <c r="OF456" s="11"/>
      <c r="OG456" s="11"/>
      <c r="OH456" s="11"/>
      <c r="OI456" s="11"/>
      <c r="OJ456" s="11"/>
      <c r="OK456" s="11"/>
      <c r="OL456" s="11"/>
      <c r="OM456" s="11"/>
      <c r="ON456" s="11"/>
      <c r="OO456" s="11"/>
      <c r="OP456" s="11"/>
      <c r="OQ456" s="11"/>
      <c r="OR456" s="11"/>
      <c r="OS456" s="11"/>
      <c r="OT456" s="11"/>
      <c r="OU456" s="11"/>
      <c r="OV456" s="11"/>
      <c r="OW456" s="11"/>
      <c r="OX456" s="11"/>
      <c r="OY456" s="11"/>
      <c r="OZ456" s="11"/>
      <c r="PA456" s="11"/>
      <c r="PB456" s="11"/>
      <c r="PC456" s="11"/>
      <c r="PD456" s="11"/>
      <c r="PE456" s="11"/>
      <c r="PF456" s="11"/>
      <c r="PG456" s="11"/>
      <c r="PH456" s="11"/>
      <c r="PI456" s="11"/>
      <c r="PJ456" s="11"/>
      <c r="PK456" s="11"/>
      <c r="PL456" s="11"/>
      <c r="PM456" s="11"/>
      <c r="PN456" s="11"/>
      <c r="PO456" s="11"/>
      <c r="PP456" s="11"/>
      <c r="PQ456" s="11"/>
      <c r="PR456" s="11"/>
      <c r="PS456" s="11"/>
      <c r="PT456" s="11"/>
      <c r="PU456" s="11"/>
      <c r="PV456" s="11"/>
      <c r="PW456" s="11"/>
      <c r="PX456" s="11"/>
      <c r="PY456" s="11"/>
      <c r="PZ456" s="11"/>
      <c r="QA456" s="11"/>
      <c r="QB456" s="11"/>
      <c r="QC456" s="11"/>
      <c r="QD456" s="11"/>
      <c r="QE456" s="11"/>
      <c r="QF456" s="11"/>
      <c r="QG456" s="11"/>
      <c r="QH456" s="11"/>
      <c r="QI456" s="11"/>
      <c r="QJ456" s="11"/>
      <c r="QK456" s="11"/>
      <c r="QL456" s="11"/>
      <c r="QM456" s="11"/>
      <c r="QN456" s="11"/>
      <c r="QO456" s="11"/>
      <c r="QP456" s="11"/>
      <c r="QQ456" s="11"/>
      <c r="QR456" s="11"/>
      <c r="QS456" s="11"/>
      <c r="QT456" s="11"/>
      <c r="QU456" s="11"/>
      <c r="QV456" s="11"/>
      <c r="QW456" s="11"/>
      <c r="QX456" s="11"/>
      <c r="QY456" s="11"/>
      <c r="QZ456" s="11"/>
      <c r="RA456" s="11"/>
      <c r="RB456" s="11"/>
      <c r="RC456" s="11"/>
      <c r="RD456" s="11"/>
      <c r="RE456" s="11"/>
      <c r="RF456" s="11"/>
      <c r="RG456" s="11"/>
      <c r="RH456" s="11"/>
      <c r="RI456" s="11"/>
      <c r="RJ456" s="11"/>
      <c r="RK456" s="11"/>
      <c r="RL456" s="11"/>
      <c r="RM456" s="11"/>
      <c r="RN456" s="11"/>
      <c r="RO456" s="11"/>
      <c r="RP456" s="11"/>
      <c r="RQ456" s="11"/>
      <c r="RR456" s="11"/>
      <c r="RS456" s="11"/>
      <c r="RT456" s="11"/>
      <c r="RU456" s="11"/>
      <c r="RV456" s="11"/>
      <c r="RW456" s="11"/>
      <c r="RX456" s="11"/>
      <c r="RY456" s="11"/>
      <c r="RZ456" s="11"/>
      <c r="SA456" s="11"/>
      <c r="SB456" s="11"/>
      <c r="SC456" s="11"/>
      <c r="SD456" s="11"/>
      <c r="SE456" s="11"/>
      <c r="SF456" s="11"/>
      <c r="SG456" s="11"/>
      <c r="SH456" s="11">
        <v>1</v>
      </c>
    </row>
    <row r="457" spans="1:502" x14ac:dyDescent="0.2">
      <c r="A457" s="10">
        <v>5.3829608801608711E-2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>
        <v>1</v>
      </c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  <c r="HO457" s="11"/>
      <c r="HP457" s="11"/>
      <c r="HQ457" s="11"/>
      <c r="HR457" s="11"/>
      <c r="HS457" s="11"/>
      <c r="HT457" s="11"/>
      <c r="HU457" s="11"/>
      <c r="HV457" s="11"/>
      <c r="HW457" s="11"/>
      <c r="HX457" s="11"/>
      <c r="HY457" s="11"/>
      <c r="HZ457" s="11"/>
      <c r="IA457" s="11"/>
      <c r="IB457" s="11"/>
      <c r="IC457" s="11"/>
      <c r="ID457" s="11"/>
      <c r="IE457" s="11"/>
      <c r="IF457" s="11"/>
      <c r="IG457" s="11"/>
      <c r="IH457" s="11"/>
      <c r="II457" s="11"/>
      <c r="IJ457" s="11"/>
      <c r="IK457" s="11"/>
      <c r="IL457" s="11"/>
      <c r="IM457" s="11"/>
      <c r="IN457" s="11"/>
      <c r="IO457" s="11"/>
      <c r="IP457" s="11"/>
      <c r="IQ457" s="11"/>
      <c r="IR457" s="11"/>
      <c r="IS457" s="11"/>
      <c r="IT457" s="11"/>
      <c r="IU457" s="11"/>
      <c r="IV457" s="11"/>
      <c r="IW457" s="11"/>
      <c r="IX457" s="11"/>
      <c r="IY457" s="11"/>
      <c r="IZ457" s="11"/>
      <c r="JA457" s="11"/>
      <c r="JB457" s="11"/>
      <c r="JC457" s="11"/>
      <c r="JD457" s="11"/>
      <c r="JE457" s="11"/>
      <c r="JF457" s="11"/>
      <c r="JG457" s="11"/>
      <c r="JH457" s="11"/>
      <c r="JI457" s="11"/>
      <c r="JJ457" s="11"/>
      <c r="JK457" s="11"/>
      <c r="JL457" s="11"/>
      <c r="JM457" s="11"/>
      <c r="JN457" s="11"/>
      <c r="JO457" s="11"/>
      <c r="JP457" s="11"/>
      <c r="JQ457" s="11"/>
      <c r="JR457" s="11"/>
      <c r="JS457" s="11"/>
      <c r="JT457" s="11"/>
      <c r="JU457" s="11"/>
      <c r="JV457" s="11"/>
      <c r="JW457" s="11"/>
      <c r="JX457" s="11"/>
      <c r="JY457" s="11"/>
      <c r="JZ457" s="11"/>
      <c r="KA457" s="11"/>
      <c r="KB457" s="11"/>
      <c r="KC457" s="11"/>
      <c r="KD457" s="11"/>
      <c r="KE457" s="11"/>
      <c r="KF457" s="11"/>
      <c r="KG457" s="11"/>
      <c r="KH457" s="11"/>
      <c r="KI457" s="11"/>
      <c r="KJ457" s="11"/>
      <c r="KK457" s="11"/>
      <c r="KL457" s="11"/>
      <c r="KM457" s="11"/>
      <c r="KN457" s="11"/>
      <c r="KO457" s="11"/>
      <c r="KP457" s="11"/>
      <c r="KQ457" s="11"/>
      <c r="KR457" s="11"/>
      <c r="KS457" s="11"/>
      <c r="KT457" s="11"/>
      <c r="KU457" s="11"/>
      <c r="KV457" s="11"/>
      <c r="KW457" s="11"/>
      <c r="KX457" s="11"/>
      <c r="KY457" s="11"/>
      <c r="KZ457" s="11"/>
      <c r="LA457" s="11"/>
      <c r="LB457" s="11"/>
      <c r="LC457" s="11"/>
      <c r="LD457" s="11"/>
      <c r="LE457" s="11"/>
      <c r="LF457" s="11"/>
      <c r="LG457" s="11"/>
      <c r="LH457" s="11"/>
      <c r="LI457" s="11"/>
      <c r="LJ457" s="11"/>
      <c r="LK457" s="11"/>
      <c r="LL457" s="11"/>
      <c r="LM457" s="11"/>
      <c r="LN457" s="11"/>
      <c r="LO457" s="11"/>
      <c r="LP457" s="11"/>
      <c r="LQ457" s="11"/>
      <c r="LR457" s="11"/>
      <c r="LS457" s="11"/>
      <c r="LT457" s="11"/>
      <c r="LU457" s="11"/>
      <c r="LV457" s="11"/>
      <c r="LW457" s="11"/>
      <c r="LX457" s="11"/>
      <c r="LY457" s="11"/>
      <c r="LZ457" s="11"/>
      <c r="MA457" s="11"/>
      <c r="MB457" s="11"/>
      <c r="MC457" s="11"/>
      <c r="MD457" s="11"/>
      <c r="ME457" s="11"/>
      <c r="MF457" s="11"/>
      <c r="MG457" s="11"/>
      <c r="MH457" s="11"/>
      <c r="MI457" s="11"/>
      <c r="MJ457" s="11"/>
      <c r="MK457" s="11"/>
      <c r="ML457" s="11"/>
      <c r="MM457" s="11"/>
      <c r="MN457" s="11"/>
      <c r="MO457" s="11"/>
      <c r="MP457" s="11"/>
      <c r="MQ457" s="11"/>
      <c r="MR457" s="11"/>
      <c r="MS457" s="11"/>
      <c r="MT457" s="11"/>
      <c r="MU457" s="11"/>
      <c r="MV457" s="11"/>
      <c r="MW457" s="11"/>
      <c r="MX457" s="11"/>
      <c r="MY457" s="11"/>
      <c r="MZ457" s="11"/>
      <c r="NA457" s="11"/>
      <c r="NB457" s="11"/>
      <c r="NC457" s="11"/>
      <c r="ND457" s="11"/>
      <c r="NE457" s="11"/>
      <c r="NF457" s="11"/>
      <c r="NG457" s="11"/>
      <c r="NH457" s="11"/>
      <c r="NI457" s="11"/>
      <c r="NJ457" s="11"/>
      <c r="NK457" s="11"/>
      <c r="NL457" s="11"/>
      <c r="NM457" s="11"/>
      <c r="NN457" s="11"/>
      <c r="NO457" s="11"/>
      <c r="NP457" s="11"/>
      <c r="NQ457" s="11"/>
      <c r="NR457" s="11"/>
      <c r="NS457" s="11"/>
      <c r="NT457" s="11"/>
      <c r="NU457" s="11"/>
      <c r="NV457" s="11"/>
      <c r="NW457" s="11"/>
      <c r="NX457" s="11"/>
      <c r="NY457" s="11"/>
      <c r="NZ457" s="11"/>
      <c r="OA457" s="11"/>
      <c r="OB457" s="11"/>
      <c r="OC457" s="11"/>
      <c r="OD457" s="11"/>
      <c r="OE457" s="11"/>
      <c r="OF457" s="11"/>
      <c r="OG457" s="11"/>
      <c r="OH457" s="11"/>
      <c r="OI457" s="11"/>
      <c r="OJ457" s="11"/>
      <c r="OK457" s="11"/>
      <c r="OL457" s="11"/>
      <c r="OM457" s="11"/>
      <c r="ON457" s="11"/>
      <c r="OO457" s="11"/>
      <c r="OP457" s="11"/>
      <c r="OQ457" s="11"/>
      <c r="OR457" s="11"/>
      <c r="OS457" s="11"/>
      <c r="OT457" s="11"/>
      <c r="OU457" s="11"/>
      <c r="OV457" s="11"/>
      <c r="OW457" s="11"/>
      <c r="OX457" s="11"/>
      <c r="OY457" s="11"/>
      <c r="OZ457" s="11"/>
      <c r="PA457" s="11"/>
      <c r="PB457" s="11"/>
      <c r="PC457" s="11"/>
      <c r="PD457" s="11"/>
      <c r="PE457" s="11"/>
      <c r="PF457" s="11"/>
      <c r="PG457" s="11"/>
      <c r="PH457" s="11"/>
      <c r="PI457" s="11"/>
      <c r="PJ457" s="11"/>
      <c r="PK457" s="11"/>
      <c r="PL457" s="11"/>
      <c r="PM457" s="11"/>
      <c r="PN457" s="11"/>
      <c r="PO457" s="11"/>
      <c r="PP457" s="11"/>
      <c r="PQ457" s="11"/>
      <c r="PR457" s="11"/>
      <c r="PS457" s="11"/>
      <c r="PT457" s="11"/>
      <c r="PU457" s="11"/>
      <c r="PV457" s="11"/>
      <c r="PW457" s="11"/>
      <c r="PX457" s="11"/>
      <c r="PY457" s="11"/>
      <c r="PZ457" s="11"/>
      <c r="QA457" s="11"/>
      <c r="QB457" s="11"/>
      <c r="QC457" s="11"/>
      <c r="QD457" s="11"/>
      <c r="QE457" s="11"/>
      <c r="QF457" s="11"/>
      <c r="QG457" s="11"/>
      <c r="QH457" s="11"/>
      <c r="QI457" s="11"/>
      <c r="QJ457" s="11"/>
      <c r="QK457" s="11"/>
      <c r="QL457" s="11"/>
      <c r="QM457" s="11"/>
      <c r="QN457" s="11"/>
      <c r="QO457" s="11"/>
      <c r="QP457" s="11"/>
      <c r="QQ457" s="11"/>
      <c r="QR457" s="11"/>
      <c r="QS457" s="11"/>
      <c r="QT457" s="11"/>
      <c r="QU457" s="11"/>
      <c r="QV457" s="11"/>
      <c r="QW457" s="11"/>
      <c r="QX457" s="11"/>
      <c r="QY457" s="11"/>
      <c r="QZ457" s="11"/>
      <c r="RA457" s="11"/>
      <c r="RB457" s="11"/>
      <c r="RC457" s="11"/>
      <c r="RD457" s="11"/>
      <c r="RE457" s="11"/>
      <c r="RF457" s="11"/>
      <c r="RG457" s="11"/>
      <c r="RH457" s="11"/>
      <c r="RI457" s="11"/>
      <c r="RJ457" s="11"/>
      <c r="RK457" s="11"/>
      <c r="RL457" s="11"/>
      <c r="RM457" s="11"/>
      <c r="RN457" s="11"/>
      <c r="RO457" s="11"/>
      <c r="RP457" s="11"/>
      <c r="RQ457" s="11"/>
      <c r="RR457" s="11"/>
      <c r="RS457" s="11"/>
      <c r="RT457" s="11"/>
      <c r="RU457" s="11"/>
      <c r="RV457" s="11"/>
      <c r="RW457" s="11"/>
      <c r="RX457" s="11"/>
      <c r="RY457" s="11"/>
      <c r="RZ457" s="11"/>
      <c r="SA457" s="11"/>
      <c r="SB457" s="11"/>
      <c r="SC457" s="11"/>
      <c r="SD457" s="11"/>
      <c r="SE457" s="11"/>
      <c r="SF457" s="11"/>
      <c r="SG457" s="11"/>
      <c r="SH457" s="11">
        <v>1</v>
      </c>
    </row>
    <row r="458" spans="1:502" x14ac:dyDescent="0.2">
      <c r="A458" s="10">
        <v>5.399385717846561E-2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>
        <v>1</v>
      </c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  <c r="HO458" s="11"/>
      <c r="HP458" s="11"/>
      <c r="HQ458" s="11"/>
      <c r="HR458" s="11"/>
      <c r="HS458" s="11"/>
      <c r="HT458" s="11"/>
      <c r="HU458" s="11"/>
      <c r="HV458" s="11"/>
      <c r="HW458" s="11"/>
      <c r="HX458" s="11"/>
      <c r="HY458" s="11"/>
      <c r="HZ458" s="11"/>
      <c r="IA458" s="11"/>
      <c r="IB458" s="11"/>
      <c r="IC458" s="11"/>
      <c r="ID458" s="11"/>
      <c r="IE458" s="11"/>
      <c r="IF458" s="11"/>
      <c r="IG458" s="11"/>
      <c r="IH458" s="11"/>
      <c r="II458" s="11"/>
      <c r="IJ458" s="11"/>
      <c r="IK458" s="11"/>
      <c r="IL458" s="11"/>
      <c r="IM458" s="11"/>
      <c r="IN458" s="11"/>
      <c r="IO458" s="11"/>
      <c r="IP458" s="11"/>
      <c r="IQ458" s="11"/>
      <c r="IR458" s="11"/>
      <c r="IS458" s="11"/>
      <c r="IT458" s="11"/>
      <c r="IU458" s="11"/>
      <c r="IV458" s="11"/>
      <c r="IW458" s="11"/>
      <c r="IX458" s="11"/>
      <c r="IY458" s="11"/>
      <c r="IZ458" s="11"/>
      <c r="JA458" s="11"/>
      <c r="JB458" s="11"/>
      <c r="JC458" s="11"/>
      <c r="JD458" s="11"/>
      <c r="JE458" s="11"/>
      <c r="JF458" s="11"/>
      <c r="JG458" s="11"/>
      <c r="JH458" s="11"/>
      <c r="JI458" s="11"/>
      <c r="JJ458" s="11"/>
      <c r="JK458" s="11"/>
      <c r="JL458" s="11"/>
      <c r="JM458" s="11"/>
      <c r="JN458" s="11"/>
      <c r="JO458" s="11"/>
      <c r="JP458" s="11"/>
      <c r="JQ458" s="11"/>
      <c r="JR458" s="11"/>
      <c r="JS458" s="11"/>
      <c r="JT458" s="11"/>
      <c r="JU458" s="11"/>
      <c r="JV458" s="11"/>
      <c r="JW458" s="11"/>
      <c r="JX458" s="11"/>
      <c r="JY458" s="11"/>
      <c r="JZ458" s="11"/>
      <c r="KA458" s="11"/>
      <c r="KB458" s="11"/>
      <c r="KC458" s="11"/>
      <c r="KD458" s="11"/>
      <c r="KE458" s="11"/>
      <c r="KF458" s="11"/>
      <c r="KG458" s="11"/>
      <c r="KH458" s="11"/>
      <c r="KI458" s="11"/>
      <c r="KJ458" s="11"/>
      <c r="KK458" s="11"/>
      <c r="KL458" s="11"/>
      <c r="KM458" s="11"/>
      <c r="KN458" s="11"/>
      <c r="KO458" s="11"/>
      <c r="KP458" s="11"/>
      <c r="KQ458" s="11"/>
      <c r="KR458" s="11"/>
      <c r="KS458" s="11"/>
      <c r="KT458" s="11"/>
      <c r="KU458" s="11"/>
      <c r="KV458" s="11"/>
      <c r="KW458" s="11"/>
      <c r="KX458" s="11"/>
      <c r="KY458" s="11"/>
      <c r="KZ458" s="11"/>
      <c r="LA458" s="11"/>
      <c r="LB458" s="11"/>
      <c r="LC458" s="11"/>
      <c r="LD458" s="11"/>
      <c r="LE458" s="11"/>
      <c r="LF458" s="11"/>
      <c r="LG458" s="11"/>
      <c r="LH458" s="11"/>
      <c r="LI458" s="11"/>
      <c r="LJ458" s="11"/>
      <c r="LK458" s="11"/>
      <c r="LL458" s="11"/>
      <c r="LM458" s="11"/>
      <c r="LN458" s="11"/>
      <c r="LO458" s="11"/>
      <c r="LP458" s="11"/>
      <c r="LQ458" s="11"/>
      <c r="LR458" s="11"/>
      <c r="LS458" s="11"/>
      <c r="LT458" s="11"/>
      <c r="LU458" s="11"/>
      <c r="LV458" s="11"/>
      <c r="LW458" s="11"/>
      <c r="LX458" s="11"/>
      <c r="LY458" s="11"/>
      <c r="LZ458" s="11"/>
      <c r="MA458" s="11"/>
      <c r="MB458" s="11"/>
      <c r="MC458" s="11"/>
      <c r="MD458" s="11"/>
      <c r="ME458" s="11"/>
      <c r="MF458" s="11"/>
      <c r="MG458" s="11"/>
      <c r="MH458" s="11"/>
      <c r="MI458" s="11"/>
      <c r="MJ458" s="11"/>
      <c r="MK458" s="11"/>
      <c r="ML458" s="11"/>
      <c r="MM458" s="11"/>
      <c r="MN458" s="11"/>
      <c r="MO458" s="11"/>
      <c r="MP458" s="11"/>
      <c r="MQ458" s="11"/>
      <c r="MR458" s="11"/>
      <c r="MS458" s="11"/>
      <c r="MT458" s="11"/>
      <c r="MU458" s="11"/>
      <c r="MV458" s="11"/>
      <c r="MW458" s="11"/>
      <c r="MX458" s="11"/>
      <c r="MY458" s="11"/>
      <c r="MZ458" s="11"/>
      <c r="NA458" s="11"/>
      <c r="NB458" s="11"/>
      <c r="NC458" s="11"/>
      <c r="ND458" s="11"/>
      <c r="NE458" s="11"/>
      <c r="NF458" s="11"/>
      <c r="NG458" s="11"/>
      <c r="NH458" s="11"/>
      <c r="NI458" s="11"/>
      <c r="NJ458" s="11"/>
      <c r="NK458" s="11"/>
      <c r="NL458" s="11"/>
      <c r="NM458" s="11"/>
      <c r="NN458" s="11"/>
      <c r="NO458" s="11"/>
      <c r="NP458" s="11"/>
      <c r="NQ458" s="11"/>
      <c r="NR458" s="11"/>
      <c r="NS458" s="11"/>
      <c r="NT458" s="11"/>
      <c r="NU458" s="11"/>
      <c r="NV458" s="11"/>
      <c r="NW458" s="11"/>
      <c r="NX458" s="11"/>
      <c r="NY458" s="11"/>
      <c r="NZ458" s="11"/>
      <c r="OA458" s="11"/>
      <c r="OB458" s="11"/>
      <c r="OC458" s="11"/>
      <c r="OD458" s="11"/>
      <c r="OE458" s="11"/>
      <c r="OF458" s="11"/>
      <c r="OG458" s="11"/>
      <c r="OH458" s="11"/>
      <c r="OI458" s="11"/>
      <c r="OJ458" s="11"/>
      <c r="OK458" s="11"/>
      <c r="OL458" s="11"/>
      <c r="OM458" s="11"/>
      <c r="ON458" s="11"/>
      <c r="OO458" s="11"/>
      <c r="OP458" s="11"/>
      <c r="OQ458" s="11"/>
      <c r="OR458" s="11"/>
      <c r="OS458" s="11"/>
      <c r="OT458" s="11"/>
      <c r="OU458" s="11"/>
      <c r="OV458" s="11"/>
      <c r="OW458" s="11"/>
      <c r="OX458" s="11"/>
      <c r="OY458" s="11"/>
      <c r="OZ458" s="11"/>
      <c r="PA458" s="11"/>
      <c r="PB458" s="11"/>
      <c r="PC458" s="11"/>
      <c r="PD458" s="11"/>
      <c r="PE458" s="11"/>
      <c r="PF458" s="11"/>
      <c r="PG458" s="11"/>
      <c r="PH458" s="11"/>
      <c r="PI458" s="11"/>
      <c r="PJ458" s="11"/>
      <c r="PK458" s="11"/>
      <c r="PL458" s="11"/>
      <c r="PM458" s="11"/>
      <c r="PN458" s="11"/>
      <c r="PO458" s="11"/>
      <c r="PP458" s="11"/>
      <c r="PQ458" s="11"/>
      <c r="PR458" s="11"/>
      <c r="PS458" s="11"/>
      <c r="PT458" s="11"/>
      <c r="PU458" s="11"/>
      <c r="PV458" s="11"/>
      <c r="PW458" s="11"/>
      <c r="PX458" s="11"/>
      <c r="PY458" s="11"/>
      <c r="PZ458" s="11"/>
      <c r="QA458" s="11"/>
      <c r="QB458" s="11"/>
      <c r="QC458" s="11"/>
      <c r="QD458" s="11"/>
      <c r="QE458" s="11"/>
      <c r="QF458" s="11"/>
      <c r="QG458" s="11"/>
      <c r="QH458" s="11"/>
      <c r="QI458" s="11"/>
      <c r="QJ458" s="11"/>
      <c r="QK458" s="11"/>
      <c r="QL458" s="11"/>
      <c r="QM458" s="11"/>
      <c r="QN458" s="11"/>
      <c r="QO458" s="11"/>
      <c r="QP458" s="11"/>
      <c r="QQ458" s="11"/>
      <c r="QR458" s="11"/>
      <c r="QS458" s="11"/>
      <c r="QT458" s="11"/>
      <c r="QU458" s="11"/>
      <c r="QV458" s="11"/>
      <c r="QW458" s="11"/>
      <c r="QX458" s="11"/>
      <c r="QY458" s="11"/>
      <c r="QZ458" s="11"/>
      <c r="RA458" s="11"/>
      <c r="RB458" s="11"/>
      <c r="RC458" s="11"/>
      <c r="RD458" s="11"/>
      <c r="RE458" s="11"/>
      <c r="RF458" s="11"/>
      <c r="RG458" s="11"/>
      <c r="RH458" s="11"/>
      <c r="RI458" s="11"/>
      <c r="RJ458" s="11"/>
      <c r="RK458" s="11"/>
      <c r="RL458" s="11"/>
      <c r="RM458" s="11"/>
      <c r="RN458" s="11"/>
      <c r="RO458" s="11"/>
      <c r="RP458" s="11"/>
      <c r="RQ458" s="11"/>
      <c r="RR458" s="11"/>
      <c r="RS458" s="11"/>
      <c r="RT458" s="11"/>
      <c r="RU458" s="11"/>
      <c r="RV458" s="11"/>
      <c r="RW458" s="11"/>
      <c r="RX458" s="11"/>
      <c r="RY458" s="11"/>
      <c r="RZ458" s="11"/>
      <c r="SA458" s="11"/>
      <c r="SB458" s="11"/>
      <c r="SC458" s="11"/>
      <c r="SD458" s="11"/>
      <c r="SE458" s="11"/>
      <c r="SF458" s="11"/>
      <c r="SG458" s="11"/>
      <c r="SH458" s="11">
        <v>1</v>
      </c>
    </row>
    <row r="459" spans="1:502" x14ac:dyDescent="0.2">
      <c r="A459" s="10">
        <v>5.4035566142712793E-2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1"/>
      <c r="NJ459" s="11"/>
      <c r="NK459" s="11"/>
      <c r="NL459" s="11"/>
      <c r="NM459" s="11"/>
      <c r="NN459" s="11"/>
      <c r="NO459" s="11"/>
      <c r="NP459" s="11"/>
      <c r="NQ459" s="11"/>
      <c r="NR459" s="11"/>
      <c r="NS459" s="11"/>
      <c r="NT459" s="11"/>
      <c r="NU459" s="11"/>
      <c r="NV459" s="11"/>
      <c r="NW459" s="11"/>
      <c r="NX459" s="11"/>
      <c r="NY459" s="11"/>
      <c r="NZ459" s="11"/>
      <c r="OA459" s="11"/>
      <c r="OB459" s="11"/>
      <c r="OC459" s="11"/>
      <c r="OD459" s="11"/>
      <c r="OE459" s="11"/>
      <c r="OF459" s="11"/>
      <c r="OG459" s="11"/>
      <c r="OH459" s="11"/>
      <c r="OI459" s="11"/>
      <c r="OJ459" s="11"/>
      <c r="OK459" s="11"/>
      <c r="OL459" s="11"/>
      <c r="OM459" s="11"/>
      <c r="ON459" s="11"/>
      <c r="OO459" s="11"/>
      <c r="OP459" s="11"/>
      <c r="OQ459" s="11"/>
      <c r="OR459" s="11"/>
      <c r="OS459" s="11"/>
      <c r="OT459" s="11"/>
      <c r="OU459" s="11"/>
      <c r="OV459" s="11"/>
      <c r="OW459" s="11"/>
      <c r="OX459" s="11"/>
      <c r="OY459" s="11"/>
      <c r="OZ459" s="11"/>
      <c r="PA459" s="11"/>
      <c r="PB459" s="11"/>
      <c r="PC459" s="11"/>
      <c r="PD459" s="11"/>
      <c r="PE459" s="11"/>
      <c r="PF459" s="11"/>
      <c r="PG459" s="11"/>
      <c r="PH459" s="11"/>
      <c r="PI459" s="11"/>
      <c r="PJ459" s="11"/>
      <c r="PK459" s="11"/>
      <c r="PL459" s="11"/>
      <c r="PM459" s="11"/>
      <c r="PN459" s="11"/>
      <c r="PO459" s="11"/>
      <c r="PP459" s="11"/>
      <c r="PQ459" s="11"/>
      <c r="PR459" s="11"/>
      <c r="PS459" s="11"/>
      <c r="PT459" s="11"/>
      <c r="PU459" s="11"/>
      <c r="PV459" s="11"/>
      <c r="PW459" s="11"/>
      <c r="PX459" s="11"/>
      <c r="PY459" s="11"/>
      <c r="PZ459" s="11"/>
      <c r="QA459" s="11"/>
      <c r="QB459" s="11"/>
      <c r="QC459" s="11"/>
      <c r="QD459" s="11"/>
      <c r="QE459" s="11"/>
      <c r="QF459" s="11"/>
      <c r="QG459" s="11"/>
      <c r="QH459" s="11"/>
      <c r="QI459" s="11"/>
      <c r="QJ459" s="11"/>
      <c r="QK459" s="11"/>
      <c r="QL459" s="11"/>
      <c r="QM459" s="11"/>
      <c r="QN459" s="11"/>
      <c r="QO459" s="11"/>
      <c r="QP459" s="11"/>
      <c r="QQ459" s="11"/>
      <c r="QR459" s="11"/>
      <c r="QS459" s="11"/>
      <c r="QT459" s="11"/>
      <c r="QU459" s="11"/>
      <c r="QV459" s="11"/>
      <c r="QW459" s="11"/>
      <c r="QX459" s="11"/>
      <c r="QY459" s="11"/>
      <c r="QZ459" s="11"/>
      <c r="RA459" s="11"/>
      <c r="RB459" s="11"/>
      <c r="RC459" s="11"/>
      <c r="RD459" s="11"/>
      <c r="RE459" s="11"/>
      <c r="RF459" s="11"/>
      <c r="RG459" s="11"/>
      <c r="RH459" s="11"/>
      <c r="RI459" s="11"/>
      <c r="RJ459" s="11"/>
      <c r="RK459" s="11"/>
      <c r="RL459" s="11"/>
      <c r="RM459" s="11"/>
      <c r="RN459" s="11"/>
      <c r="RO459" s="11"/>
      <c r="RP459" s="11"/>
      <c r="RQ459" s="11"/>
      <c r="RR459" s="11"/>
      <c r="RS459" s="11"/>
      <c r="RT459" s="11"/>
      <c r="RU459" s="11"/>
      <c r="RV459" s="11"/>
      <c r="RW459" s="11"/>
      <c r="RX459" s="11"/>
      <c r="RY459" s="11"/>
      <c r="RZ459" s="11"/>
      <c r="SA459" s="11"/>
      <c r="SB459" s="11"/>
      <c r="SC459" s="11"/>
      <c r="SD459" s="11"/>
      <c r="SE459" s="11"/>
      <c r="SF459" s="11">
        <v>1</v>
      </c>
      <c r="SG459" s="11"/>
      <c r="SH459" s="11">
        <v>1</v>
      </c>
    </row>
    <row r="460" spans="1:502" x14ac:dyDescent="0.2">
      <c r="A460" s="10">
        <v>5.4057487937604481E-2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>
        <v>1</v>
      </c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  <c r="IX460" s="11"/>
      <c r="IY460" s="11"/>
      <c r="IZ460" s="11"/>
      <c r="JA460" s="11"/>
      <c r="JB460" s="11"/>
      <c r="JC460" s="11"/>
      <c r="JD460" s="11"/>
      <c r="JE460" s="11"/>
      <c r="JF460" s="11"/>
      <c r="JG460" s="11"/>
      <c r="JH460" s="11"/>
      <c r="JI460" s="11"/>
      <c r="JJ460" s="11"/>
      <c r="JK460" s="11"/>
      <c r="JL460" s="11"/>
      <c r="JM460" s="11"/>
      <c r="JN460" s="11"/>
      <c r="JO460" s="11"/>
      <c r="JP460" s="11"/>
      <c r="JQ460" s="11"/>
      <c r="JR460" s="11"/>
      <c r="JS460" s="11"/>
      <c r="JT460" s="11"/>
      <c r="JU460" s="11"/>
      <c r="JV460" s="11"/>
      <c r="JW460" s="11"/>
      <c r="JX460" s="11"/>
      <c r="JY460" s="11"/>
      <c r="JZ460" s="11"/>
      <c r="KA460" s="11"/>
      <c r="KB460" s="11"/>
      <c r="KC460" s="11"/>
      <c r="KD460" s="11"/>
      <c r="KE460" s="11"/>
      <c r="KF460" s="11"/>
      <c r="KG460" s="11"/>
      <c r="KH460" s="11"/>
      <c r="KI460" s="11"/>
      <c r="KJ460" s="11"/>
      <c r="KK460" s="11"/>
      <c r="KL460" s="11"/>
      <c r="KM460" s="11"/>
      <c r="KN460" s="11"/>
      <c r="KO460" s="11"/>
      <c r="KP460" s="11"/>
      <c r="KQ460" s="11"/>
      <c r="KR460" s="11"/>
      <c r="KS460" s="11"/>
      <c r="KT460" s="11"/>
      <c r="KU460" s="11"/>
      <c r="KV460" s="11"/>
      <c r="KW460" s="11"/>
      <c r="KX460" s="11"/>
      <c r="KY460" s="11"/>
      <c r="KZ460" s="11"/>
      <c r="LA460" s="11"/>
      <c r="LB460" s="11"/>
      <c r="LC460" s="11"/>
      <c r="LD460" s="11"/>
      <c r="LE460" s="11"/>
      <c r="LF460" s="11"/>
      <c r="LG460" s="11"/>
      <c r="LH460" s="11"/>
      <c r="LI460" s="11"/>
      <c r="LJ460" s="11"/>
      <c r="LK460" s="11"/>
      <c r="LL460" s="11"/>
      <c r="LM460" s="11"/>
      <c r="LN460" s="11"/>
      <c r="LO460" s="11"/>
      <c r="LP460" s="11"/>
      <c r="LQ460" s="11"/>
      <c r="LR460" s="11"/>
      <c r="LS460" s="11"/>
      <c r="LT460" s="11"/>
      <c r="LU460" s="11"/>
      <c r="LV460" s="11"/>
      <c r="LW460" s="11"/>
      <c r="LX460" s="11"/>
      <c r="LY460" s="11"/>
      <c r="LZ460" s="11"/>
      <c r="MA460" s="11"/>
      <c r="MB460" s="11"/>
      <c r="MC460" s="11"/>
      <c r="MD460" s="11"/>
      <c r="ME460" s="11"/>
      <c r="MF460" s="11"/>
      <c r="MG460" s="11"/>
      <c r="MH460" s="11"/>
      <c r="MI460" s="11"/>
      <c r="MJ460" s="11"/>
      <c r="MK460" s="11"/>
      <c r="ML460" s="11"/>
      <c r="MM460" s="11"/>
      <c r="MN460" s="11"/>
      <c r="MO460" s="11"/>
      <c r="MP460" s="11"/>
      <c r="MQ460" s="11"/>
      <c r="MR460" s="11"/>
      <c r="MS460" s="11"/>
      <c r="MT460" s="11"/>
      <c r="MU460" s="11"/>
      <c r="MV460" s="11"/>
      <c r="MW460" s="11"/>
      <c r="MX460" s="11"/>
      <c r="MY460" s="11"/>
      <c r="MZ460" s="11"/>
      <c r="NA460" s="11"/>
      <c r="NB460" s="11"/>
      <c r="NC460" s="11"/>
      <c r="ND460" s="11"/>
      <c r="NE460" s="11"/>
      <c r="NF460" s="11"/>
      <c r="NG460" s="11"/>
      <c r="NH460" s="11"/>
      <c r="NI460" s="11"/>
      <c r="NJ460" s="11"/>
      <c r="NK460" s="11"/>
      <c r="NL460" s="11"/>
      <c r="NM460" s="11"/>
      <c r="NN460" s="11"/>
      <c r="NO460" s="11"/>
      <c r="NP460" s="11"/>
      <c r="NQ460" s="11"/>
      <c r="NR460" s="11"/>
      <c r="NS460" s="11"/>
      <c r="NT460" s="11"/>
      <c r="NU460" s="11"/>
      <c r="NV460" s="11"/>
      <c r="NW460" s="11"/>
      <c r="NX460" s="11"/>
      <c r="NY460" s="11"/>
      <c r="NZ460" s="11"/>
      <c r="OA460" s="11"/>
      <c r="OB460" s="11"/>
      <c r="OC460" s="11"/>
      <c r="OD460" s="11"/>
      <c r="OE460" s="11"/>
      <c r="OF460" s="11"/>
      <c r="OG460" s="11"/>
      <c r="OH460" s="11"/>
      <c r="OI460" s="11"/>
      <c r="OJ460" s="11"/>
      <c r="OK460" s="11"/>
      <c r="OL460" s="11"/>
      <c r="OM460" s="11"/>
      <c r="ON460" s="11"/>
      <c r="OO460" s="11"/>
      <c r="OP460" s="11"/>
      <c r="OQ460" s="11"/>
      <c r="OR460" s="11"/>
      <c r="OS460" s="11"/>
      <c r="OT460" s="11"/>
      <c r="OU460" s="11"/>
      <c r="OV460" s="11"/>
      <c r="OW460" s="11"/>
      <c r="OX460" s="11"/>
      <c r="OY460" s="11"/>
      <c r="OZ460" s="11"/>
      <c r="PA460" s="11"/>
      <c r="PB460" s="11"/>
      <c r="PC460" s="11"/>
      <c r="PD460" s="11"/>
      <c r="PE460" s="11"/>
      <c r="PF460" s="11"/>
      <c r="PG460" s="11"/>
      <c r="PH460" s="11"/>
      <c r="PI460" s="11"/>
      <c r="PJ460" s="11"/>
      <c r="PK460" s="11"/>
      <c r="PL460" s="11"/>
      <c r="PM460" s="11"/>
      <c r="PN460" s="11"/>
      <c r="PO460" s="11"/>
      <c r="PP460" s="11"/>
      <c r="PQ460" s="11"/>
      <c r="PR460" s="11"/>
      <c r="PS460" s="11"/>
      <c r="PT460" s="11"/>
      <c r="PU460" s="11"/>
      <c r="PV460" s="11"/>
      <c r="PW460" s="11"/>
      <c r="PX460" s="11"/>
      <c r="PY460" s="11"/>
      <c r="PZ460" s="11"/>
      <c r="QA460" s="11"/>
      <c r="QB460" s="11"/>
      <c r="QC460" s="11"/>
      <c r="QD460" s="11"/>
      <c r="QE460" s="11"/>
      <c r="QF460" s="11"/>
      <c r="QG460" s="11"/>
      <c r="QH460" s="11"/>
      <c r="QI460" s="11"/>
      <c r="QJ460" s="11"/>
      <c r="QK460" s="11"/>
      <c r="QL460" s="11"/>
      <c r="QM460" s="11"/>
      <c r="QN460" s="11"/>
      <c r="QO460" s="11"/>
      <c r="QP460" s="11"/>
      <c r="QQ460" s="11"/>
      <c r="QR460" s="11"/>
      <c r="QS460" s="11"/>
      <c r="QT460" s="11"/>
      <c r="QU460" s="11"/>
      <c r="QV460" s="11"/>
      <c r="QW460" s="11"/>
      <c r="QX460" s="11"/>
      <c r="QY460" s="11"/>
      <c r="QZ460" s="11"/>
      <c r="RA460" s="11"/>
      <c r="RB460" s="11"/>
      <c r="RC460" s="11"/>
      <c r="RD460" s="11"/>
      <c r="RE460" s="11"/>
      <c r="RF460" s="11"/>
      <c r="RG460" s="11"/>
      <c r="RH460" s="11"/>
      <c r="RI460" s="11"/>
      <c r="RJ460" s="11"/>
      <c r="RK460" s="11"/>
      <c r="RL460" s="11"/>
      <c r="RM460" s="11"/>
      <c r="RN460" s="11"/>
      <c r="RO460" s="11"/>
      <c r="RP460" s="11"/>
      <c r="RQ460" s="11"/>
      <c r="RR460" s="11"/>
      <c r="RS460" s="11"/>
      <c r="RT460" s="11"/>
      <c r="RU460" s="11"/>
      <c r="RV460" s="11"/>
      <c r="RW460" s="11"/>
      <c r="RX460" s="11"/>
      <c r="RY460" s="11"/>
      <c r="RZ460" s="11"/>
      <c r="SA460" s="11"/>
      <c r="SB460" s="11"/>
      <c r="SC460" s="11"/>
      <c r="SD460" s="11"/>
      <c r="SE460" s="11"/>
      <c r="SF460" s="11"/>
      <c r="SG460" s="11"/>
      <c r="SH460" s="11">
        <v>1</v>
      </c>
    </row>
    <row r="461" spans="1:502" x14ac:dyDescent="0.2">
      <c r="A461" s="10">
        <v>5.4957762043174624E-2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>
        <v>1</v>
      </c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1"/>
      <c r="NJ461" s="11"/>
      <c r="NK461" s="11"/>
      <c r="NL461" s="11"/>
      <c r="NM461" s="11"/>
      <c r="NN461" s="11"/>
      <c r="NO461" s="11"/>
      <c r="NP461" s="11"/>
      <c r="NQ461" s="11"/>
      <c r="NR461" s="11"/>
      <c r="NS461" s="11"/>
      <c r="NT461" s="11"/>
      <c r="NU461" s="11"/>
      <c r="NV461" s="11"/>
      <c r="NW461" s="11"/>
      <c r="NX461" s="11"/>
      <c r="NY461" s="11"/>
      <c r="NZ461" s="11"/>
      <c r="OA461" s="11"/>
      <c r="OB461" s="11"/>
      <c r="OC461" s="11"/>
      <c r="OD461" s="11"/>
      <c r="OE461" s="11"/>
      <c r="OF461" s="11"/>
      <c r="OG461" s="11"/>
      <c r="OH461" s="11"/>
      <c r="OI461" s="11"/>
      <c r="OJ461" s="11"/>
      <c r="OK461" s="11"/>
      <c r="OL461" s="11"/>
      <c r="OM461" s="11"/>
      <c r="ON461" s="11"/>
      <c r="OO461" s="11"/>
      <c r="OP461" s="11"/>
      <c r="OQ461" s="11"/>
      <c r="OR461" s="11"/>
      <c r="OS461" s="11"/>
      <c r="OT461" s="11"/>
      <c r="OU461" s="11"/>
      <c r="OV461" s="11"/>
      <c r="OW461" s="11"/>
      <c r="OX461" s="11"/>
      <c r="OY461" s="11"/>
      <c r="OZ461" s="11"/>
      <c r="PA461" s="11"/>
      <c r="PB461" s="11"/>
      <c r="PC461" s="11"/>
      <c r="PD461" s="11"/>
      <c r="PE461" s="11"/>
      <c r="PF461" s="11"/>
      <c r="PG461" s="11"/>
      <c r="PH461" s="11"/>
      <c r="PI461" s="11"/>
      <c r="PJ461" s="11"/>
      <c r="PK461" s="11"/>
      <c r="PL461" s="11"/>
      <c r="PM461" s="11"/>
      <c r="PN461" s="11"/>
      <c r="PO461" s="11"/>
      <c r="PP461" s="11"/>
      <c r="PQ461" s="11"/>
      <c r="PR461" s="11"/>
      <c r="PS461" s="11"/>
      <c r="PT461" s="11"/>
      <c r="PU461" s="11"/>
      <c r="PV461" s="11"/>
      <c r="PW461" s="11"/>
      <c r="PX461" s="11"/>
      <c r="PY461" s="11"/>
      <c r="PZ461" s="11"/>
      <c r="QA461" s="11"/>
      <c r="QB461" s="11"/>
      <c r="QC461" s="11"/>
      <c r="QD461" s="11"/>
      <c r="QE461" s="11"/>
      <c r="QF461" s="11"/>
      <c r="QG461" s="11"/>
      <c r="QH461" s="11"/>
      <c r="QI461" s="11"/>
      <c r="QJ461" s="11"/>
      <c r="QK461" s="11"/>
      <c r="QL461" s="11"/>
      <c r="QM461" s="11"/>
      <c r="QN461" s="11"/>
      <c r="QO461" s="11"/>
      <c r="QP461" s="11"/>
      <c r="QQ461" s="11"/>
      <c r="QR461" s="11"/>
      <c r="QS461" s="11"/>
      <c r="QT461" s="11"/>
      <c r="QU461" s="11"/>
      <c r="QV461" s="11"/>
      <c r="QW461" s="11"/>
      <c r="QX461" s="11"/>
      <c r="QY461" s="11"/>
      <c r="QZ461" s="11"/>
      <c r="RA461" s="11"/>
      <c r="RB461" s="11"/>
      <c r="RC461" s="11"/>
      <c r="RD461" s="11"/>
      <c r="RE461" s="11"/>
      <c r="RF461" s="11"/>
      <c r="RG461" s="11"/>
      <c r="RH461" s="11"/>
      <c r="RI461" s="11"/>
      <c r="RJ461" s="11"/>
      <c r="RK461" s="11"/>
      <c r="RL461" s="11"/>
      <c r="RM461" s="11"/>
      <c r="RN461" s="11"/>
      <c r="RO461" s="11"/>
      <c r="RP461" s="11"/>
      <c r="RQ461" s="11"/>
      <c r="RR461" s="11"/>
      <c r="RS461" s="11"/>
      <c r="RT461" s="11"/>
      <c r="RU461" s="11"/>
      <c r="RV461" s="11"/>
      <c r="RW461" s="11"/>
      <c r="RX461" s="11"/>
      <c r="RY461" s="11"/>
      <c r="RZ461" s="11"/>
      <c r="SA461" s="11"/>
      <c r="SB461" s="11"/>
      <c r="SC461" s="11"/>
      <c r="SD461" s="11"/>
      <c r="SE461" s="11"/>
      <c r="SF461" s="11"/>
      <c r="SG461" s="11"/>
      <c r="SH461" s="11">
        <v>1</v>
      </c>
    </row>
    <row r="462" spans="1:502" x14ac:dyDescent="0.2">
      <c r="A462" s="10">
        <v>5.5158686505527195E-2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>
        <v>1</v>
      </c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  <c r="IX462" s="11"/>
      <c r="IY462" s="11"/>
      <c r="IZ462" s="11"/>
      <c r="JA462" s="11"/>
      <c r="JB462" s="11"/>
      <c r="JC462" s="11"/>
      <c r="JD462" s="11"/>
      <c r="JE462" s="11"/>
      <c r="JF462" s="11"/>
      <c r="JG462" s="11"/>
      <c r="JH462" s="11"/>
      <c r="JI462" s="11"/>
      <c r="JJ462" s="11"/>
      <c r="JK462" s="11"/>
      <c r="JL462" s="11"/>
      <c r="JM462" s="11"/>
      <c r="JN462" s="11"/>
      <c r="JO462" s="11"/>
      <c r="JP462" s="11"/>
      <c r="JQ462" s="11"/>
      <c r="JR462" s="11"/>
      <c r="JS462" s="11"/>
      <c r="JT462" s="11"/>
      <c r="JU462" s="11"/>
      <c r="JV462" s="11"/>
      <c r="JW462" s="11"/>
      <c r="JX462" s="11"/>
      <c r="JY462" s="11"/>
      <c r="JZ462" s="11"/>
      <c r="KA462" s="11"/>
      <c r="KB462" s="11"/>
      <c r="KC462" s="11"/>
      <c r="KD462" s="11"/>
      <c r="KE462" s="11"/>
      <c r="KF462" s="11"/>
      <c r="KG462" s="11"/>
      <c r="KH462" s="11"/>
      <c r="KI462" s="11"/>
      <c r="KJ462" s="11"/>
      <c r="KK462" s="11"/>
      <c r="KL462" s="11"/>
      <c r="KM462" s="11"/>
      <c r="KN462" s="11"/>
      <c r="KO462" s="11"/>
      <c r="KP462" s="11"/>
      <c r="KQ462" s="11"/>
      <c r="KR462" s="11"/>
      <c r="KS462" s="11"/>
      <c r="KT462" s="11"/>
      <c r="KU462" s="11"/>
      <c r="KV462" s="11"/>
      <c r="KW462" s="11"/>
      <c r="KX462" s="11"/>
      <c r="KY462" s="11"/>
      <c r="KZ462" s="11"/>
      <c r="LA462" s="11"/>
      <c r="LB462" s="11"/>
      <c r="LC462" s="11"/>
      <c r="LD462" s="11"/>
      <c r="LE462" s="11"/>
      <c r="LF462" s="11"/>
      <c r="LG462" s="11"/>
      <c r="LH462" s="11"/>
      <c r="LI462" s="11"/>
      <c r="LJ462" s="11"/>
      <c r="LK462" s="11"/>
      <c r="LL462" s="11"/>
      <c r="LM462" s="11"/>
      <c r="LN462" s="11"/>
      <c r="LO462" s="11"/>
      <c r="LP462" s="11"/>
      <c r="LQ462" s="11"/>
      <c r="LR462" s="11"/>
      <c r="LS462" s="11"/>
      <c r="LT462" s="11"/>
      <c r="LU462" s="11"/>
      <c r="LV462" s="11"/>
      <c r="LW462" s="11"/>
      <c r="LX462" s="11"/>
      <c r="LY462" s="11"/>
      <c r="LZ462" s="11"/>
      <c r="MA462" s="11"/>
      <c r="MB462" s="11"/>
      <c r="MC462" s="11"/>
      <c r="MD462" s="11"/>
      <c r="ME462" s="11"/>
      <c r="MF462" s="11"/>
      <c r="MG462" s="11"/>
      <c r="MH462" s="11"/>
      <c r="MI462" s="11"/>
      <c r="MJ462" s="11"/>
      <c r="MK462" s="11"/>
      <c r="ML462" s="11"/>
      <c r="MM462" s="11"/>
      <c r="MN462" s="11"/>
      <c r="MO462" s="11"/>
      <c r="MP462" s="11"/>
      <c r="MQ462" s="11"/>
      <c r="MR462" s="11"/>
      <c r="MS462" s="11"/>
      <c r="MT462" s="11"/>
      <c r="MU462" s="11"/>
      <c r="MV462" s="11"/>
      <c r="MW462" s="11"/>
      <c r="MX462" s="11"/>
      <c r="MY462" s="11"/>
      <c r="MZ462" s="11"/>
      <c r="NA462" s="11"/>
      <c r="NB462" s="11"/>
      <c r="NC462" s="11"/>
      <c r="ND462" s="11"/>
      <c r="NE462" s="11"/>
      <c r="NF462" s="11"/>
      <c r="NG462" s="11"/>
      <c r="NH462" s="11"/>
      <c r="NI462" s="11"/>
      <c r="NJ462" s="11"/>
      <c r="NK462" s="11"/>
      <c r="NL462" s="11"/>
      <c r="NM462" s="11"/>
      <c r="NN462" s="11"/>
      <c r="NO462" s="11"/>
      <c r="NP462" s="11"/>
      <c r="NQ462" s="11"/>
      <c r="NR462" s="11"/>
      <c r="NS462" s="11"/>
      <c r="NT462" s="11"/>
      <c r="NU462" s="11"/>
      <c r="NV462" s="11"/>
      <c r="NW462" s="11"/>
      <c r="NX462" s="11"/>
      <c r="NY462" s="11"/>
      <c r="NZ462" s="11"/>
      <c r="OA462" s="11"/>
      <c r="OB462" s="11"/>
      <c r="OC462" s="11"/>
      <c r="OD462" s="11"/>
      <c r="OE462" s="11"/>
      <c r="OF462" s="11"/>
      <c r="OG462" s="11"/>
      <c r="OH462" s="11"/>
      <c r="OI462" s="11"/>
      <c r="OJ462" s="11"/>
      <c r="OK462" s="11"/>
      <c r="OL462" s="11"/>
      <c r="OM462" s="11"/>
      <c r="ON462" s="11"/>
      <c r="OO462" s="11"/>
      <c r="OP462" s="11"/>
      <c r="OQ462" s="11"/>
      <c r="OR462" s="11"/>
      <c r="OS462" s="11"/>
      <c r="OT462" s="11"/>
      <c r="OU462" s="11"/>
      <c r="OV462" s="11"/>
      <c r="OW462" s="11"/>
      <c r="OX462" s="11"/>
      <c r="OY462" s="11"/>
      <c r="OZ462" s="11"/>
      <c r="PA462" s="11"/>
      <c r="PB462" s="11"/>
      <c r="PC462" s="11"/>
      <c r="PD462" s="11"/>
      <c r="PE462" s="11"/>
      <c r="PF462" s="11"/>
      <c r="PG462" s="11"/>
      <c r="PH462" s="11"/>
      <c r="PI462" s="11"/>
      <c r="PJ462" s="11"/>
      <c r="PK462" s="11"/>
      <c r="PL462" s="11"/>
      <c r="PM462" s="11"/>
      <c r="PN462" s="11"/>
      <c r="PO462" s="11"/>
      <c r="PP462" s="11"/>
      <c r="PQ462" s="11"/>
      <c r="PR462" s="11"/>
      <c r="PS462" s="11"/>
      <c r="PT462" s="11"/>
      <c r="PU462" s="11"/>
      <c r="PV462" s="11"/>
      <c r="PW462" s="11"/>
      <c r="PX462" s="11"/>
      <c r="PY462" s="11"/>
      <c r="PZ462" s="11"/>
      <c r="QA462" s="11"/>
      <c r="QB462" s="11"/>
      <c r="QC462" s="11"/>
      <c r="QD462" s="11"/>
      <c r="QE462" s="11"/>
      <c r="QF462" s="11"/>
      <c r="QG462" s="11"/>
      <c r="QH462" s="11"/>
      <c r="QI462" s="11"/>
      <c r="QJ462" s="11"/>
      <c r="QK462" s="11"/>
      <c r="QL462" s="11"/>
      <c r="QM462" s="11"/>
      <c r="QN462" s="11"/>
      <c r="QO462" s="11"/>
      <c r="QP462" s="11"/>
      <c r="QQ462" s="11"/>
      <c r="QR462" s="11"/>
      <c r="QS462" s="11"/>
      <c r="QT462" s="11"/>
      <c r="QU462" s="11"/>
      <c r="QV462" s="11"/>
      <c r="QW462" s="11"/>
      <c r="QX462" s="11"/>
      <c r="QY462" s="11"/>
      <c r="QZ462" s="11"/>
      <c r="RA462" s="11"/>
      <c r="RB462" s="11"/>
      <c r="RC462" s="11"/>
      <c r="RD462" s="11"/>
      <c r="RE462" s="11"/>
      <c r="RF462" s="11"/>
      <c r="RG462" s="11"/>
      <c r="RH462" s="11"/>
      <c r="RI462" s="11"/>
      <c r="RJ462" s="11"/>
      <c r="RK462" s="11"/>
      <c r="RL462" s="11"/>
      <c r="RM462" s="11"/>
      <c r="RN462" s="11"/>
      <c r="RO462" s="11"/>
      <c r="RP462" s="11"/>
      <c r="RQ462" s="11"/>
      <c r="RR462" s="11"/>
      <c r="RS462" s="11"/>
      <c r="RT462" s="11"/>
      <c r="RU462" s="11"/>
      <c r="RV462" s="11"/>
      <c r="RW462" s="11"/>
      <c r="RX462" s="11"/>
      <c r="RY462" s="11"/>
      <c r="RZ462" s="11"/>
      <c r="SA462" s="11"/>
      <c r="SB462" s="11"/>
      <c r="SC462" s="11"/>
      <c r="SD462" s="11"/>
      <c r="SE462" s="11"/>
      <c r="SF462" s="11"/>
      <c r="SG462" s="11"/>
      <c r="SH462" s="11">
        <v>1</v>
      </c>
    </row>
    <row r="463" spans="1:502" x14ac:dyDescent="0.2">
      <c r="A463" s="10">
        <v>5.516220497869697E-2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>
        <v>1</v>
      </c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1"/>
      <c r="NJ463" s="11"/>
      <c r="NK463" s="11"/>
      <c r="NL463" s="11"/>
      <c r="NM463" s="11"/>
      <c r="NN463" s="11"/>
      <c r="NO463" s="11"/>
      <c r="NP463" s="11"/>
      <c r="NQ463" s="11"/>
      <c r="NR463" s="11"/>
      <c r="NS463" s="11"/>
      <c r="NT463" s="11"/>
      <c r="NU463" s="11"/>
      <c r="NV463" s="11"/>
      <c r="NW463" s="11"/>
      <c r="NX463" s="11"/>
      <c r="NY463" s="11"/>
      <c r="NZ463" s="11"/>
      <c r="OA463" s="11"/>
      <c r="OB463" s="11"/>
      <c r="OC463" s="11"/>
      <c r="OD463" s="11"/>
      <c r="OE463" s="11"/>
      <c r="OF463" s="11"/>
      <c r="OG463" s="11"/>
      <c r="OH463" s="11"/>
      <c r="OI463" s="11"/>
      <c r="OJ463" s="11"/>
      <c r="OK463" s="11"/>
      <c r="OL463" s="11"/>
      <c r="OM463" s="11"/>
      <c r="ON463" s="11"/>
      <c r="OO463" s="11"/>
      <c r="OP463" s="11"/>
      <c r="OQ463" s="11"/>
      <c r="OR463" s="11"/>
      <c r="OS463" s="11"/>
      <c r="OT463" s="11"/>
      <c r="OU463" s="11"/>
      <c r="OV463" s="11"/>
      <c r="OW463" s="11"/>
      <c r="OX463" s="11"/>
      <c r="OY463" s="11"/>
      <c r="OZ463" s="11"/>
      <c r="PA463" s="11"/>
      <c r="PB463" s="11"/>
      <c r="PC463" s="11"/>
      <c r="PD463" s="11"/>
      <c r="PE463" s="11"/>
      <c r="PF463" s="11"/>
      <c r="PG463" s="11"/>
      <c r="PH463" s="11"/>
      <c r="PI463" s="11"/>
      <c r="PJ463" s="11"/>
      <c r="PK463" s="11"/>
      <c r="PL463" s="11"/>
      <c r="PM463" s="11"/>
      <c r="PN463" s="11"/>
      <c r="PO463" s="11"/>
      <c r="PP463" s="11"/>
      <c r="PQ463" s="11"/>
      <c r="PR463" s="11"/>
      <c r="PS463" s="11"/>
      <c r="PT463" s="11"/>
      <c r="PU463" s="11"/>
      <c r="PV463" s="11"/>
      <c r="PW463" s="11"/>
      <c r="PX463" s="11"/>
      <c r="PY463" s="11"/>
      <c r="PZ463" s="11"/>
      <c r="QA463" s="11"/>
      <c r="QB463" s="11"/>
      <c r="QC463" s="11"/>
      <c r="QD463" s="11"/>
      <c r="QE463" s="11"/>
      <c r="QF463" s="11"/>
      <c r="QG463" s="11"/>
      <c r="QH463" s="11"/>
      <c r="QI463" s="11"/>
      <c r="QJ463" s="11"/>
      <c r="QK463" s="11"/>
      <c r="QL463" s="11"/>
      <c r="QM463" s="11"/>
      <c r="QN463" s="11"/>
      <c r="QO463" s="11"/>
      <c r="QP463" s="11"/>
      <c r="QQ463" s="11"/>
      <c r="QR463" s="11"/>
      <c r="QS463" s="11"/>
      <c r="QT463" s="11"/>
      <c r="QU463" s="11"/>
      <c r="QV463" s="11"/>
      <c r="QW463" s="11"/>
      <c r="QX463" s="11"/>
      <c r="QY463" s="11"/>
      <c r="QZ463" s="11"/>
      <c r="RA463" s="11"/>
      <c r="RB463" s="11"/>
      <c r="RC463" s="11"/>
      <c r="RD463" s="11"/>
      <c r="RE463" s="11"/>
      <c r="RF463" s="11"/>
      <c r="RG463" s="11"/>
      <c r="RH463" s="11"/>
      <c r="RI463" s="11"/>
      <c r="RJ463" s="11"/>
      <c r="RK463" s="11"/>
      <c r="RL463" s="11"/>
      <c r="RM463" s="11"/>
      <c r="RN463" s="11"/>
      <c r="RO463" s="11"/>
      <c r="RP463" s="11"/>
      <c r="RQ463" s="11"/>
      <c r="RR463" s="11"/>
      <c r="RS463" s="11"/>
      <c r="RT463" s="11"/>
      <c r="RU463" s="11"/>
      <c r="RV463" s="11"/>
      <c r="RW463" s="11"/>
      <c r="RX463" s="11"/>
      <c r="RY463" s="11"/>
      <c r="RZ463" s="11"/>
      <c r="SA463" s="11"/>
      <c r="SB463" s="11"/>
      <c r="SC463" s="11"/>
      <c r="SD463" s="11"/>
      <c r="SE463" s="11"/>
      <c r="SF463" s="11"/>
      <c r="SG463" s="11"/>
      <c r="SH463" s="11">
        <v>1</v>
      </c>
    </row>
    <row r="464" spans="1:502" x14ac:dyDescent="0.2">
      <c r="A464" s="10">
        <v>5.5374984526783293E-2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>
        <v>1</v>
      </c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  <c r="IX464" s="11"/>
      <c r="IY464" s="11"/>
      <c r="IZ464" s="11"/>
      <c r="JA464" s="11"/>
      <c r="JB464" s="11"/>
      <c r="JC464" s="11"/>
      <c r="JD464" s="11"/>
      <c r="JE464" s="11"/>
      <c r="JF464" s="11"/>
      <c r="JG464" s="11"/>
      <c r="JH464" s="11"/>
      <c r="JI464" s="11"/>
      <c r="JJ464" s="11"/>
      <c r="JK464" s="11"/>
      <c r="JL464" s="11"/>
      <c r="JM464" s="11"/>
      <c r="JN464" s="11"/>
      <c r="JO464" s="11"/>
      <c r="JP464" s="11"/>
      <c r="JQ464" s="11"/>
      <c r="JR464" s="11"/>
      <c r="JS464" s="11"/>
      <c r="JT464" s="11"/>
      <c r="JU464" s="11"/>
      <c r="JV464" s="11"/>
      <c r="JW464" s="11"/>
      <c r="JX464" s="11"/>
      <c r="JY464" s="11"/>
      <c r="JZ464" s="11"/>
      <c r="KA464" s="11"/>
      <c r="KB464" s="11"/>
      <c r="KC464" s="11"/>
      <c r="KD464" s="11"/>
      <c r="KE464" s="11"/>
      <c r="KF464" s="11"/>
      <c r="KG464" s="11"/>
      <c r="KH464" s="11"/>
      <c r="KI464" s="11"/>
      <c r="KJ464" s="11"/>
      <c r="KK464" s="11"/>
      <c r="KL464" s="11"/>
      <c r="KM464" s="11"/>
      <c r="KN464" s="11"/>
      <c r="KO464" s="11"/>
      <c r="KP464" s="11"/>
      <c r="KQ464" s="11"/>
      <c r="KR464" s="11"/>
      <c r="KS464" s="11"/>
      <c r="KT464" s="11"/>
      <c r="KU464" s="11"/>
      <c r="KV464" s="11"/>
      <c r="KW464" s="11"/>
      <c r="KX464" s="11"/>
      <c r="KY464" s="11"/>
      <c r="KZ464" s="11"/>
      <c r="LA464" s="11"/>
      <c r="LB464" s="11"/>
      <c r="LC464" s="11"/>
      <c r="LD464" s="11"/>
      <c r="LE464" s="11"/>
      <c r="LF464" s="11"/>
      <c r="LG464" s="11"/>
      <c r="LH464" s="11"/>
      <c r="LI464" s="11"/>
      <c r="LJ464" s="11"/>
      <c r="LK464" s="11"/>
      <c r="LL464" s="11"/>
      <c r="LM464" s="11"/>
      <c r="LN464" s="11"/>
      <c r="LO464" s="11"/>
      <c r="LP464" s="11"/>
      <c r="LQ464" s="11"/>
      <c r="LR464" s="11"/>
      <c r="LS464" s="11"/>
      <c r="LT464" s="11"/>
      <c r="LU464" s="11"/>
      <c r="LV464" s="11"/>
      <c r="LW464" s="11"/>
      <c r="LX464" s="11"/>
      <c r="LY464" s="11"/>
      <c r="LZ464" s="11"/>
      <c r="MA464" s="11"/>
      <c r="MB464" s="11"/>
      <c r="MC464" s="11"/>
      <c r="MD464" s="11"/>
      <c r="ME464" s="11"/>
      <c r="MF464" s="11"/>
      <c r="MG464" s="11"/>
      <c r="MH464" s="11"/>
      <c r="MI464" s="11"/>
      <c r="MJ464" s="11"/>
      <c r="MK464" s="11"/>
      <c r="ML464" s="11"/>
      <c r="MM464" s="11"/>
      <c r="MN464" s="11"/>
      <c r="MO464" s="11"/>
      <c r="MP464" s="11"/>
      <c r="MQ464" s="11"/>
      <c r="MR464" s="11"/>
      <c r="MS464" s="11"/>
      <c r="MT464" s="11"/>
      <c r="MU464" s="11"/>
      <c r="MV464" s="11"/>
      <c r="MW464" s="11"/>
      <c r="MX464" s="11"/>
      <c r="MY464" s="11"/>
      <c r="MZ464" s="11"/>
      <c r="NA464" s="11"/>
      <c r="NB464" s="11"/>
      <c r="NC464" s="11"/>
      <c r="ND464" s="11"/>
      <c r="NE464" s="11"/>
      <c r="NF464" s="11"/>
      <c r="NG464" s="11"/>
      <c r="NH464" s="11"/>
      <c r="NI464" s="11"/>
      <c r="NJ464" s="11"/>
      <c r="NK464" s="11"/>
      <c r="NL464" s="11"/>
      <c r="NM464" s="11"/>
      <c r="NN464" s="11"/>
      <c r="NO464" s="11"/>
      <c r="NP464" s="11"/>
      <c r="NQ464" s="11"/>
      <c r="NR464" s="11"/>
      <c r="NS464" s="11"/>
      <c r="NT464" s="11"/>
      <c r="NU464" s="11"/>
      <c r="NV464" s="11"/>
      <c r="NW464" s="11"/>
      <c r="NX464" s="11"/>
      <c r="NY464" s="11"/>
      <c r="NZ464" s="11"/>
      <c r="OA464" s="11"/>
      <c r="OB464" s="11"/>
      <c r="OC464" s="11"/>
      <c r="OD464" s="11"/>
      <c r="OE464" s="11"/>
      <c r="OF464" s="11"/>
      <c r="OG464" s="11"/>
      <c r="OH464" s="11"/>
      <c r="OI464" s="11"/>
      <c r="OJ464" s="11"/>
      <c r="OK464" s="11"/>
      <c r="OL464" s="11"/>
      <c r="OM464" s="11"/>
      <c r="ON464" s="11"/>
      <c r="OO464" s="11"/>
      <c r="OP464" s="11"/>
      <c r="OQ464" s="11"/>
      <c r="OR464" s="11"/>
      <c r="OS464" s="11"/>
      <c r="OT464" s="11"/>
      <c r="OU464" s="11"/>
      <c r="OV464" s="11"/>
      <c r="OW464" s="11"/>
      <c r="OX464" s="11"/>
      <c r="OY464" s="11"/>
      <c r="OZ464" s="11"/>
      <c r="PA464" s="11"/>
      <c r="PB464" s="11"/>
      <c r="PC464" s="11"/>
      <c r="PD464" s="11"/>
      <c r="PE464" s="11"/>
      <c r="PF464" s="11"/>
      <c r="PG464" s="11"/>
      <c r="PH464" s="11"/>
      <c r="PI464" s="11"/>
      <c r="PJ464" s="11"/>
      <c r="PK464" s="11"/>
      <c r="PL464" s="11"/>
      <c r="PM464" s="11"/>
      <c r="PN464" s="11"/>
      <c r="PO464" s="11"/>
      <c r="PP464" s="11"/>
      <c r="PQ464" s="11"/>
      <c r="PR464" s="11"/>
      <c r="PS464" s="11"/>
      <c r="PT464" s="11"/>
      <c r="PU464" s="11"/>
      <c r="PV464" s="11"/>
      <c r="PW464" s="11"/>
      <c r="PX464" s="11"/>
      <c r="PY464" s="11"/>
      <c r="PZ464" s="11"/>
      <c r="QA464" s="11"/>
      <c r="QB464" s="11"/>
      <c r="QC464" s="11"/>
      <c r="QD464" s="11"/>
      <c r="QE464" s="11"/>
      <c r="QF464" s="11"/>
      <c r="QG464" s="11"/>
      <c r="QH464" s="11"/>
      <c r="QI464" s="11"/>
      <c r="QJ464" s="11"/>
      <c r="QK464" s="11"/>
      <c r="QL464" s="11"/>
      <c r="QM464" s="11"/>
      <c r="QN464" s="11"/>
      <c r="QO464" s="11"/>
      <c r="QP464" s="11"/>
      <c r="QQ464" s="11"/>
      <c r="QR464" s="11"/>
      <c r="QS464" s="11"/>
      <c r="QT464" s="11"/>
      <c r="QU464" s="11"/>
      <c r="QV464" s="11"/>
      <c r="QW464" s="11"/>
      <c r="QX464" s="11"/>
      <c r="QY464" s="11"/>
      <c r="QZ464" s="11"/>
      <c r="RA464" s="11"/>
      <c r="RB464" s="11"/>
      <c r="RC464" s="11"/>
      <c r="RD464" s="11"/>
      <c r="RE464" s="11"/>
      <c r="RF464" s="11"/>
      <c r="RG464" s="11"/>
      <c r="RH464" s="11"/>
      <c r="RI464" s="11"/>
      <c r="RJ464" s="11"/>
      <c r="RK464" s="11"/>
      <c r="RL464" s="11"/>
      <c r="RM464" s="11"/>
      <c r="RN464" s="11"/>
      <c r="RO464" s="11"/>
      <c r="RP464" s="11"/>
      <c r="RQ464" s="11"/>
      <c r="RR464" s="11"/>
      <c r="RS464" s="11"/>
      <c r="RT464" s="11"/>
      <c r="RU464" s="11"/>
      <c r="RV464" s="11"/>
      <c r="RW464" s="11"/>
      <c r="RX464" s="11"/>
      <c r="RY464" s="11"/>
      <c r="RZ464" s="11"/>
      <c r="SA464" s="11"/>
      <c r="SB464" s="11"/>
      <c r="SC464" s="11"/>
      <c r="SD464" s="11"/>
      <c r="SE464" s="11"/>
      <c r="SF464" s="11"/>
      <c r="SG464" s="11"/>
      <c r="SH464" s="11">
        <v>1</v>
      </c>
    </row>
    <row r="465" spans="1:502" x14ac:dyDescent="0.2">
      <c r="A465" s="10">
        <v>5.572644307085086E-2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1"/>
      <c r="NJ465" s="11"/>
      <c r="NK465" s="11"/>
      <c r="NL465" s="11"/>
      <c r="NM465" s="11"/>
      <c r="NN465" s="11"/>
      <c r="NO465" s="11"/>
      <c r="NP465" s="11"/>
      <c r="NQ465" s="11"/>
      <c r="NR465" s="11"/>
      <c r="NS465" s="11"/>
      <c r="NT465" s="11"/>
      <c r="NU465" s="11"/>
      <c r="NV465" s="11"/>
      <c r="NW465" s="11"/>
      <c r="NX465" s="11"/>
      <c r="NY465" s="11"/>
      <c r="NZ465" s="11"/>
      <c r="OA465" s="11"/>
      <c r="OB465" s="11"/>
      <c r="OC465" s="11"/>
      <c r="OD465" s="11"/>
      <c r="OE465" s="11"/>
      <c r="OF465" s="11"/>
      <c r="OG465" s="11"/>
      <c r="OH465" s="11"/>
      <c r="OI465" s="11"/>
      <c r="OJ465" s="11"/>
      <c r="OK465" s="11"/>
      <c r="OL465" s="11"/>
      <c r="OM465" s="11"/>
      <c r="ON465" s="11"/>
      <c r="OO465" s="11"/>
      <c r="OP465" s="11"/>
      <c r="OQ465" s="11"/>
      <c r="OR465" s="11"/>
      <c r="OS465" s="11"/>
      <c r="OT465" s="11"/>
      <c r="OU465" s="11"/>
      <c r="OV465" s="11"/>
      <c r="OW465" s="11"/>
      <c r="OX465" s="11"/>
      <c r="OY465" s="11"/>
      <c r="OZ465" s="11"/>
      <c r="PA465" s="11"/>
      <c r="PB465" s="11"/>
      <c r="PC465" s="11"/>
      <c r="PD465" s="11"/>
      <c r="PE465" s="11"/>
      <c r="PF465" s="11"/>
      <c r="PG465" s="11"/>
      <c r="PH465" s="11">
        <v>1</v>
      </c>
      <c r="PI465" s="11"/>
      <c r="PJ465" s="11"/>
      <c r="PK465" s="11"/>
      <c r="PL465" s="11"/>
      <c r="PM465" s="11"/>
      <c r="PN465" s="11"/>
      <c r="PO465" s="11"/>
      <c r="PP465" s="11"/>
      <c r="PQ465" s="11"/>
      <c r="PR465" s="11"/>
      <c r="PS465" s="11"/>
      <c r="PT465" s="11"/>
      <c r="PU465" s="11"/>
      <c r="PV465" s="11"/>
      <c r="PW465" s="11"/>
      <c r="PX465" s="11"/>
      <c r="PY465" s="11"/>
      <c r="PZ465" s="11"/>
      <c r="QA465" s="11"/>
      <c r="QB465" s="11"/>
      <c r="QC465" s="11"/>
      <c r="QD465" s="11"/>
      <c r="QE465" s="11"/>
      <c r="QF465" s="11"/>
      <c r="QG465" s="11"/>
      <c r="QH465" s="11"/>
      <c r="QI465" s="11"/>
      <c r="QJ465" s="11"/>
      <c r="QK465" s="11"/>
      <c r="QL465" s="11"/>
      <c r="QM465" s="11"/>
      <c r="QN465" s="11"/>
      <c r="QO465" s="11"/>
      <c r="QP465" s="11"/>
      <c r="QQ465" s="11"/>
      <c r="QR465" s="11"/>
      <c r="QS465" s="11"/>
      <c r="QT465" s="11"/>
      <c r="QU465" s="11"/>
      <c r="QV465" s="11"/>
      <c r="QW465" s="11"/>
      <c r="QX465" s="11"/>
      <c r="QY465" s="11"/>
      <c r="QZ465" s="11"/>
      <c r="RA465" s="11"/>
      <c r="RB465" s="11"/>
      <c r="RC465" s="11"/>
      <c r="RD465" s="11"/>
      <c r="RE465" s="11"/>
      <c r="RF465" s="11"/>
      <c r="RG465" s="11"/>
      <c r="RH465" s="11"/>
      <c r="RI465" s="11"/>
      <c r="RJ465" s="11"/>
      <c r="RK465" s="11"/>
      <c r="RL465" s="11"/>
      <c r="RM465" s="11"/>
      <c r="RN465" s="11"/>
      <c r="RO465" s="11"/>
      <c r="RP465" s="11"/>
      <c r="RQ465" s="11"/>
      <c r="RR465" s="11"/>
      <c r="RS465" s="11"/>
      <c r="RT465" s="11"/>
      <c r="RU465" s="11"/>
      <c r="RV465" s="11"/>
      <c r="RW465" s="11"/>
      <c r="RX465" s="11"/>
      <c r="RY465" s="11"/>
      <c r="RZ465" s="11"/>
      <c r="SA465" s="11"/>
      <c r="SB465" s="11"/>
      <c r="SC465" s="11"/>
      <c r="SD465" s="11"/>
      <c r="SE465" s="11"/>
      <c r="SF465" s="11"/>
      <c r="SG465" s="11"/>
      <c r="SH465" s="11">
        <v>1</v>
      </c>
    </row>
    <row r="466" spans="1:502" x14ac:dyDescent="0.2">
      <c r="A466" s="10">
        <v>5.5808599103245954E-2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>
        <v>1</v>
      </c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  <c r="IX466" s="11"/>
      <c r="IY466" s="11"/>
      <c r="IZ466" s="11"/>
      <c r="JA466" s="11"/>
      <c r="JB466" s="11"/>
      <c r="JC466" s="11"/>
      <c r="JD466" s="11"/>
      <c r="JE466" s="11"/>
      <c r="JF466" s="11"/>
      <c r="JG466" s="11"/>
      <c r="JH466" s="11"/>
      <c r="JI466" s="11"/>
      <c r="JJ466" s="11"/>
      <c r="JK466" s="11"/>
      <c r="JL466" s="11"/>
      <c r="JM466" s="11"/>
      <c r="JN466" s="11"/>
      <c r="JO466" s="11"/>
      <c r="JP466" s="11"/>
      <c r="JQ466" s="11"/>
      <c r="JR466" s="11"/>
      <c r="JS466" s="11"/>
      <c r="JT466" s="11"/>
      <c r="JU466" s="11"/>
      <c r="JV466" s="11"/>
      <c r="JW466" s="11"/>
      <c r="JX466" s="11"/>
      <c r="JY466" s="11"/>
      <c r="JZ466" s="11"/>
      <c r="KA466" s="11"/>
      <c r="KB466" s="11"/>
      <c r="KC466" s="11"/>
      <c r="KD466" s="11"/>
      <c r="KE466" s="11"/>
      <c r="KF466" s="11"/>
      <c r="KG466" s="11"/>
      <c r="KH466" s="11"/>
      <c r="KI466" s="11"/>
      <c r="KJ466" s="11"/>
      <c r="KK466" s="11"/>
      <c r="KL466" s="11"/>
      <c r="KM466" s="11"/>
      <c r="KN466" s="11"/>
      <c r="KO466" s="11"/>
      <c r="KP466" s="11"/>
      <c r="KQ466" s="11"/>
      <c r="KR466" s="11"/>
      <c r="KS466" s="11"/>
      <c r="KT466" s="11"/>
      <c r="KU466" s="11"/>
      <c r="KV466" s="11"/>
      <c r="KW466" s="11"/>
      <c r="KX466" s="11"/>
      <c r="KY466" s="11"/>
      <c r="KZ466" s="11"/>
      <c r="LA466" s="11"/>
      <c r="LB466" s="11"/>
      <c r="LC466" s="11"/>
      <c r="LD466" s="11"/>
      <c r="LE466" s="11"/>
      <c r="LF466" s="11"/>
      <c r="LG466" s="11"/>
      <c r="LH466" s="11"/>
      <c r="LI466" s="11"/>
      <c r="LJ466" s="11"/>
      <c r="LK466" s="11"/>
      <c r="LL466" s="11"/>
      <c r="LM466" s="11"/>
      <c r="LN466" s="11"/>
      <c r="LO466" s="11"/>
      <c r="LP466" s="11"/>
      <c r="LQ466" s="11"/>
      <c r="LR466" s="11"/>
      <c r="LS466" s="11"/>
      <c r="LT466" s="11"/>
      <c r="LU466" s="11"/>
      <c r="LV466" s="11"/>
      <c r="LW466" s="11"/>
      <c r="LX466" s="11"/>
      <c r="LY466" s="11"/>
      <c r="LZ466" s="11"/>
      <c r="MA466" s="11"/>
      <c r="MB466" s="11"/>
      <c r="MC466" s="11"/>
      <c r="MD466" s="11"/>
      <c r="ME466" s="11"/>
      <c r="MF466" s="11"/>
      <c r="MG466" s="11"/>
      <c r="MH466" s="11"/>
      <c r="MI466" s="11"/>
      <c r="MJ466" s="11"/>
      <c r="MK466" s="11"/>
      <c r="ML466" s="11"/>
      <c r="MM466" s="11"/>
      <c r="MN466" s="11"/>
      <c r="MO466" s="11"/>
      <c r="MP466" s="11"/>
      <c r="MQ466" s="11"/>
      <c r="MR466" s="11"/>
      <c r="MS466" s="11"/>
      <c r="MT466" s="11"/>
      <c r="MU466" s="11"/>
      <c r="MV466" s="11"/>
      <c r="MW466" s="11"/>
      <c r="MX466" s="11"/>
      <c r="MY466" s="11"/>
      <c r="MZ466" s="11"/>
      <c r="NA466" s="11"/>
      <c r="NB466" s="11"/>
      <c r="NC466" s="11"/>
      <c r="ND466" s="11"/>
      <c r="NE466" s="11"/>
      <c r="NF466" s="11"/>
      <c r="NG466" s="11"/>
      <c r="NH466" s="11"/>
      <c r="NI466" s="11"/>
      <c r="NJ466" s="11"/>
      <c r="NK466" s="11"/>
      <c r="NL466" s="11"/>
      <c r="NM466" s="11"/>
      <c r="NN466" s="11"/>
      <c r="NO466" s="11"/>
      <c r="NP466" s="11"/>
      <c r="NQ466" s="11"/>
      <c r="NR466" s="11"/>
      <c r="NS466" s="11"/>
      <c r="NT466" s="11"/>
      <c r="NU466" s="11"/>
      <c r="NV466" s="11"/>
      <c r="NW466" s="11"/>
      <c r="NX466" s="11"/>
      <c r="NY466" s="11"/>
      <c r="NZ466" s="11"/>
      <c r="OA466" s="11"/>
      <c r="OB466" s="11"/>
      <c r="OC466" s="11"/>
      <c r="OD466" s="11"/>
      <c r="OE466" s="11"/>
      <c r="OF466" s="11"/>
      <c r="OG466" s="11"/>
      <c r="OH466" s="11"/>
      <c r="OI466" s="11"/>
      <c r="OJ466" s="11"/>
      <c r="OK466" s="11"/>
      <c r="OL466" s="11"/>
      <c r="OM466" s="11"/>
      <c r="ON466" s="11"/>
      <c r="OO466" s="11"/>
      <c r="OP466" s="11"/>
      <c r="OQ466" s="11"/>
      <c r="OR466" s="11"/>
      <c r="OS466" s="11"/>
      <c r="OT466" s="11"/>
      <c r="OU466" s="11"/>
      <c r="OV466" s="11"/>
      <c r="OW466" s="11"/>
      <c r="OX466" s="11"/>
      <c r="OY466" s="11"/>
      <c r="OZ466" s="11"/>
      <c r="PA466" s="11"/>
      <c r="PB466" s="11"/>
      <c r="PC466" s="11"/>
      <c r="PD466" s="11"/>
      <c r="PE466" s="11"/>
      <c r="PF466" s="11"/>
      <c r="PG466" s="11"/>
      <c r="PH466" s="11"/>
      <c r="PI466" s="11"/>
      <c r="PJ466" s="11"/>
      <c r="PK466" s="11"/>
      <c r="PL466" s="11"/>
      <c r="PM466" s="11"/>
      <c r="PN466" s="11"/>
      <c r="PO466" s="11"/>
      <c r="PP466" s="11"/>
      <c r="PQ466" s="11"/>
      <c r="PR466" s="11"/>
      <c r="PS466" s="11"/>
      <c r="PT466" s="11"/>
      <c r="PU466" s="11"/>
      <c r="PV466" s="11"/>
      <c r="PW466" s="11"/>
      <c r="PX466" s="11"/>
      <c r="PY466" s="11"/>
      <c r="PZ466" s="11"/>
      <c r="QA466" s="11"/>
      <c r="QB466" s="11"/>
      <c r="QC466" s="11"/>
      <c r="QD466" s="11"/>
      <c r="QE466" s="11"/>
      <c r="QF466" s="11"/>
      <c r="QG466" s="11"/>
      <c r="QH466" s="11"/>
      <c r="QI466" s="11"/>
      <c r="QJ466" s="11"/>
      <c r="QK466" s="11"/>
      <c r="QL466" s="11"/>
      <c r="QM466" s="11"/>
      <c r="QN466" s="11"/>
      <c r="QO466" s="11"/>
      <c r="QP466" s="11"/>
      <c r="QQ466" s="11"/>
      <c r="QR466" s="11"/>
      <c r="QS466" s="11"/>
      <c r="QT466" s="11"/>
      <c r="QU466" s="11"/>
      <c r="QV466" s="11"/>
      <c r="QW466" s="11"/>
      <c r="QX466" s="11"/>
      <c r="QY466" s="11"/>
      <c r="QZ466" s="11"/>
      <c r="RA466" s="11"/>
      <c r="RB466" s="11"/>
      <c r="RC466" s="11"/>
      <c r="RD466" s="11"/>
      <c r="RE466" s="11"/>
      <c r="RF466" s="11"/>
      <c r="RG466" s="11"/>
      <c r="RH466" s="11"/>
      <c r="RI466" s="11"/>
      <c r="RJ466" s="11"/>
      <c r="RK466" s="11"/>
      <c r="RL466" s="11"/>
      <c r="RM466" s="11"/>
      <c r="RN466" s="11"/>
      <c r="RO466" s="11"/>
      <c r="RP466" s="11"/>
      <c r="RQ466" s="11"/>
      <c r="RR466" s="11"/>
      <c r="RS466" s="11"/>
      <c r="RT466" s="11"/>
      <c r="RU466" s="11"/>
      <c r="RV466" s="11"/>
      <c r="RW466" s="11"/>
      <c r="RX466" s="11"/>
      <c r="RY466" s="11"/>
      <c r="RZ466" s="11"/>
      <c r="SA466" s="11"/>
      <c r="SB466" s="11"/>
      <c r="SC466" s="11"/>
      <c r="SD466" s="11"/>
      <c r="SE466" s="11"/>
      <c r="SF466" s="11"/>
      <c r="SG466" s="11"/>
      <c r="SH466" s="11">
        <v>1</v>
      </c>
    </row>
    <row r="467" spans="1:502" x14ac:dyDescent="0.2">
      <c r="A467" s="10">
        <v>5.6271171049045103E-2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>
        <v>1</v>
      </c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1"/>
      <c r="NJ467" s="11"/>
      <c r="NK467" s="11"/>
      <c r="NL467" s="11"/>
      <c r="NM467" s="11"/>
      <c r="NN467" s="11"/>
      <c r="NO467" s="11"/>
      <c r="NP467" s="11"/>
      <c r="NQ467" s="11"/>
      <c r="NR467" s="11"/>
      <c r="NS467" s="11"/>
      <c r="NT467" s="11"/>
      <c r="NU467" s="11"/>
      <c r="NV467" s="11"/>
      <c r="NW467" s="11"/>
      <c r="NX467" s="11"/>
      <c r="NY467" s="11"/>
      <c r="NZ467" s="11"/>
      <c r="OA467" s="11"/>
      <c r="OB467" s="11"/>
      <c r="OC467" s="11"/>
      <c r="OD467" s="11"/>
      <c r="OE467" s="11"/>
      <c r="OF467" s="11"/>
      <c r="OG467" s="11"/>
      <c r="OH467" s="11"/>
      <c r="OI467" s="11"/>
      <c r="OJ467" s="11"/>
      <c r="OK467" s="11"/>
      <c r="OL467" s="11"/>
      <c r="OM467" s="11"/>
      <c r="ON467" s="11"/>
      <c r="OO467" s="11"/>
      <c r="OP467" s="11"/>
      <c r="OQ467" s="11"/>
      <c r="OR467" s="11"/>
      <c r="OS467" s="11"/>
      <c r="OT467" s="11"/>
      <c r="OU467" s="11"/>
      <c r="OV467" s="11"/>
      <c r="OW467" s="11"/>
      <c r="OX467" s="11"/>
      <c r="OY467" s="11"/>
      <c r="OZ467" s="11"/>
      <c r="PA467" s="11"/>
      <c r="PB467" s="11"/>
      <c r="PC467" s="11"/>
      <c r="PD467" s="11"/>
      <c r="PE467" s="11"/>
      <c r="PF467" s="11"/>
      <c r="PG467" s="11"/>
      <c r="PH467" s="11"/>
      <c r="PI467" s="11"/>
      <c r="PJ467" s="11"/>
      <c r="PK467" s="11"/>
      <c r="PL467" s="11"/>
      <c r="PM467" s="11"/>
      <c r="PN467" s="11"/>
      <c r="PO467" s="11"/>
      <c r="PP467" s="11"/>
      <c r="PQ467" s="11"/>
      <c r="PR467" s="11"/>
      <c r="PS467" s="11"/>
      <c r="PT467" s="11"/>
      <c r="PU467" s="11"/>
      <c r="PV467" s="11"/>
      <c r="PW467" s="11"/>
      <c r="PX467" s="11"/>
      <c r="PY467" s="11"/>
      <c r="PZ467" s="11"/>
      <c r="QA467" s="11"/>
      <c r="QB467" s="11"/>
      <c r="QC467" s="11"/>
      <c r="QD467" s="11"/>
      <c r="QE467" s="11"/>
      <c r="QF467" s="11"/>
      <c r="QG467" s="11"/>
      <c r="QH467" s="11"/>
      <c r="QI467" s="11"/>
      <c r="QJ467" s="11"/>
      <c r="QK467" s="11"/>
      <c r="QL467" s="11"/>
      <c r="QM467" s="11"/>
      <c r="QN467" s="11"/>
      <c r="QO467" s="11"/>
      <c r="QP467" s="11"/>
      <c r="QQ467" s="11"/>
      <c r="QR467" s="11"/>
      <c r="QS467" s="11"/>
      <c r="QT467" s="11"/>
      <c r="QU467" s="11"/>
      <c r="QV467" s="11"/>
      <c r="QW467" s="11"/>
      <c r="QX467" s="11"/>
      <c r="QY467" s="11"/>
      <c r="QZ467" s="11"/>
      <c r="RA467" s="11"/>
      <c r="RB467" s="11"/>
      <c r="RC467" s="11"/>
      <c r="RD467" s="11"/>
      <c r="RE467" s="11"/>
      <c r="RF467" s="11"/>
      <c r="RG467" s="11"/>
      <c r="RH467" s="11"/>
      <c r="RI467" s="11"/>
      <c r="RJ467" s="11"/>
      <c r="RK467" s="11"/>
      <c r="RL467" s="11"/>
      <c r="RM467" s="11"/>
      <c r="RN467" s="11"/>
      <c r="RO467" s="11"/>
      <c r="RP467" s="11"/>
      <c r="RQ467" s="11"/>
      <c r="RR467" s="11"/>
      <c r="RS467" s="11"/>
      <c r="RT467" s="11"/>
      <c r="RU467" s="11"/>
      <c r="RV467" s="11"/>
      <c r="RW467" s="11"/>
      <c r="RX467" s="11"/>
      <c r="RY467" s="11"/>
      <c r="RZ467" s="11"/>
      <c r="SA467" s="11"/>
      <c r="SB467" s="11"/>
      <c r="SC467" s="11"/>
      <c r="SD467" s="11"/>
      <c r="SE467" s="11"/>
      <c r="SF467" s="11"/>
      <c r="SG467" s="11"/>
      <c r="SH467" s="11">
        <v>1</v>
      </c>
    </row>
    <row r="468" spans="1:502" x14ac:dyDescent="0.2">
      <c r="A468" s="10">
        <v>5.6315811748744088E-2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>
        <v>1</v>
      </c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  <c r="GP468" s="11"/>
      <c r="GQ468" s="11"/>
      <c r="GR468" s="11"/>
      <c r="GS468" s="11"/>
      <c r="GT468" s="11"/>
      <c r="GU468" s="11"/>
      <c r="GV468" s="11"/>
      <c r="GW468" s="11"/>
      <c r="GX468" s="11"/>
      <c r="GY468" s="11"/>
      <c r="GZ468" s="11"/>
      <c r="HA468" s="11"/>
      <c r="HB468" s="11"/>
      <c r="HC468" s="11"/>
      <c r="HD468" s="11"/>
      <c r="HE468" s="11"/>
      <c r="HF468" s="11"/>
      <c r="HG468" s="11"/>
      <c r="HH468" s="11"/>
      <c r="HI468" s="11"/>
      <c r="HJ468" s="11"/>
      <c r="HK468" s="11"/>
      <c r="HL468" s="11"/>
      <c r="HM468" s="11"/>
      <c r="HN468" s="11"/>
      <c r="HO468" s="11"/>
      <c r="HP468" s="11"/>
      <c r="HQ468" s="11"/>
      <c r="HR468" s="11"/>
      <c r="HS468" s="11"/>
      <c r="HT468" s="11"/>
      <c r="HU468" s="11"/>
      <c r="HV468" s="11"/>
      <c r="HW468" s="11"/>
      <c r="HX468" s="11"/>
      <c r="HY468" s="11"/>
      <c r="HZ468" s="11"/>
      <c r="IA468" s="11"/>
      <c r="IB468" s="11"/>
      <c r="IC468" s="11"/>
      <c r="ID468" s="11"/>
      <c r="IE468" s="11"/>
      <c r="IF468" s="11"/>
      <c r="IG468" s="11"/>
      <c r="IH468" s="11"/>
      <c r="II468" s="11"/>
      <c r="IJ468" s="11"/>
      <c r="IK468" s="11"/>
      <c r="IL468" s="11"/>
      <c r="IM468" s="11"/>
      <c r="IN468" s="11"/>
      <c r="IO468" s="11"/>
      <c r="IP468" s="11"/>
      <c r="IQ468" s="11"/>
      <c r="IR468" s="11"/>
      <c r="IS468" s="11"/>
      <c r="IT468" s="11"/>
      <c r="IU468" s="11"/>
      <c r="IV468" s="11"/>
      <c r="IW468" s="11"/>
      <c r="IX468" s="11"/>
      <c r="IY468" s="11"/>
      <c r="IZ468" s="11"/>
      <c r="JA468" s="11"/>
      <c r="JB468" s="11"/>
      <c r="JC468" s="11"/>
      <c r="JD468" s="11"/>
      <c r="JE468" s="11"/>
      <c r="JF468" s="11"/>
      <c r="JG468" s="11"/>
      <c r="JH468" s="11"/>
      <c r="JI468" s="11"/>
      <c r="JJ468" s="11"/>
      <c r="JK468" s="11"/>
      <c r="JL468" s="11"/>
      <c r="JM468" s="11"/>
      <c r="JN468" s="11"/>
      <c r="JO468" s="11"/>
      <c r="JP468" s="11"/>
      <c r="JQ468" s="11"/>
      <c r="JR468" s="11"/>
      <c r="JS468" s="11"/>
      <c r="JT468" s="11"/>
      <c r="JU468" s="11"/>
      <c r="JV468" s="11"/>
      <c r="JW468" s="11"/>
      <c r="JX468" s="11"/>
      <c r="JY468" s="11"/>
      <c r="JZ468" s="11"/>
      <c r="KA468" s="11"/>
      <c r="KB468" s="11"/>
      <c r="KC468" s="11"/>
      <c r="KD468" s="11"/>
      <c r="KE468" s="11"/>
      <c r="KF468" s="11"/>
      <c r="KG468" s="11"/>
      <c r="KH468" s="11"/>
      <c r="KI468" s="11"/>
      <c r="KJ468" s="11"/>
      <c r="KK468" s="11"/>
      <c r="KL468" s="11"/>
      <c r="KM468" s="11"/>
      <c r="KN468" s="11"/>
      <c r="KO468" s="11"/>
      <c r="KP468" s="11"/>
      <c r="KQ468" s="11"/>
      <c r="KR468" s="11"/>
      <c r="KS468" s="11"/>
      <c r="KT468" s="11"/>
      <c r="KU468" s="11"/>
      <c r="KV468" s="11"/>
      <c r="KW468" s="11"/>
      <c r="KX468" s="11"/>
      <c r="KY468" s="11"/>
      <c r="KZ468" s="11"/>
      <c r="LA468" s="11"/>
      <c r="LB468" s="11"/>
      <c r="LC468" s="11"/>
      <c r="LD468" s="11"/>
      <c r="LE468" s="11"/>
      <c r="LF468" s="11"/>
      <c r="LG468" s="11"/>
      <c r="LH468" s="11"/>
      <c r="LI468" s="11"/>
      <c r="LJ468" s="11"/>
      <c r="LK468" s="11"/>
      <c r="LL468" s="11"/>
      <c r="LM468" s="11"/>
      <c r="LN468" s="11"/>
      <c r="LO468" s="11"/>
      <c r="LP468" s="11"/>
      <c r="LQ468" s="11"/>
      <c r="LR468" s="11"/>
      <c r="LS468" s="11"/>
      <c r="LT468" s="11"/>
      <c r="LU468" s="11"/>
      <c r="LV468" s="11"/>
      <c r="LW468" s="11"/>
      <c r="LX468" s="11"/>
      <c r="LY468" s="11"/>
      <c r="LZ468" s="11"/>
      <c r="MA468" s="11"/>
      <c r="MB468" s="11"/>
      <c r="MC468" s="11"/>
      <c r="MD468" s="11"/>
      <c r="ME468" s="11"/>
      <c r="MF468" s="11"/>
      <c r="MG468" s="11"/>
      <c r="MH468" s="11"/>
      <c r="MI468" s="11"/>
      <c r="MJ468" s="11"/>
      <c r="MK468" s="11"/>
      <c r="ML468" s="11"/>
      <c r="MM468" s="11"/>
      <c r="MN468" s="11"/>
      <c r="MO468" s="11"/>
      <c r="MP468" s="11"/>
      <c r="MQ468" s="11"/>
      <c r="MR468" s="11"/>
      <c r="MS468" s="11"/>
      <c r="MT468" s="11"/>
      <c r="MU468" s="11"/>
      <c r="MV468" s="11"/>
      <c r="MW468" s="11"/>
      <c r="MX468" s="11"/>
      <c r="MY468" s="11"/>
      <c r="MZ468" s="11"/>
      <c r="NA468" s="11"/>
      <c r="NB468" s="11"/>
      <c r="NC468" s="11"/>
      <c r="ND468" s="11"/>
      <c r="NE468" s="11"/>
      <c r="NF468" s="11"/>
      <c r="NG468" s="11"/>
      <c r="NH468" s="11"/>
      <c r="NI468" s="11"/>
      <c r="NJ468" s="11"/>
      <c r="NK468" s="11"/>
      <c r="NL468" s="11"/>
      <c r="NM468" s="11"/>
      <c r="NN468" s="11"/>
      <c r="NO468" s="11"/>
      <c r="NP468" s="11"/>
      <c r="NQ468" s="11"/>
      <c r="NR468" s="11"/>
      <c r="NS468" s="11"/>
      <c r="NT468" s="11"/>
      <c r="NU468" s="11"/>
      <c r="NV468" s="11"/>
      <c r="NW468" s="11"/>
      <c r="NX468" s="11"/>
      <c r="NY468" s="11"/>
      <c r="NZ468" s="11"/>
      <c r="OA468" s="11"/>
      <c r="OB468" s="11"/>
      <c r="OC468" s="11"/>
      <c r="OD468" s="11"/>
      <c r="OE468" s="11"/>
      <c r="OF468" s="11"/>
      <c r="OG468" s="11"/>
      <c r="OH468" s="11"/>
      <c r="OI468" s="11"/>
      <c r="OJ468" s="11"/>
      <c r="OK468" s="11"/>
      <c r="OL468" s="11"/>
      <c r="OM468" s="11"/>
      <c r="ON468" s="11"/>
      <c r="OO468" s="11"/>
      <c r="OP468" s="11"/>
      <c r="OQ468" s="11"/>
      <c r="OR468" s="11"/>
      <c r="OS468" s="11"/>
      <c r="OT468" s="11"/>
      <c r="OU468" s="11"/>
      <c r="OV468" s="11"/>
      <c r="OW468" s="11"/>
      <c r="OX468" s="11"/>
      <c r="OY468" s="11"/>
      <c r="OZ468" s="11"/>
      <c r="PA468" s="11"/>
      <c r="PB468" s="11"/>
      <c r="PC468" s="11"/>
      <c r="PD468" s="11"/>
      <c r="PE468" s="11"/>
      <c r="PF468" s="11"/>
      <c r="PG468" s="11"/>
      <c r="PH468" s="11"/>
      <c r="PI468" s="11"/>
      <c r="PJ468" s="11"/>
      <c r="PK468" s="11"/>
      <c r="PL468" s="11"/>
      <c r="PM468" s="11"/>
      <c r="PN468" s="11"/>
      <c r="PO468" s="11"/>
      <c r="PP468" s="11"/>
      <c r="PQ468" s="11"/>
      <c r="PR468" s="11"/>
      <c r="PS468" s="11"/>
      <c r="PT468" s="11"/>
      <c r="PU468" s="11"/>
      <c r="PV468" s="11"/>
      <c r="PW468" s="11"/>
      <c r="PX468" s="11"/>
      <c r="PY468" s="11"/>
      <c r="PZ468" s="11"/>
      <c r="QA468" s="11"/>
      <c r="QB468" s="11"/>
      <c r="QC468" s="11"/>
      <c r="QD468" s="11"/>
      <c r="QE468" s="11"/>
      <c r="QF468" s="11"/>
      <c r="QG468" s="11"/>
      <c r="QH468" s="11"/>
      <c r="QI468" s="11"/>
      <c r="QJ468" s="11"/>
      <c r="QK468" s="11"/>
      <c r="QL468" s="11"/>
      <c r="QM468" s="11"/>
      <c r="QN468" s="11"/>
      <c r="QO468" s="11"/>
      <c r="QP468" s="11"/>
      <c r="QQ468" s="11"/>
      <c r="QR468" s="11"/>
      <c r="QS468" s="11"/>
      <c r="QT468" s="11"/>
      <c r="QU468" s="11"/>
      <c r="QV468" s="11"/>
      <c r="QW468" s="11"/>
      <c r="QX468" s="11"/>
      <c r="QY468" s="11"/>
      <c r="QZ468" s="11"/>
      <c r="RA468" s="11"/>
      <c r="RB468" s="11"/>
      <c r="RC468" s="11"/>
      <c r="RD468" s="11"/>
      <c r="RE468" s="11"/>
      <c r="RF468" s="11"/>
      <c r="RG468" s="11"/>
      <c r="RH468" s="11"/>
      <c r="RI468" s="11"/>
      <c r="RJ468" s="11"/>
      <c r="RK468" s="11"/>
      <c r="RL468" s="11"/>
      <c r="RM468" s="11"/>
      <c r="RN468" s="11"/>
      <c r="RO468" s="11"/>
      <c r="RP468" s="11"/>
      <c r="RQ468" s="11"/>
      <c r="RR468" s="11"/>
      <c r="RS468" s="11"/>
      <c r="RT468" s="11"/>
      <c r="RU468" s="11"/>
      <c r="RV468" s="11"/>
      <c r="RW468" s="11"/>
      <c r="RX468" s="11"/>
      <c r="RY468" s="11"/>
      <c r="RZ468" s="11"/>
      <c r="SA468" s="11"/>
      <c r="SB468" s="11"/>
      <c r="SC468" s="11"/>
      <c r="SD468" s="11"/>
      <c r="SE468" s="11"/>
      <c r="SF468" s="11"/>
      <c r="SG468" s="11"/>
      <c r="SH468" s="11">
        <v>1</v>
      </c>
    </row>
    <row r="469" spans="1:502" x14ac:dyDescent="0.2">
      <c r="A469" s="10">
        <v>5.6676376156188805E-2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  <c r="IW469" s="11"/>
      <c r="IX469" s="11"/>
      <c r="IY469" s="11"/>
      <c r="IZ469" s="11"/>
      <c r="JA469" s="11"/>
      <c r="JB469" s="11"/>
      <c r="JC469" s="11"/>
      <c r="JD469" s="11"/>
      <c r="JE469" s="11"/>
      <c r="JF469" s="11"/>
      <c r="JG469" s="11"/>
      <c r="JH469" s="11"/>
      <c r="JI469" s="11"/>
      <c r="JJ469" s="11"/>
      <c r="JK469" s="11"/>
      <c r="JL469" s="11"/>
      <c r="JM469" s="11"/>
      <c r="JN469" s="11"/>
      <c r="JO469" s="11"/>
      <c r="JP469" s="11"/>
      <c r="JQ469" s="11"/>
      <c r="JR469" s="11"/>
      <c r="JS469" s="11"/>
      <c r="JT469" s="11"/>
      <c r="JU469" s="11"/>
      <c r="JV469" s="11"/>
      <c r="JW469" s="11"/>
      <c r="JX469" s="11"/>
      <c r="JY469" s="11"/>
      <c r="JZ469" s="11"/>
      <c r="KA469" s="11"/>
      <c r="KB469" s="11"/>
      <c r="KC469" s="11"/>
      <c r="KD469" s="11"/>
      <c r="KE469" s="11"/>
      <c r="KF469" s="11"/>
      <c r="KG469" s="11"/>
      <c r="KH469" s="11"/>
      <c r="KI469" s="11"/>
      <c r="KJ469" s="11"/>
      <c r="KK469" s="11"/>
      <c r="KL469" s="11"/>
      <c r="KM469" s="11"/>
      <c r="KN469" s="11"/>
      <c r="KO469" s="11"/>
      <c r="KP469" s="11"/>
      <c r="KQ469" s="11"/>
      <c r="KR469" s="11"/>
      <c r="KS469" s="11"/>
      <c r="KT469" s="11"/>
      <c r="KU469" s="11"/>
      <c r="KV469" s="11"/>
      <c r="KW469" s="11"/>
      <c r="KX469" s="11"/>
      <c r="KY469" s="11"/>
      <c r="KZ469" s="11"/>
      <c r="LA469" s="11"/>
      <c r="LB469" s="11"/>
      <c r="LC469" s="11"/>
      <c r="LD469" s="11"/>
      <c r="LE469" s="11"/>
      <c r="LF469" s="11"/>
      <c r="LG469" s="11"/>
      <c r="LH469" s="11"/>
      <c r="LI469" s="11"/>
      <c r="LJ469" s="11"/>
      <c r="LK469" s="11"/>
      <c r="LL469" s="11"/>
      <c r="LM469" s="11"/>
      <c r="LN469" s="11"/>
      <c r="LO469" s="11"/>
      <c r="LP469" s="11"/>
      <c r="LQ469" s="11"/>
      <c r="LR469" s="11"/>
      <c r="LS469" s="11"/>
      <c r="LT469" s="11"/>
      <c r="LU469" s="11"/>
      <c r="LV469" s="11"/>
      <c r="LW469" s="11"/>
      <c r="LX469" s="11"/>
      <c r="LY469" s="11"/>
      <c r="LZ469" s="11"/>
      <c r="MA469" s="11"/>
      <c r="MB469" s="11"/>
      <c r="MC469" s="11"/>
      <c r="MD469" s="11"/>
      <c r="ME469" s="11"/>
      <c r="MF469" s="11"/>
      <c r="MG469" s="11"/>
      <c r="MH469" s="11"/>
      <c r="MI469" s="11"/>
      <c r="MJ469" s="11"/>
      <c r="MK469" s="11"/>
      <c r="ML469" s="11"/>
      <c r="MM469" s="11"/>
      <c r="MN469" s="11"/>
      <c r="MO469" s="11"/>
      <c r="MP469" s="11"/>
      <c r="MQ469" s="11"/>
      <c r="MR469" s="11"/>
      <c r="MS469" s="11"/>
      <c r="MT469" s="11"/>
      <c r="MU469" s="11"/>
      <c r="MV469" s="11"/>
      <c r="MW469" s="11"/>
      <c r="MX469" s="11"/>
      <c r="MY469" s="11"/>
      <c r="MZ469" s="11"/>
      <c r="NA469" s="11"/>
      <c r="NB469" s="11"/>
      <c r="NC469" s="11"/>
      <c r="ND469" s="11"/>
      <c r="NE469" s="11"/>
      <c r="NF469" s="11"/>
      <c r="NG469" s="11"/>
      <c r="NH469" s="11"/>
      <c r="NI469" s="11"/>
      <c r="NJ469" s="11"/>
      <c r="NK469" s="11"/>
      <c r="NL469" s="11"/>
      <c r="NM469" s="11"/>
      <c r="NN469" s="11"/>
      <c r="NO469" s="11"/>
      <c r="NP469" s="11"/>
      <c r="NQ469" s="11"/>
      <c r="NR469" s="11"/>
      <c r="NS469" s="11"/>
      <c r="NT469" s="11"/>
      <c r="NU469" s="11"/>
      <c r="NV469" s="11"/>
      <c r="NW469" s="11"/>
      <c r="NX469" s="11"/>
      <c r="NY469" s="11"/>
      <c r="NZ469" s="11"/>
      <c r="OA469" s="11"/>
      <c r="OB469" s="11"/>
      <c r="OC469" s="11"/>
      <c r="OD469" s="11"/>
      <c r="OE469" s="11"/>
      <c r="OF469" s="11"/>
      <c r="OG469" s="11"/>
      <c r="OH469" s="11"/>
      <c r="OI469" s="11"/>
      <c r="OJ469" s="11"/>
      <c r="OK469" s="11"/>
      <c r="OL469" s="11"/>
      <c r="OM469" s="11"/>
      <c r="ON469" s="11"/>
      <c r="OO469" s="11"/>
      <c r="OP469" s="11"/>
      <c r="OQ469" s="11"/>
      <c r="OR469" s="11"/>
      <c r="OS469" s="11"/>
      <c r="OT469" s="11"/>
      <c r="OU469" s="11"/>
      <c r="OV469" s="11"/>
      <c r="OW469" s="11"/>
      <c r="OX469" s="11"/>
      <c r="OY469" s="11"/>
      <c r="OZ469" s="11"/>
      <c r="PA469" s="11"/>
      <c r="PB469" s="11"/>
      <c r="PC469" s="11"/>
      <c r="PD469" s="11"/>
      <c r="PE469" s="11"/>
      <c r="PF469" s="11"/>
      <c r="PG469" s="11"/>
      <c r="PH469" s="11"/>
      <c r="PI469" s="11"/>
      <c r="PJ469" s="11"/>
      <c r="PK469" s="11"/>
      <c r="PL469" s="11"/>
      <c r="PM469" s="11"/>
      <c r="PN469" s="11"/>
      <c r="PO469" s="11"/>
      <c r="PP469" s="11"/>
      <c r="PQ469" s="11"/>
      <c r="PR469" s="11"/>
      <c r="PS469" s="11"/>
      <c r="PT469" s="11"/>
      <c r="PU469" s="11"/>
      <c r="PV469" s="11"/>
      <c r="PW469" s="11"/>
      <c r="PX469" s="11"/>
      <c r="PY469" s="11"/>
      <c r="PZ469" s="11"/>
      <c r="QA469" s="11"/>
      <c r="QB469" s="11"/>
      <c r="QC469" s="11"/>
      <c r="QD469" s="11"/>
      <c r="QE469" s="11"/>
      <c r="QF469" s="11"/>
      <c r="QG469" s="11"/>
      <c r="QH469" s="11"/>
      <c r="QI469" s="11"/>
      <c r="QJ469" s="11"/>
      <c r="QK469" s="11"/>
      <c r="QL469" s="11"/>
      <c r="QM469" s="11"/>
      <c r="QN469" s="11"/>
      <c r="QO469" s="11"/>
      <c r="QP469" s="11"/>
      <c r="QQ469" s="11"/>
      <c r="QR469" s="11"/>
      <c r="QS469" s="11"/>
      <c r="QT469" s="11"/>
      <c r="QU469" s="11"/>
      <c r="QV469" s="11"/>
      <c r="QW469" s="11"/>
      <c r="QX469" s="11"/>
      <c r="QY469" s="11"/>
      <c r="QZ469" s="11"/>
      <c r="RA469" s="11"/>
      <c r="RB469" s="11"/>
      <c r="RC469" s="11"/>
      <c r="RD469" s="11"/>
      <c r="RE469" s="11"/>
      <c r="RF469" s="11"/>
      <c r="RG469" s="11"/>
      <c r="RH469" s="11"/>
      <c r="RI469" s="11"/>
      <c r="RJ469" s="11"/>
      <c r="RK469" s="11"/>
      <c r="RL469" s="11"/>
      <c r="RM469" s="11"/>
      <c r="RN469" s="11">
        <v>1</v>
      </c>
      <c r="RO469" s="11"/>
      <c r="RP469" s="11"/>
      <c r="RQ469" s="11"/>
      <c r="RR469" s="11"/>
      <c r="RS469" s="11"/>
      <c r="RT469" s="11"/>
      <c r="RU469" s="11"/>
      <c r="RV469" s="11"/>
      <c r="RW469" s="11"/>
      <c r="RX469" s="11"/>
      <c r="RY469" s="11"/>
      <c r="RZ469" s="11"/>
      <c r="SA469" s="11"/>
      <c r="SB469" s="11"/>
      <c r="SC469" s="11"/>
      <c r="SD469" s="11"/>
      <c r="SE469" s="11"/>
      <c r="SF469" s="11"/>
      <c r="SG469" s="11"/>
      <c r="SH469" s="11">
        <v>1</v>
      </c>
    </row>
    <row r="470" spans="1:502" x14ac:dyDescent="0.2">
      <c r="A470" s="10">
        <v>5.6943317963561516E-2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>
        <v>1</v>
      </c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  <c r="HE470" s="11"/>
      <c r="HF470" s="11"/>
      <c r="HG470" s="11"/>
      <c r="HH470" s="11"/>
      <c r="HI470" s="11"/>
      <c r="HJ470" s="11"/>
      <c r="HK470" s="11"/>
      <c r="HL470" s="11"/>
      <c r="HM470" s="11"/>
      <c r="HN470" s="11"/>
      <c r="HO470" s="11"/>
      <c r="HP470" s="11"/>
      <c r="HQ470" s="11"/>
      <c r="HR470" s="11"/>
      <c r="HS470" s="11"/>
      <c r="HT470" s="11"/>
      <c r="HU470" s="11"/>
      <c r="HV470" s="11"/>
      <c r="HW470" s="11"/>
      <c r="HX470" s="11"/>
      <c r="HY470" s="11"/>
      <c r="HZ470" s="11"/>
      <c r="IA470" s="11"/>
      <c r="IB470" s="11"/>
      <c r="IC470" s="11"/>
      <c r="ID470" s="11"/>
      <c r="IE470" s="11"/>
      <c r="IF470" s="11"/>
      <c r="IG470" s="11"/>
      <c r="IH470" s="11"/>
      <c r="II470" s="11"/>
      <c r="IJ470" s="11"/>
      <c r="IK470" s="11"/>
      <c r="IL470" s="11"/>
      <c r="IM470" s="11"/>
      <c r="IN470" s="11"/>
      <c r="IO470" s="11"/>
      <c r="IP470" s="11"/>
      <c r="IQ470" s="11"/>
      <c r="IR470" s="11"/>
      <c r="IS470" s="11"/>
      <c r="IT470" s="11"/>
      <c r="IU470" s="11"/>
      <c r="IV470" s="11"/>
      <c r="IW470" s="11"/>
      <c r="IX470" s="11"/>
      <c r="IY470" s="11"/>
      <c r="IZ470" s="11"/>
      <c r="JA470" s="11"/>
      <c r="JB470" s="11"/>
      <c r="JC470" s="11"/>
      <c r="JD470" s="11"/>
      <c r="JE470" s="11"/>
      <c r="JF470" s="11"/>
      <c r="JG470" s="11"/>
      <c r="JH470" s="11"/>
      <c r="JI470" s="11"/>
      <c r="JJ470" s="11"/>
      <c r="JK470" s="11"/>
      <c r="JL470" s="11"/>
      <c r="JM470" s="11"/>
      <c r="JN470" s="11"/>
      <c r="JO470" s="11"/>
      <c r="JP470" s="11"/>
      <c r="JQ470" s="11"/>
      <c r="JR470" s="11"/>
      <c r="JS470" s="11"/>
      <c r="JT470" s="11"/>
      <c r="JU470" s="11"/>
      <c r="JV470" s="11"/>
      <c r="JW470" s="11"/>
      <c r="JX470" s="11"/>
      <c r="JY470" s="11"/>
      <c r="JZ470" s="11"/>
      <c r="KA470" s="11"/>
      <c r="KB470" s="11"/>
      <c r="KC470" s="11"/>
      <c r="KD470" s="11"/>
      <c r="KE470" s="11"/>
      <c r="KF470" s="11"/>
      <c r="KG470" s="11"/>
      <c r="KH470" s="11"/>
      <c r="KI470" s="11"/>
      <c r="KJ470" s="11"/>
      <c r="KK470" s="11"/>
      <c r="KL470" s="11"/>
      <c r="KM470" s="11"/>
      <c r="KN470" s="11"/>
      <c r="KO470" s="11"/>
      <c r="KP470" s="11"/>
      <c r="KQ470" s="11"/>
      <c r="KR470" s="11"/>
      <c r="KS470" s="11"/>
      <c r="KT470" s="11"/>
      <c r="KU470" s="11"/>
      <c r="KV470" s="11"/>
      <c r="KW470" s="11"/>
      <c r="KX470" s="11"/>
      <c r="KY470" s="11"/>
      <c r="KZ470" s="11"/>
      <c r="LA470" s="11"/>
      <c r="LB470" s="11"/>
      <c r="LC470" s="11"/>
      <c r="LD470" s="11"/>
      <c r="LE470" s="11"/>
      <c r="LF470" s="11"/>
      <c r="LG470" s="11"/>
      <c r="LH470" s="11"/>
      <c r="LI470" s="11"/>
      <c r="LJ470" s="11"/>
      <c r="LK470" s="11"/>
      <c r="LL470" s="11"/>
      <c r="LM470" s="11"/>
      <c r="LN470" s="11"/>
      <c r="LO470" s="11"/>
      <c r="LP470" s="11"/>
      <c r="LQ470" s="11"/>
      <c r="LR470" s="11"/>
      <c r="LS470" s="11"/>
      <c r="LT470" s="11"/>
      <c r="LU470" s="11"/>
      <c r="LV470" s="11"/>
      <c r="LW470" s="11"/>
      <c r="LX470" s="11"/>
      <c r="LY470" s="11"/>
      <c r="LZ470" s="11"/>
      <c r="MA470" s="11"/>
      <c r="MB470" s="11"/>
      <c r="MC470" s="11"/>
      <c r="MD470" s="11"/>
      <c r="ME470" s="11"/>
      <c r="MF470" s="11"/>
      <c r="MG470" s="11"/>
      <c r="MH470" s="11"/>
      <c r="MI470" s="11"/>
      <c r="MJ470" s="11"/>
      <c r="MK470" s="11"/>
      <c r="ML470" s="11"/>
      <c r="MM470" s="11"/>
      <c r="MN470" s="11"/>
      <c r="MO470" s="11"/>
      <c r="MP470" s="11"/>
      <c r="MQ470" s="11"/>
      <c r="MR470" s="11"/>
      <c r="MS470" s="11"/>
      <c r="MT470" s="11"/>
      <c r="MU470" s="11"/>
      <c r="MV470" s="11"/>
      <c r="MW470" s="11"/>
      <c r="MX470" s="11"/>
      <c r="MY470" s="11"/>
      <c r="MZ470" s="11"/>
      <c r="NA470" s="11"/>
      <c r="NB470" s="11"/>
      <c r="NC470" s="11"/>
      <c r="ND470" s="11"/>
      <c r="NE470" s="11"/>
      <c r="NF470" s="11"/>
      <c r="NG470" s="11"/>
      <c r="NH470" s="11"/>
      <c r="NI470" s="11"/>
      <c r="NJ470" s="11"/>
      <c r="NK470" s="11"/>
      <c r="NL470" s="11"/>
      <c r="NM470" s="11"/>
      <c r="NN470" s="11"/>
      <c r="NO470" s="11"/>
      <c r="NP470" s="11"/>
      <c r="NQ470" s="11"/>
      <c r="NR470" s="11"/>
      <c r="NS470" s="11"/>
      <c r="NT470" s="11"/>
      <c r="NU470" s="11"/>
      <c r="NV470" s="11"/>
      <c r="NW470" s="11"/>
      <c r="NX470" s="11"/>
      <c r="NY470" s="11"/>
      <c r="NZ470" s="11"/>
      <c r="OA470" s="11"/>
      <c r="OB470" s="11"/>
      <c r="OC470" s="11"/>
      <c r="OD470" s="11"/>
      <c r="OE470" s="11"/>
      <c r="OF470" s="11"/>
      <c r="OG470" s="11"/>
      <c r="OH470" s="11"/>
      <c r="OI470" s="11"/>
      <c r="OJ470" s="11"/>
      <c r="OK470" s="11"/>
      <c r="OL470" s="11"/>
      <c r="OM470" s="11"/>
      <c r="ON470" s="11"/>
      <c r="OO470" s="11"/>
      <c r="OP470" s="11"/>
      <c r="OQ470" s="11"/>
      <c r="OR470" s="11"/>
      <c r="OS470" s="11"/>
      <c r="OT470" s="11"/>
      <c r="OU470" s="11"/>
      <c r="OV470" s="11"/>
      <c r="OW470" s="11"/>
      <c r="OX470" s="11"/>
      <c r="OY470" s="11"/>
      <c r="OZ470" s="11"/>
      <c r="PA470" s="11"/>
      <c r="PB470" s="11"/>
      <c r="PC470" s="11"/>
      <c r="PD470" s="11"/>
      <c r="PE470" s="11"/>
      <c r="PF470" s="11"/>
      <c r="PG470" s="11"/>
      <c r="PH470" s="11"/>
      <c r="PI470" s="11"/>
      <c r="PJ470" s="11"/>
      <c r="PK470" s="11"/>
      <c r="PL470" s="11"/>
      <c r="PM470" s="11"/>
      <c r="PN470" s="11"/>
      <c r="PO470" s="11"/>
      <c r="PP470" s="11"/>
      <c r="PQ470" s="11"/>
      <c r="PR470" s="11"/>
      <c r="PS470" s="11"/>
      <c r="PT470" s="11"/>
      <c r="PU470" s="11"/>
      <c r="PV470" s="11"/>
      <c r="PW470" s="11"/>
      <c r="PX470" s="11"/>
      <c r="PY470" s="11"/>
      <c r="PZ470" s="11"/>
      <c r="QA470" s="11"/>
      <c r="QB470" s="11"/>
      <c r="QC470" s="11"/>
      <c r="QD470" s="11"/>
      <c r="QE470" s="11"/>
      <c r="QF470" s="11"/>
      <c r="QG470" s="11"/>
      <c r="QH470" s="11"/>
      <c r="QI470" s="11"/>
      <c r="QJ470" s="11"/>
      <c r="QK470" s="11"/>
      <c r="QL470" s="11"/>
      <c r="QM470" s="11"/>
      <c r="QN470" s="11"/>
      <c r="QO470" s="11"/>
      <c r="QP470" s="11"/>
      <c r="QQ470" s="11"/>
      <c r="QR470" s="11"/>
      <c r="QS470" s="11"/>
      <c r="QT470" s="11"/>
      <c r="QU470" s="11"/>
      <c r="QV470" s="11"/>
      <c r="QW470" s="11"/>
      <c r="QX470" s="11"/>
      <c r="QY470" s="11"/>
      <c r="QZ470" s="11"/>
      <c r="RA470" s="11"/>
      <c r="RB470" s="11"/>
      <c r="RC470" s="11"/>
      <c r="RD470" s="11"/>
      <c r="RE470" s="11"/>
      <c r="RF470" s="11"/>
      <c r="RG470" s="11"/>
      <c r="RH470" s="11"/>
      <c r="RI470" s="11"/>
      <c r="RJ470" s="11"/>
      <c r="RK470" s="11"/>
      <c r="RL470" s="11"/>
      <c r="RM470" s="11"/>
      <c r="RN470" s="11"/>
      <c r="RO470" s="11"/>
      <c r="RP470" s="11"/>
      <c r="RQ470" s="11"/>
      <c r="RR470" s="11"/>
      <c r="RS470" s="11"/>
      <c r="RT470" s="11"/>
      <c r="RU470" s="11"/>
      <c r="RV470" s="11"/>
      <c r="RW470" s="11"/>
      <c r="RX470" s="11"/>
      <c r="RY470" s="11"/>
      <c r="RZ470" s="11"/>
      <c r="SA470" s="11"/>
      <c r="SB470" s="11"/>
      <c r="SC470" s="11"/>
      <c r="SD470" s="11"/>
      <c r="SE470" s="11"/>
      <c r="SF470" s="11"/>
      <c r="SG470" s="11"/>
      <c r="SH470" s="11">
        <v>1</v>
      </c>
    </row>
    <row r="471" spans="1:502" x14ac:dyDescent="0.2">
      <c r="A471" s="10">
        <v>5.7393234090596962E-2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>
        <v>1</v>
      </c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  <c r="IW471" s="11"/>
      <c r="IX471" s="11"/>
      <c r="IY471" s="11"/>
      <c r="IZ471" s="11"/>
      <c r="JA471" s="11"/>
      <c r="JB471" s="11"/>
      <c r="JC471" s="11"/>
      <c r="JD471" s="11"/>
      <c r="JE471" s="11"/>
      <c r="JF471" s="11"/>
      <c r="JG471" s="11"/>
      <c r="JH471" s="11"/>
      <c r="JI471" s="11"/>
      <c r="JJ471" s="11"/>
      <c r="JK471" s="11"/>
      <c r="JL471" s="11"/>
      <c r="JM471" s="11"/>
      <c r="JN471" s="11"/>
      <c r="JO471" s="11"/>
      <c r="JP471" s="11"/>
      <c r="JQ471" s="11"/>
      <c r="JR471" s="11"/>
      <c r="JS471" s="11"/>
      <c r="JT471" s="11"/>
      <c r="JU471" s="11"/>
      <c r="JV471" s="11"/>
      <c r="JW471" s="11"/>
      <c r="JX471" s="11"/>
      <c r="JY471" s="11"/>
      <c r="JZ471" s="11"/>
      <c r="KA471" s="11"/>
      <c r="KB471" s="11"/>
      <c r="KC471" s="11"/>
      <c r="KD471" s="11"/>
      <c r="KE471" s="11"/>
      <c r="KF471" s="11"/>
      <c r="KG471" s="11"/>
      <c r="KH471" s="11"/>
      <c r="KI471" s="11"/>
      <c r="KJ471" s="11"/>
      <c r="KK471" s="11"/>
      <c r="KL471" s="11"/>
      <c r="KM471" s="11"/>
      <c r="KN471" s="11"/>
      <c r="KO471" s="11"/>
      <c r="KP471" s="11"/>
      <c r="KQ471" s="11"/>
      <c r="KR471" s="11"/>
      <c r="KS471" s="11"/>
      <c r="KT471" s="11"/>
      <c r="KU471" s="11"/>
      <c r="KV471" s="11"/>
      <c r="KW471" s="11"/>
      <c r="KX471" s="11"/>
      <c r="KY471" s="11"/>
      <c r="KZ471" s="11"/>
      <c r="LA471" s="11"/>
      <c r="LB471" s="11"/>
      <c r="LC471" s="11"/>
      <c r="LD471" s="11"/>
      <c r="LE471" s="11"/>
      <c r="LF471" s="11"/>
      <c r="LG471" s="11"/>
      <c r="LH471" s="11"/>
      <c r="LI471" s="11"/>
      <c r="LJ471" s="11"/>
      <c r="LK471" s="11"/>
      <c r="LL471" s="11"/>
      <c r="LM471" s="11"/>
      <c r="LN471" s="11"/>
      <c r="LO471" s="11"/>
      <c r="LP471" s="11"/>
      <c r="LQ471" s="11"/>
      <c r="LR471" s="11"/>
      <c r="LS471" s="11"/>
      <c r="LT471" s="11"/>
      <c r="LU471" s="11"/>
      <c r="LV471" s="11"/>
      <c r="LW471" s="11"/>
      <c r="LX471" s="11"/>
      <c r="LY471" s="11"/>
      <c r="LZ471" s="11"/>
      <c r="MA471" s="11"/>
      <c r="MB471" s="11"/>
      <c r="MC471" s="11"/>
      <c r="MD471" s="11"/>
      <c r="ME471" s="11"/>
      <c r="MF471" s="11"/>
      <c r="MG471" s="11"/>
      <c r="MH471" s="11"/>
      <c r="MI471" s="11"/>
      <c r="MJ471" s="11"/>
      <c r="MK471" s="11"/>
      <c r="ML471" s="11"/>
      <c r="MM471" s="11"/>
      <c r="MN471" s="11"/>
      <c r="MO471" s="11"/>
      <c r="MP471" s="11"/>
      <c r="MQ471" s="11"/>
      <c r="MR471" s="11"/>
      <c r="MS471" s="11"/>
      <c r="MT471" s="11"/>
      <c r="MU471" s="11"/>
      <c r="MV471" s="11"/>
      <c r="MW471" s="11"/>
      <c r="MX471" s="11"/>
      <c r="MY471" s="11"/>
      <c r="MZ471" s="11"/>
      <c r="NA471" s="11"/>
      <c r="NB471" s="11"/>
      <c r="NC471" s="11"/>
      <c r="ND471" s="11"/>
      <c r="NE471" s="11"/>
      <c r="NF471" s="11"/>
      <c r="NG471" s="11"/>
      <c r="NH471" s="11"/>
      <c r="NI471" s="11"/>
      <c r="NJ471" s="11"/>
      <c r="NK471" s="11"/>
      <c r="NL471" s="11"/>
      <c r="NM471" s="11"/>
      <c r="NN471" s="11"/>
      <c r="NO471" s="11"/>
      <c r="NP471" s="11"/>
      <c r="NQ471" s="11"/>
      <c r="NR471" s="11"/>
      <c r="NS471" s="11"/>
      <c r="NT471" s="11"/>
      <c r="NU471" s="11"/>
      <c r="NV471" s="11"/>
      <c r="NW471" s="11"/>
      <c r="NX471" s="11"/>
      <c r="NY471" s="11"/>
      <c r="NZ471" s="11"/>
      <c r="OA471" s="11"/>
      <c r="OB471" s="11"/>
      <c r="OC471" s="11"/>
      <c r="OD471" s="11"/>
      <c r="OE471" s="11"/>
      <c r="OF471" s="11"/>
      <c r="OG471" s="11"/>
      <c r="OH471" s="11"/>
      <c r="OI471" s="11"/>
      <c r="OJ471" s="11"/>
      <c r="OK471" s="11"/>
      <c r="OL471" s="11"/>
      <c r="OM471" s="11"/>
      <c r="ON471" s="11"/>
      <c r="OO471" s="11"/>
      <c r="OP471" s="11"/>
      <c r="OQ471" s="11"/>
      <c r="OR471" s="11"/>
      <c r="OS471" s="11"/>
      <c r="OT471" s="11"/>
      <c r="OU471" s="11"/>
      <c r="OV471" s="11"/>
      <c r="OW471" s="11"/>
      <c r="OX471" s="11"/>
      <c r="OY471" s="11"/>
      <c r="OZ471" s="11"/>
      <c r="PA471" s="11"/>
      <c r="PB471" s="11"/>
      <c r="PC471" s="11"/>
      <c r="PD471" s="11"/>
      <c r="PE471" s="11"/>
      <c r="PF471" s="11"/>
      <c r="PG471" s="11"/>
      <c r="PH471" s="11"/>
      <c r="PI471" s="11"/>
      <c r="PJ471" s="11"/>
      <c r="PK471" s="11"/>
      <c r="PL471" s="11"/>
      <c r="PM471" s="11"/>
      <c r="PN471" s="11"/>
      <c r="PO471" s="11"/>
      <c r="PP471" s="11"/>
      <c r="PQ471" s="11"/>
      <c r="PR471" s="11"/>
      <c r="PS471" s="11"/>
      <c r="PT471" s="11"/>
      <c r="PU471" s="11"/>
      <c r="PV471" s="11"/>
      <c r="PW471" s="11"/>
      <c r="PX471" s="11"/>
      <c r="PY471" s="11"/>
      <c r="PZ471" s="11"/>
      <c r="QA471" s="11"/>
      <c r="QB471" s="11"/>
      <c r="QC471" s="11"/>
      <c r="QD471" s="11"/>
      <c r="QE471" s="11"/>
      <c r="QF471" s="11"/>
      <c r="QG471" s="11"/>
      <c r="QH471" s="11"/>
      <c r="QI471" s="11"/>
      <c r="QJ471" s="11"/>
      <c r="QK471" s="11"/>
      <c r="QL471" s="11"/>
      <c r="QM471" s="11"/>
      <c r="QN471" s="11"/>
      <c r="QO471" s="11"/>
      <c r="QP471" s="11"/>
      <c r="QQ471" s="11"/>
      <c r="QR471" s="11"/>
      <c r="QS471" s="11"/>
      <c r="QT471" s="11"/>
      <c r="QU471" s="11"/>
      <c r="QV471" s="11"/>
      <c r="QW471" s="11"/>
      <c r="QX471" s="11"/>
      <c r="QY471" s="11"/>
      <c r="QZ471" s="11"/>
      <c r="RA471" s="11"/>
      <c r="RB471" s="11"/>
      <c r="RC471" s="11"/>
      <c r="RD471" s="11"/>
      <c r="RE471" s="11"/>
      <c r="RF471" s="11"/>
      <c r="RG471" s="11"/>
      <c r="RH471" s="11"/>
      <c r="RI471" s="11"/>
      <c r="RJ471" s="11"/>
      <c r="RK471" s="11"/>
      <c r="RL471" s="11"/>
      <c r="RM471" s="11"/>
      <c r="RN471" s="11"/>
      <c r="RO471" s="11"/>
      <c r="RP471" s="11"/>
      <c r="RQ471" s="11"/>
      <c r="RR471" s="11"/>
      <c r="RS471" s="11"/>
      <c r="RT471" s="11"/>
      <c r="RU471" s="11"/>
      <c r="RV471" s="11"/>
      <c r="RW471" s="11"/>
      <c r="RX471" s="11"/>
      <c r="RY471" s="11"/>
      <c r="RZ471" s="11"/>
      <c r="SA471" s="11"/>
      <c r="SB471" s="11"/>
      <c r="SC471" s="11"/>
      <c r="SD471" s="11"/>
      <c r="SE471" s="11"/>
      <c r="SF471" s="11"/>
      <c r="SG471" s="11"/>
      <c r="SH471" s="11">
        <v>1</v>
      </c>
    </row>
    <row r="472" spans="1:502" x14ac:dyDescent="0.2">
      <c r="A472" s="10">
        <v>5.7580561516903175E-2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  <c r="GP472" s="11"/>
      <c r="GQ472" s="11"/>
      <c r="GR472" s="11"/>
      <c r="GS472" s="11"/>
      <c r="GT472" s="11"/>
      <c r="GU472" s="11"/>
      <c r="GV472" s="11"/>
      <c r="GW472" s="11"/>
      <c r="GX472" s="11"/>
      <c r="GY472" s="11"/>
      <c r="GZ472" s="11"/>
      <c r="HA472" s="11"/>
      <c r="HB472" s="11"/>
      <c r="HC472" s="11"/>
      <c r="HD472" s="11"/>
      <c r="HE472" s="11"/>
      <c r="HF472" s="11"/>
      <c r="HG472" s="11"/>
      <c r="HH472" s="11"/>
      <c r="HI472" s="11"/>
      <c r="HJ472" s="11"/>
      <c r="HK472" s="11"/>
      <c r="HL472" s="11"/>
      <c r="HM472" s="11"/>
      <c r="HN472" s="11"/>
      <c r="HO472" s="11"/>
      <c r="HP472" s="11"/>
      <c r="HQ472" s="11"/>
      <c r="HR472" s="11"/>
      <c r="HS472" s="11"/>
      <c r="HT472" s="11"/>
      <c r="HU472" s="11"/>
      <c r="HV472" s="11"/>
      <c r="HW472" s="11"/>
      <c r="HX472" s="11"/>
      <c r="HY472" s="11"/>
      <c r="HZ472" s="11"/>
      <c r="IA472" s="11"/>
      <c r="IB472" s="11"/>
      <c r="IC472" s="11"/>
      <c r="ID472" s="11"/>
      <c r="IE472" s="11"/>
      <c r="IF472" s="11"/>
      <c r="IG472" s="11"/>
      <c r="IH472" s="11"/>
      <c r="II472" s="11"/>
      <c r="IJ472" s="11"/>
      <c r="IK472" s="11"/>
      <c r="IL472" s="11"/>
      <c r="IM472" s="11"/>
      <c r="IN472" s="11"/>
      <c r="IO472" s="11"/>
      <c r="IP472" s="11"/>
      <c r="IQ472" s="11"/>
      <c r="IR472" s="11"/>
      <c r="IS472" s="11"/>
      <c r="IT472" s="11"/>
      <c r="IU472" s="11"/>
      <c r="IV472" s="11"/>
      <c r="IW472" s="11"/>
      <c r="IX472" s="11"/>
      <c r="IY472" s="11"/>
      <c r="IZ472" s="11"/>
      <c r="JA472" s="11"/>
      <c r="JB472" s="11"/>
      <c r="JC472" s="11"/>
      <c r="JD472" s="11">
        <v>1</v>
      </c>
      <c r="JE472" s="11"/>
      <c r="JF472" s="11"/>
      <c r="JG472" s="11"/>
      <c r="JH472" s="11"/>
      <c r="JI472" s="11"/>
      <c r="JJ472" s="11"/>
      <c r="JK472" s="11"/>
      <c r="JL472" s="11"/>
      <c r="JM472" s="11"/>
      <c r="JN472" s="11"/>
      <c r="JO472" s="11"/>
      <c r="JP472" s="11"/>
      <c r="JQ472" s="11"/>
      <c r="JR472" s="11"/>
      <c r="JS472" s="11"/>
      <c r="JT472" s="11"/>
      <c r="JU472" s="11"/>
      <c r="JV472" s="11"/>
      <c r="JW472" s="11"/>
      <c r="JX472" s="11"/>
      <c r="JY472" s="11"/>
      <c r="JZ472" s="11"/>
      <c r="KA472" s="11"/>
      <c r="KB472" s="11"/>
      <c r="KC472" s="11"/>
      <c r="KD472" s="11"/>
      <c r="KE472" s="11"/>
      <c r="KF472" s="11"/>
      <c r="KG472" s="11"/>
      <c r="KH472" s="11"/>
      <c r="KI472" s="11"/>
      <c r="KJ472" s="11"/>
      <c r="KK472" s="11"/>
      <c r="KL472" s="11"/>
      <c r="KM472" s="11"/>
      <c r="KN472" s="11"/>
      <c r="KO472" s="11"/>
      <c r="KP472" s="11"/>
      <c r="KQ472" s="11"/>
      <c r="KR472" s="11"/>
      <c r="KS472" s="11"/>
      <c r="KT472" s="11"/>
      <c r="KU472" s="11"/>
      <c r="KV472" s="11"/>
      <c r="KW472" s="11"/>
      <c r="KX472" s="11"/>
      <c r="KY472" s="11"/>
      <c r="KZ472" s="11"/>
      <c r="LA472" s="11"/>
      <c r="LB472" s="11"/>
      <c r="LC472" s="11"/>
      <c r="LD472" s="11"/>
      <c r="LE472" s="11"/>
      <c r="LF472" s="11"/>
      <c r="LG472" s="11"/>
      <c r="LH472" s="11"/>
      <c r="LI472" s="11"/>
      <c r="LJ472" s="11"/>
      <c r="LK472" s="11"/>
      <c r="LL472" s="11"/>
      <c r="LM472" s="11"/>
      <c r="LN472" s="11"/>
      <c r="LO472" s="11"/>
      <c r="LP472" s="11"/>
      <c r="LQ472" s="11"/>
      <c r="LR472" s="11"/>
      <c r="LS472" s="11"/>
      <c r="LT472" s="11"/>
      <c r="LU472" s="11"/>
      <c r="LV472" s="11"/>
      <c r="LW472" s="11"/>
      <c r="LX472" s="11"/>
      <c r="LY472" s="11"/>
      <c r="LZ472" s="11"/>
      <c r="MA472" s="11"/>
      <c r="MB472" s="11"/>
      <c r="MC472" s="11"/>
      <c r="MD472" s="11"/>
      <c r="ME472" s="11"/>
      <c r="MF472" s="11"/>
      <c r="MG472" s="11"/>
      <c r="MH472" s="11"/>
      <c r="MI472" s="11"/>
      <c r="MJ472" s="11"/>
      <c r="MK472" s="11"/>
      <c r="ML472" s="11"/>
      <c r="MM472" s="11"/>
      <c r="MN472" s="11"/>
      <c r="MO472" s="11"/>
      <c r="MP472" s="11"/>
      <c r="MQ472" s="11"/>
      <c r="MR472" s="11"/>
      <c r="MS472" s="11"/>
      <c r="MT472" s="11"/>
      <c r="MU472" s="11"/>
      <c r="MV472" s="11"/>
      <c r="MW472" s="11"/>
      <c r="MX472" s="11"/>
      <c r="MY472" s="11"/>
      <c r="MZ472" s="11"/>
      <c r="NA472" s="11"/>
      <c r="NB472" s="11"/>
      <c r="NC472" s="11"/>
      <c r="ND472" s="11"/>
      <c r="NE472" s="11"/>
      <c r="NF472" s="11"/>
      <c r="NG472" s="11"/>
      <c r="NH472" s="11"/>
      <c r="NI472" s="11"/>
      <c r="NJ472" s="11"/>
      <c r="NK472" s="11"/>
      <c r="NL472" s="11"/>
      <c r="NM472" s="11"/>
      <c r="NN472" s="11"/>
      <c r="NO472" s="11"/>
      <c r="NP472" s="11"/>
      <c r="NQ472" s="11"/>
      <c r="NR472" s="11"/>
      <c r="NS472" s="11"/>
      <c r="NT472" s="11"/>
      <c r="NU472" s="11"/>
      <c r="NV472" s="11"/>
      <c r="NW472" s="11"/>
      <c r="NX472" s="11"/>
      <c r="NY472" s="11"/>
      <c r="NZ472" s="11"/>
      <c r="OA472" s="11"/>
      <c r="OB472" s="11"/>
      <c r="OC472" s="11"/>
      <c r="OD472" s="11"/>
      <c r="OE472" s="11"/>
      <c r="OF472" s="11"/>
      <c r="OG472" s="11"/>
      <c r="OH472" s="11"/>
      <c r="OI472" s="11"/>
      <c r="OJ472" s="11"/>
      <c r="OK472" s="11"/>
      <c r="OL472" s="11"/>
      <c r="OM472" s="11"/>
      <c r="ON472" s="11"/>
      <c r="OO472" s="11"/>
      <c r="OP472" s="11"/>
      <c r="OQ472" s="11"/>
      <c r="OR472" s="11"/>
      <c r="OS472" s="11"/>
      <c r="OT472" s="11"/>
      <c r="OU472" s="11"/>
      <c r="OV472" s="11"/>
      <c r="OW472" s="11"/>
      <c r="OX472" s="11"/>
      <c r="OY472" s="11"/>
      <c r="OZ472" s="11"/>
      <c r="PA472" s="11"/>
      <c r="PB472" s="11"/>
      <c r="PC472" s="11"/>
      <c r="PD472" s="11"/>
      <c r="PE472" s="11"/>
      <c r="PF472" s="11"/>
      <c r="PG472" s="11"/>
      <c r="PH472" s="11"/>
      <c r="PI472" s="11"/>
      <c r="PJ472" s="11"/>
      <c r="PK472" s="11"/>
      <c r="PL472" s="11"/>
      <c r="PM472" s="11"/>
      <c r="PN472" s="11"/>
      <c r="PO472" s="11"/>
      <c r="PP472" s="11"/>
      <c r="PQ472" s="11"/>
      <c r="PR472" s="11"/>
      <c r="PS472" s="11"/>
      <c r="PT472" s="11"/>
      <c r="PU472" s="11"/>
      <c r="PV472" s="11"/>
      <c r="PW472" s="11"/>
      <c r="PX472" s="11"/>
      <c r="PY472" s="11"/>
      <c r="PZ472" s="11"/>
      <c r="QA472" s="11"/>
      <c r="QB472" s="11"/>
      <c r="QC472" s="11"/>
      <c r="QD472" s="11"/>
      <c r="QE472" s="11"/>
      <c r="QF472" s="11"/>
      <c r="QG472" s="11"/>
      <c r="QH472" s="11"/>
      <c r="QI472" s="11"/>
      <c r="QJ472" s="11"/>
      <c r="QK472" s="11"/>
      <c r="QL472" s="11"/>
      <c r="QM472" s="11"/>
      <c r="QN472" s="11"/>
      <c r="QO472" s="11"/>
      <c r="QP472" s="11"/>
      <c r="QQ472" s="11"/>
      <c r="QR472" s="11"/>
      <c r="QS472" s="11"/>
      <c r="QT472" s="11"/>
      <c r="QU472" s="11"/>
      <c r="QV472" s="11"/>
      <c r="QW472" s="11"/>
      <c r="QX472" s="11"/>
      <c r="QY472" s="11"/>
      <c r="QZ472" s="11"/>
      <c r="RA472" s="11"/>
      <c r="RB472" s="11"/>
      <c r="RC472" s="11"/>
      <c r="RD472" s="11"/>
      <c r="RE472" s="11"/>
      <c r="RF472" s="11"/>
      <c r="RG472" s="11"/>
      <c r="RH472" s="11"/>
      <c r="RI472" s="11"/>
      <c r="RJ472" s="11"/>
      <c r="RK472" s="11"/>
      <c r="RL472" s="11"/>
      <c r="RM472" s="11"/>
      <c r="RN472" s="11"/>
      <c r="RO472" s="11"/>
      <c r="RP472" s="11"/>
      <c r="RQ472" s="11"/>
      <c r="RR472" s="11"/>
      <c r="RS472" s="11"/>
      <c r="RT472" s="11"/>
      <c r="RU472" s="11"/>
      <c r="RV472" s="11"/>
      <c r="RW472" s="11"/>
      <c r="RX472" s="11"/>
      <c r="RY472" s="11"/>
      <c r="RZ472" s="11"/>
      <c r="SA472" s="11"/>
      <c r="SB472" s="11"/>
      <c r="SC472" s="11"/>
      <c r="SD472" s="11"/>
      <c r="SE472" s="11"/>
      <c r="SF472" s="11"/>
      <c r="SG472" s="11"/>
      <c r="SH472" s="11">
        <v>1</v>
      </c>
    </row>
    <row r="473" spans="1:502" x14ac:dyDescent="0.2">
      <c r="A473" s="10">
        <v>5.7585151593407637E-2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>
        <v>1</v>
      </c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  <c r="HO473" s="11"/>
      <c r="HP473" s="11"/>
      <c r="HQ473" s="11"/>
      <c r="HR473" s="11"/>
      <c r="HS473" s="11"/>
      <c r="HT473" s="11"/>
      <c r="HU473" s="11"/>
      <c r="HV473" s="11"/>
      <c r="HW473" s="11"/>
      <c r="HX473" s="11"/>
      <c r="HY473" s="11"/>
      <c r="HZ473" s="11"/>
      <c r="IA473" s="11"/>
      <c r="IB473" s="11"/>
      <c r="IC473" s="11"/>
      <c r="ID473" s="11"/>
      <c r="IE473" s="11"/>
      <c r="IF473" s="11"/>
      <c r="IG473" s="11"/>
      <c r="IH473" s="11"/>
      <c r="II473" s="11"/>
      <c r="IJ473" s="11"/>
      <c r="IK473" s="11"/>
      <c r="IL473" s="11"/>
      <c r="IM473" s="11"/>
      <c r="IN473" s="11"/>
      <c r="IO473" s="11"/>
      <c r="IP473" s="11"/>
      <c r="IQ473" s="11"/>
      <c r="IR473" s="11"/>
      <c r="IS473" s="11"/>
      <c r="IT473" s="11"/>
      <c r="IU473" s="11"/>
      <c r="IV473" s="11"/>
      <c r="IW473" s="11"/>
      <c r="IX473" s="11"/>
      <c r="IY473" s="11"/>
      <c r="IZ473" s="11"/>
      <c r="JA473" s="11"/>
      <c r="JB473" s="11"/>
      <c r="JC473" s="11"/>
      <c r="JD473" s="11"/>
      <c r="JE473" s="11"/>
      <c r="JF473" s="11"/>
      <c r="JG473" s="11"/>
      <c r="JH473" s="11"/>
      <c r="JI473" s="11"/>
      <c r="JJ473" s="11"/>
      <c r="JK473" s="11"/>
      <c r="JL473" s="11"/>
      <c r="JM473" s="11"/>
      <c r="JN473" s="11"/>
      <c r="JO473" s="11"/>
      <c r="JP473" s="11"/>
      <c r="JQ473" s="11"/>
      <c r="JR473" s="11"/>
      <c r="JS473" s="11"/>
      <c r="JT473" s="11"/>
      <c r="JU473" s="11"/>
      <c r="JV473" s="11"/>
      <c r="JW473" s="11"/>
      <c r="JX473" s="11"/>
      <c r="JY473" s="11"/>
      <c r="JZ473" s="11"/>
      <c r="KA473" s="11"/>
      <c r="KB473" s="11"/>
      <c r="KC473" s="11"/>
      <c r="KD473" s="11"/>
      <c r="KE473" s="11"/>
      <c r="KF473" s="11"/>
      <c r="KG473" s="11"/>
      <c r="KH473" s="11"/>
      <c r="KI473" s="11"/>
      <c r="KJ473" s="11"/>
      <c r="KK473" s="11"/>
      <c r="KL473" s="11"/>
      <c r="KM473" s="11"/>
      <c r="KN473" s="11"/>
      <c r="KO473" s="11"/>
      <c r="KP473" s="11"/>
      <c r="KQ473" s="11"/>
      <c r="KR473" s="11"/>
      <c r="KS473" s="11"/>
      <c r="KT473" s="11"/>
      <c r="KU473" s="11"/>
      <c r="KV473" s="11"/>
      <c r="KW473" s="11"/>
      <c r="KX473" s="11"/>
      <c r="KY473" s="11"/>
      <c r="KZ473" s="11"/>
      <c r="LA473" s="11"/>
      <c r="LB473" s="11"/>
      <c r="LC473" s="11"/>
      <c r="LD473" s="11"/>
      <c r="LE473" s="11"/>
      <c r="LF473" s="11"/>
      <c r="LG473" s="11"/>
      <c r="LH473" s="11"/>
      <c r="LI473" s="11"/>
      <c r="LJ473" s="11"/>
      <c r="LK473" s="11"/>
      <c r="LL473" s="11"/>
      <c r="LM473" s="11"/>
      <c r="LN473" s="11"/>
      <c r="LO473" s="11"/>
      <c r="LP473" s="11"/>
      <c r="LQ473" s="11"/>
      <c r="LR473" s="11"/>
      <c r="LS473" s="11"/>
      <c r="LT473" s="11"/>
      <c r="LU473" s="11"/>
      <c r="LV473" s="11"/>
      <c r="LW473" s="11"/>
      <c r="LX473" s="11"/>
      <c r="LY473" s="11"/>
      <c r="LZ473" s="11"/>
      <c r="MA473" s="11"/>
      <c r="MB473" s="11"/>
      <c r="MC473" s="11"/>
      <c r="MD473" s="11"/>
      <c r="ME473" s="11"/>
      <c r="MF473" s="11"/>
      <c r="MG473" s="11"/>
      <c r="MH473" s="11"/>
      <c r="MI473" s="11"/>
      <c r="MJ473" s="11"/>
      <c r="MK473" s="11"/>
      <c r="ML473" s="11"/>
      <c r="MM473" s="11"/>
      <c r="MN473" s="11"/>
      <c r="MO473" s="11"/>
      <c r="MP473" s="11"/>
      <c r="MQ473" s="11"/>
      <c r="MR473" s="11"/>
      <c r="MS473" s="11"/>
      <c r="MT473" s="11"/>
      <c r="MU473" s="11"/>
      <c r="MV473" s="11"/>
      <c r="MW473" s="11"/>
      <c r="MX473" s="11"/>
      <c r="MY473" s="11"/>
      <c r="MZ473" s="11"/>
      <c r="NA473" s="11"/>
      <c r="NB473" s="11"/>
      <c r="NC473" s="11"/>
      <c r="ND473" s="11"/>
      <c r="NE473" s="11"/>
      <c r="NF473" s="11"/>
      <c r="NG473" s="11"/>
      <c r="NH473" s="11"/>
      <c r="NI473" s="11"/>
      <c r="NJ473" s="11"/>
      <c r="NK473" s="11"/>
      <c r="NL473" s="11"/>
      <c r="NM473" s="11"/>
      <c r="NN473" s="11"/>
      <c r="NO473" s="11"/>
      <c r="NP473" s="11"/>
      <c r="NQ473" s="11"/>
      <c r="NR473" s="11"/>
      <c r="NS473" s="11"/>
      <c r="NT473" s="11"/>
      <c r="NU473" s="11"/>
      <c r="NV473" s="11"/>
      <c r="NW473" s="11"/>
      <c r="NX473" s="11"/>
      <c r="NY473" s="11"/>
      <c r="NZ473" s="11"/>
      <c r="OA473" s="11"/>
      <c r="OB473" s="11"/>
      <c r="OC473" s="11"/>
      <c r="OD473" s="11"/>
      <c r="OE473" s="11"/>
      <c r="OF473" s="11"/>
      <c r="OG473" s="11"/>
      <c r="OH473" s="11"/>
      <c r="OI473" s="11"/>
      <c r="OJ473" s="11"/>
      <c r="OK473" s="11"/>
      <c r="OL473" s="11"/>
      <c r="OM473" s="11"/>
      <c r="ON473" s="11"/>
      <c r="OO473" s="11"/>
      <c r="OP473" s="11"/>
      <c r="OQ473" s="11"/>
      <c r="OR473" s="11"/>
      <c r="OS473" s="11"/>
      <c r="OT473" s="11"/>
      <c r="OU473" s="11"/>
      <c r="OV473" s="11"/>
      <c r="OW473" s="11"/>
      <c r="OX473" s="11"/>
      <c r="OY473" s="11"/>
      <c r="OZ473" s="11"/>
      <c r="PA473" s="11"/>
      <c r="PB473" s="11"/>
      <c r="PC473" s="11"/>
      <c r="PD473" s="11"/>
      <c r="PE473" s="11"/>
      <c r="PF473" s="11"/>
      <c r="PG473" s="11"/>
      <c r="PH473" s="11"/>
      <c r="PI473" s="11"/>
      <c r="PJ473" s="11"/>
      <c r="PK473" s="11"/>
      <c r="PL473" s="11"/>
      <c r="PM473" s="11"/>
      <c r="PN473" s="11"/>
      <c r="PO473" s="11"/>
      <c r="PP473" s="11"/>
      <c r="PQ473" s="11"/>
      <c r="PR473" s="11"/>
      <c r="PS473" s="11"/>
      <c r="PT473" s="11"/>
      <c r="PU473" s="11"/>
      <c r="PV473" s="11"/>
      <c r="PW473" s="11"/>
      <c r="PX473" s="11"/>
      <c r="PY473" s="11"/>
      <c r="PZ473" s="11"/>
      <c r="QA473" s="11"/>
      <c r="QB473" s="11"/>
      <c r="QC473" s="11"/>
      <c r="QD473" s="11"/>
      <c r="QE473" s="11"/>
      <c r="QF473" s="11"/>
      <c r="QG473" s="11"/>
      <c r="QH473" s="11"/>
      <c r="QI473" s="11"/>
      <c r="QJ473" s="11"/>
      <c r="QK473" s="11"/>
      <c r="QL473" s="11"/>
      <c r="QM473" s="11"/>
      <c r="QN473" s="11"/>
      <c r="QO473" s="11"/>
      <c r="QP473" s="11"/>
      <c r="QQ473" s="11"/>
      <c r="QR473" s="11"/>
      <c r="QS473" s="11"/>
      <c r="QT473" s="11"/>
      <c r="QU473" s="11"/>
      <c r="QV473" s="11"/>
      <c r="QW473" s="11"/>
      <c r="QX473" s="11"/>
      <c r="QY473" s="11"/>
      <c r="QZ473" s="11"/>
      <c r="RA473" s="11"/>
      <c r="RB473" s="11"/>
      <c r="RC473" s="11"/>
      <c r="RD473" s="11"/>
      <c r="RE473" s="11"/>
      <c r="RF473" s="11"/>
      <c r="RG473" s="11"/>
      <c r="RH473" s="11"/>
      <c r="RI473" s="11"/>
      <c r="RJ473" s="11"/>
      <c r="RK473" s="11"/>
      <c r="RL473" s="11"/>
      <c r="RM473" s="11"/>
      <c r="RN473" s="11"/>
      <c r="RO473" s="11"/>
      <c r="RP473" s="11"/>
      <c r="RQ473" s="11"/>
      <c r="RR473" s="11"/>
      <c r="RS473" s="11"/>
      <c r="RT473" s="11"/>
      <c r="RU473" s="11"/>
      <c r="RV473" s="11"/>
      <c r="RW473" s="11"/>
      <c r="RX473" s="11"/>
      <c r="RY473" s="11"/>
      <c r="RZ473" s="11"/>
      <c r="SA473" s="11"/>
      <c r="SB473" s="11"/>
      <c r="SC473" s="11"/>
      <c r="SD473" s="11"/>
      <c r="SE473" s="11"/>
      <c r="SF473" s="11"/>
      <c r="SG473" s="11"/>
      <c r="SH473" s="11">
        <v>1</v>
      </c>
    </row>
    <row r="474" spans="1:502" x14ac:dyDescent="0.2">
      <c r="A474" s="10">
        <v>5.7817533629338731E-2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  <c r="GP474" s="11"/>
      <c r="GQ474" s="11"/>
      <c r="GR474" s="11"/>
      <c r="GS474" s="11"/>
      <c r="GT474" s="11"/>
      <c r="GU474" s="11"/>
      <c r="GV474" s="11"/>
      <c r="GW474" s="11"/>
      <c r="GX474" s="11"/>
      <c r="GY474" s="11"/>
      <c r="GZ474" s="11"/>
      <c r="HA474" s="11"/>
      <c r="HB474" s="11"/>
      <c r="HC474" s="11"/>
      <c r="HD474" s="11"/>
      <c r="HE474" s="11"/>
      <c r="HF474" s="11"/>
      <c r="HG474" s="11"/>
      <c r="HH474" s="11"/>
      <c r="HI474" s="11"/>
      <c r="HJ474" s="11"/>
      <c r="HK474" s="11"/>
      <c r="HL474" s="11"/>
      <c r="HM474" s="11"/>
      <c r="HN474" s="11"/>
      <c r="HO474" s="11"/>
      <c r="HP474" s="11"/>
      <c r="HQ474" s="11"/>
      <c r="HR474" s="11"/>
      <c r="HS474" s="11"/>
      <c r="HT474" s="11"/>
      <c r="HU474" s="11"/>
      <c r="HV474" s="11"/>
      <c r="HW474" s="11"/>
      <c r="HX474" s="11"/>
      <c r="HY474" s="11"/>
      <c r="HZ474" s="11"/>
      <c r="IA474" s="11"/>
      <c r="IB474" s="11"/>
      <c r="IC474" s="11"/>
      <c r="ID474" s="11"/>
      <c r="IE474" s="11"/>
      <c r="IF474" s="11"/>
      <c r="IG474" s="11"/>
      <c r="IH474" s="11"/>
      <c r="II474" s="11"/>
      <c r="IJ474" s="11"/>
      <c r="IK474" s="11"/>
      <c r="IL474" s="11"/>
      <c r="IM474" s="11"/>
      <c r="IN474" s="11"/>
      <c r="IO474" s="11"/>
      <c r="IP474" s="11"/>
      <c r="IQ474" s="11"/>
      <c r="IR474" s="11"/>
      <c r="IS474" s="11"/>
      <c r="IT474" s="11"/>
      <c r="IU474" s="11"/>
      <c r="IV474" s="11"/>
      <c r="IW474" s="11"/>
      <c r="IX474" s="11"/>
      <c r="IY474" s="11"/>
      <c r="IZ474" s="11"/>
      <c r="JA474" s="11"/>
      <c r="JB474" s="11"/>
      <c r="JC474" s="11"/>
      <c r="JD474" s="11"/>
      <c r="JE474" s="11"/>
      <c r="JF474" s="11"/>
      <c r="JG474" s="11">
        <v>1</v>
      </c>
      <c r="JH474" s="11"/>
      <c r="JI474" s="11"/>
      <c r="JJ474" s="11"/>
      <c r="JK474" s="11"/>
      <c r="JL474" s="11"/>
      <c r="JM474" s="11"/>
      <c r="JN474" s="11"/>
      <c r="JO474" s="11"/>
      <c r="JP474" s="11"/>
      <c r="JQ474" s="11"/>
      <c r="JR474" s="11"/>
      <c r="JS474" s="11"/>
      <c r="JT474" s="11"/>
      <c r="JU474" s="11"/>
      <c r="JV474" s="11"/>
      <c r="JW474" s="11"/>
      <c r="JX474" s="11"/>
      <c r="JY474" s="11"/>
      <c r="JZ474" s="11"/>
      <c r="KA474" s="11"/>
      <c r="KB474" s="11"/>
      <c r="KC474" s="11"/>
      <c r="KD474" s="11"/>
      <c r="KE474" s="11"/>
      <c r="KF474" s="11"/>
      <c r="KG474" s="11"/>
      <c r="KH474" s="11"/>
      <c r="KI474" s="11"/>
      <c r="KJ474" s="11"/>
      <c r="KK474" s="11"/>
      <c r="KL474" s="11"/>
      <c r="KM474" s="11"/>
      <c r="KN474" s="11"/>
      <c r="KO474" s="11"/>
      <c r="KP474" s="11"/>
      <c r="KQ474" s="11"/>
      <c r="KR474" s="11"/>
      <c r="KS474" s="11"/>
      <c r="KT474" s="11"/>
      <c r="KU474" s="11"/>
      <c r="KV474" s="11"/>
      <c r="KW474" s="11"/>
      <c r="KX474" s="11"/>
      <c r="KY474" s="11"/>
      <c r="KZ474" s="11"/>
      <c r="LA474" s="11"/>
      <c r="LB474" s="11"/>
      <c r="LC474" s="11"/>
      <c r="LD474" s="11"/>
      <c r="LE474" s="11"/>
      <c r="LF474" s="11"/>
      <c r="LG474" s="11"/>
      <c r="LH474" s="11"/>
      <c r="LI474" s="11"/>
      <c r="LJ474" s="11"/>
      <c r="LK474" s="11"/>
      <c r="LL474" s="11"/>
      <c r="LM474" s="11"/>
      <c r="LN474" s="11"/>
      <c r="LO474" s="11"/>
      <c r="LP474" s="11"/>
      <c r="LQ474" s="11"/>
      <c r="LR474" s="11"/>
      <c r="LS474" s="11"/>
      <c r="LT474" s="11"/>
      <c r="LU474" s="11"/>
      <c r="LV474" s="11"/>
      <c r="LW474" s="11"/>
      <c r="LX474" s="11"/>
      <c r="LY474" s="11"/>
      <c r="LZ474" s="11"/>
      <c r="MA474" s="11"/>
      <c r="MB474" s="11"/>
      <c r="MC474" s="11"/>
      <c r="MD474" s="11"/>
      <c r="ME474" s="11"/>
      <c r="MF474" s="11"/>
      <c r="MG474" s="11"/>
      <c r="MH474" s="11"/>
      <c r="MI474" s="11"/>
      <c r="MJ474" s="11"/>
      <c r="MK474" s="11"/>
      <c r="ML474" s="11"/>
      <c r="MM474" s="11"/>
      <c r="MN474" s="11"/>
      <c r="MO474" s="11"/>
      <c r="MP474" s="11"/>
      <c r="MQ474" s="11"/>
      <c r="MR474" s="11"/>
      <c r="MS474" s="11"/>
      <c r="MT474" s="11"/>
      <c r="MU474" s="11"/>
      <c r="MV474" s="11"/>
      <c r="MW474" s="11"/>
      <c r="MX474" s="11"/>
      <c r="MY474" s="11"/>
      <c r="MZ474" s="11"/>
      <c r="NA474" s="11"/>
      <c r="NB474" s="11"/>
      <c r="NC474" s="11"/>
      <c r="ND474" s="11"/>
      <c r="NE474" s="11"/>
      <c r="NF474" s="11"/>
      <c r="NG474" s="11"/>
      <c r="NH474" s="11"/>
      <c r="NI474" s="11"/>
      <c r="NJ474" s="11"/>
      <c r="NK474" s="11"/>
      <c r="NL474" s="11"/>
      <c r="NM474" s="11"/>
      <c r="NN474" s="11"/>
      <c r="NO474" s="11"/>
      <c r="NP474" s="11"/>
      <c r="NQ474" s="11"/>
      <c r="NR474" s="11"/>
      <c r="NS474" s="11"/>
      <c r="NT474" s="11"/>
      <c r="NU474" s="11"/>
      <c r="NV474" s="11"/>
      <c r="NW474" s="11"/>
      <c r="NX474" s="11"/>
      <c r="NY474" s="11"/>
      <c r="NZ474" s="11"/>
      <c r="OA474" s="11"/>
      <c r="OB474" s="11"/>
      <c r="OC474" s="11"/>
      <c r="OD474" s="11"/>
      <c r="OE474" s="11"/>
      <c r="OF474" s="11"/>
      <c r="OG474" s="11"/>
      <c r="OH474" s="11"/>
      <c r="OI474" s="11"/>
      <c r="OJ474" s="11"/>
      <c r="OK474" s="11"/>
      <c r="OL474" s="11"/>
      <c r="OM474" s="11"/>
      <c r="ON474" s="11"/>
      <c r="OO474" s="11"/>
      <c r="OP474" s="11"/>
      <c r="OQ474" s="11"/>
      <c r="OR474" s="11"/>
      <c r="OS474" s="11"/>
      <c r="OT474" s="11"/>
      <c r="OU474" s="11"/>
      <c r="OV474" s="11"/>
      <c r="OW474" s="11"/>
      <c r="OX474" s="11"/>
      <c r="OY474" s="11"/>
      <c r="OZ474" s="11"/>
      <c r="PA474" s="11"/>
      <c r="PB474" s="11"/>
      <c r="PC474" s="11"/>
      <c r="PD474" s="11"/>
      <c r="PE474" s="11"/>
      <c r="PF474" s="11"/>
      <c r="PG474" s="11"/>
      <c r="PH474" s="11"/>
      <c r="PI474" s="11"/>
      <c r="PJ474" s="11"/>
      <c r="PK474" s="11"/>
      <c r="PL474" s="11"/>
      <c r="PM474" s="11"/>
      <c r="PN474" s="11"/>
      <c r="PO474" s="11"/>
      <c r="PP474" s="11"/>
      <c r="PQ474" s="11"/>
      <c r="PR474" s="11"/>
      <c r="PS474" s="11"/>
      <c r="PT474" s="11"/>
      <c r="PU474" s="11"/>
      <c r="PV474" s="11"/>
      <c r="PW474" s="11"/>
      <c r="PX474" s="11"/>
      <c r="PY474" s="11"/>
      <c r="PZ474" s="11"/>
      <c r="QA474" s="11"/>
      <c r="QB474" s="11"/>
      <c r="QC474" s="11"/>
      <c r="QD474" s="11"/>
      <c r="QE474" s="11"/>
      <c r="QF474" s="11"/>
      <c r="QG474" s="11"/>
      <c r="QH474" s="11"/>
      <c r="QI474" s="11"/>
      <c r="QJ474" s="11"/>
      <c r="QK474" s="11"/>
      <c r="QL474" s="11"/>
      <c r="QM474" s="11"/>
      <c r="QN474" s="11"/>
      <c r="QO474" s="11"/>
      <c r="QP474" s="11"/>
      <c r="QQ474" s="11"/>
      <c r="QR474" s="11"/>
      <c r="QS474" s="11"/>
      <c r="QT474" s="11"/>
      <c r="QU474" s="11"/>
      <c r="QV474" s="11"/>
      <c r="QW474" s="11"/>
      <c r="QX474" s="11"/>
      <c r="QY474" s="11"/>
      <c r="QZ474" s="11"/>
      <c r="RA474" s="11"/>
      <c r="RB474" s="11"/>
      <c r="RC474" s="11"/>
      <c r="RD474" s="11"/>
      <c r="RE474" s="11"/>
      <c r="RF474" s="11"/>
      <c r="RG474" s="11"/>
      <c r="RH474" s="11"/>
      <c r="RI474" s="11"/>
      <c r="RJ474" s="11"/>
      <c r="RK474" s="11"/>
      <c r="RL474" s="11"/>
      <c r="RM474" s="11"/>
      <c r="RN474" s="11"/>
      <c r="RO474" s="11"/>
      <c r="RP474" s="11"/>
      <c r="RQ474" s="11"/>
      <c r="RR474" s="11"/>
      <c r="RS474" s="11"/>
      <c r="RT474" s="11"/>
      <c r="RU474" s="11"/>
      <c r="RV474" s="11"/>
      <c r="RW474" s="11"/>
      <c r="RX474" s="11"/>
      <c r="RY474" s="11"/>
      <c r="RZ474" s="11"/>
      <c r="SA474" s="11"/>
      <c r="SB474" s="11"/>
      <c r="SC474" s="11"/>
      <c r="SD474" s="11"/>
      <c r="SE474" s="11"/>
      <c r="SF474" s="11"/>
      <c r="SG474" s="11"/>
      <c r="SH474" s="11">
        <v>1</v>
      </c>
    </row>
    <row r="475" spans="1:502" x14ac:dyDescent="0.2">
      <c r="A475" s="10">
        <v>5.811754496008191E-2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  <c r="HO475" s="11"/>
      <c r="HP475" s="11"/>
      <c r="HQ475" s="11"/>
      <c r="HR475" s="11"/>
      <c r="HS475" s="11"/>
      <c r="HT475" s="11"/>
      <c r="HU475" s="11">
        <v>1</v>
      </c>
      <c r="HV475" s="11"/>
      <c r="HW475" s="11"/>
      <c r="HX475" s="11"/>
      <c r="HY475" s="11"/>
      <c r="HZ475" s="11"/>
      <c r="IA475" s="11"/>
      <c r="IB475" s="11"/>
      <c r="IC475" s="11"/>
      <c r="ID475" s="11"/>
      <c r="IE475" s="11"/>
      <c r="IF475" s="11"/>
      <c r="IG475" s="11"/>
      <c r="IH475" s="11"/>
      <c r="II475" s="11"/>
      <c r="IJ475" s="11"/>
      <c r="IK475" s="11"/>
      <c r="IL475" s="11"/>
      <c r="IM475" s="11"/>
      <c r="IN475" s="11"/>
      <c r="IO475" s="11"/>
      <c r="IP475" s="11"/>
      <c r="IQ475" s="11"/>
      <c r="IR475" s="11"/>
      <c r="IS475" s="11"/>
      <c r="IT475" s="11"/>
      <c r="IU475" s="11"/>
      <c r="IV475" s="11"/>
      <c r="IW475" s="11"/>
      <c r="IX475" s="11"/>
      <c r="IY475" s="11"/>
      <c r="IZ475" s="11"/>
      <c r="JA475" s="11"/>
      <c r="JB475" s="11"/>
      <c r="JC475" s="11"/>
      <c r="JD475" s="11"/>
      <c r="JE475" s="11"/>
      <c r="JF475" s="11"/>
      <c r="JG475" s="11"/>
      <c r="JH475" s="11"/>
      <c r="JI475" s="11"/>
      <c r="JJ475" s="11"/>
      <c r="JK475" s="11"/>
      <c r="JL475" s="11"/>
      <c r="JM475" s="11"/>
      <c r="JN475" s="11"/>
      <c r="JO475" s="11"/>
      <c r="JP475" s="11"/>
      <c r="JQ475" s="11"/>
      <c r="JR475" s="11"/>
      <c r="JS475" s="11"/>
      <c r="JT475" s="11"/>
      <c r="JU475" s="11"/>
      <c r="JV475" s="11"/>
      <c r="JW475" s="11"/>
      <c r="JX475" s="11"/>
      <c r="JY475" s="11"/>
      <c r="JZ475" s="11"/>
      <c r="KA475" s="11"/>
      <c r="KB475" s="11"/>
      <c r="KC475" s="11"/>
      <c r="KD475" s="11"/>
      <c r="KE475" s="11"/>
      <c r="KF475" s="11"/>
      <c r="KG475" s="11"/>
      <c r="KH475" s="11"/>
      <c r="KI475" s="11"/>
      <c r="KJ475" s="11"/>
      <c r="KK475" s="11"/>
      <c r="KL475" s="11"/>
      <c r="KM475" s="11"/>
      <c r="KN475" s="11"/>
      <c r="KO475" s="11"/>
      <c r="KP475" s="11"/>
      <c r="KQ475" s="11"/>
      <c r="KR475" s="11"/>
      <c r="KS475" s="11"/>
      <c r="KT475" s="11"/>
      <c r="KU475" s="11"/>
      <c r="KV475" s="11"/>
      <c r="KW475" s="11"/>
      <c r="KX475" s="11"/>
      <c r="KY475" s="11"/>
      <c r="KZ475" s="11"/>
      <c r="LA475" s="11"/>
      <c r="LB475" s="11"/>
      <c r="LC475" s="11"/>
      <c r="LD475" s="11"/>
      <c r="LE475" s="11"/>
      <c r="LF475" s="11"/>
      <c r="LG475" s="11"/>
      <c r="LH475" s="11"/>
      <c r="LI475" s="11"/>
      <c r="LJ475" s="11"/>
      <c r="LK475" s="11"/>
      <c r="LL475" s="11"/>
      <c r="LM475" s="11"/>
      <c r="LN475" s="11"/>
      <c r="LO475" s="11"/>
      <c r="LP475" s="11"/>
      <c r="LQ475" s="11"/>
      <c r="LR475" s="11"/>
      <c r="LS475" s="11"/>
      <c r="LT475" s="11"/>
      <c r="LU475" s="11"/>
      <c r="LV475" s="11"/>
      <c r="LW475" s="11"/>
      <c r="LX475" s="11"/>
      <c r="LY475" s="11"/>
      <c r="LZ475" s="11"/>
      <c r="MA475" s="11"/>
      <c r="MB475" s="11"/>
      <c r="MC475" s="11"/>
      <c r="MD475" s="11"/>
      <c r="ME475" s="11"/>
      <c r="MF475" s="11"/>
      <c r="MG475" s="11"/>
      <c r="MH475" s="11"/>
      <c r="MI475" s="11"/>
      <c r="MJ475" s="11"/>
      <c r="MK475" s="11"/>
      <c r="ML475" s="11"/>
      <c r="MM475" s="11"/>
      <c r="MN475" s="11"/>
      <c r="MO475" s="11"/>
      <c r="MP475" s="11"/>
      <c r="MQ475" s="11"/>
      <c r="MR475" s="11"/>
      <c r="MS475" s="11"/>
      <c r="MT475" s="11"/>
      <c r="MU475" s="11"/>
      <c r="MV475" s="11"/>
      <c r="MW475" s="11"/>
      <c r="MX475" s="11"/>
      <c r="MY475" s="11"/>
      <c r="MZ475" s="11"/>
      <c r="NA475" s="11"/>
      <c r="NB475" s="11"/>
      <c r="NC475" s="11"/>
      <c r="ND475" s="11"/>
      <c r="NE475" s="11"/>
      <c r="NF475" s="11"/>
      <c r="NG475" s="11"/>
      <c r="NH475" s="11"/>
      <c r="NI475" s="11"/>
      <c r="NJ475" s="11"/>
      <c r="NK475" s="11"/>
      <c r="NL475" s="11"/>
      <c r="NM475" s="11"/>
      <c r="NN475" s="11"/>
      <c r="NO475" s="11"/>
      <c r="NP475" s="11"/>
      <c r="NQ475" s="11"/>
      <c r="NR475" s="11"/>
      <c r="NS475" s="11"/>
      <c r="NT475" s="11"/>
      <c r="NU475" s="11"/>
      <c r="NV475" s="11"/>
      <c r="NW475" s="11"/>
      <c r="NX475" s="11"/>
      <c r="NY475" s="11"/>
      <c r="NZ475" s="11"/>
      <c r="OA475" s="11"/>
      <c r="OB475" s="11"/>
      <c r="OC475" s="11"/>
      <c r="OD475" s="11"/>
      <c r="OE475" s="11"/>
      <c r="OF475" s="11"/>
      <c r="OG475" s="11"/>
      <c r="OH475" s="11"/>
      <c r="OI475" s="11"/>
      <c r="OJ475" s="11"/>
      <c r="OK475" s="11"/>
      <c r="OL475" s="11"/>
      <c r="OM475" s="11"/>
      <c r="ON475" s="11"/>
      <c r="OO475" s="11"/>
      <c r="OP475" s="11"/>
      <c r="OQ475" s="11"/>
      <c r="OR475" s="11"/>
      <c r="OS475" s="11"/>
      <c r="OT475" s="11"/>
      <c r="OU475" s="11"/>
      <c r="OV475" s="11"/>
      <c r="OW475" s="11"/>
      <c r="OX475" s="11"/>
      <c r="OY475" s="11"/>
      <c r="OZ475" s="11"/>
      <c r="PA475" s="11"/>
      <c r="PB475" s="11"/>
      <c r="PC475" s="11"/>
      <c r="PD475" s="11"/>
      <c r="PE475" s="11"/>
      <c r="PF475" s="11"/>
      <c r="PG475" s="11"/>
      <c r="PH475" s="11"/>
      <c r="PI475" s="11"/>
      <c r="PJ475" s="11"/>
      <c r="PK475" s="11"/>
      <c r="PL475" s="11"/>
      <c r="PM475" s="11"/>
      <c r="PN475" s="11"/>
      <c r="PO475" s="11"/>
      <c r="PP475" s="11"/>
      <c r="PQ475" s="11"/>
      <c r="PR475" s="11"/>
      <c r="PS475" s="11"/>
      <c r="PT475" s="11"/>
      <c r="PU475" s="11"/>
      <c r="PV475" s="11"/>
      <c r="PW475" s="11"/>
      <c r="PX475" s="11"/>
      <c r="PY475" s="11"/>
      <c r="PZ475" s="11"/>
      <c r="QA475" s="11"/>
      <c r="QB475" s="11"/>
      <c r="QC475" s="11"/>
      <c r="QD475" s="11"/>
      <c r="QE475" s="11"/>
      <c r="QF475" s="11"/>
      <c r="QG475" s="11"/>
      <c r="QH475" s="11"/>
      <c r="QI475" s="11"/>
      <c r="QJ475" s="11"/>
      <c r="QK475" s="11"/>
      <c r="QL475" s="11"/>
      <c r="QM475" s="11"/>
      <c r="QN475" s="11"/>
      <c r="QO475" s="11"/>
      <c r="QP475" s="11"/>
      <c r="QQ475" s="11"/>
      <c r="QR475" s="11"/>
      <c r="QS475" s="11"/>
      <c r="QT475" s="11"/>
      <c r="QU475" s="11"/>
      <c r="QV475" s="11"/>
      <c r="QW475" s="11"/>
      <c r="QX475" s="11"/>
      <c r="QY475" s="11"/>
      <c r="QZ475" s="11"/>
      <c r="RA475" s="11"/>
      <c r="RB475" s="11"/>
      <c r="RC475" s="11"/>
      <c r="RD475" s="11"/>
      <c r="RE475" s="11"/>
      <c r="RF475" s="11"/>
      <c r="RG475" s="11"/>
      <c r="RH475" s="11"/>
      <c r="RI475" s="11"/>
      <c r="RJ475" s="11"/>
      <c r="RK475" s="11"/>
      <c r="RL475" s="11"/>
      <c r="RM475" s="11"/>
      <c r="RN475" s="11"/>
      <c r="RO475" s="11"/>
      <c r="RP475" s="11"/>
      <c r="RQ475" s="11"/>
      <c r="RR475" s="11"/>
      <c r="RS475" s="11"/>
      <c r="RT475" s="11"/>
      <c r="RU475" s="11"/>
      <c r="RV475" s="11"/>
      <c r="RW475" s="11"/>
      <c r="RX475" s="11"/>
      <c r="RY475" s="11"/>
      <c r="RZ475" s="11"/>
      <c r="SA475" s="11"/>
      <c r="SB475" s="11"/>
      <c r="SC475" s="11"/>
      <c r="SD475" s="11"/>
      <c r="SE475" s="11"/>
      <c r="SF475" s="11"/>
      <c r="SG475" s="11"/>
      <c r="SH475" s="11">
        <v>1</v>
      </c>
    </row>
    <row r="476" spans="1:502" x14ac:dyDescent="0.2">
      <c r="A476" s="10">
        <v>5.819314434974919E-2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>
        <v>1</v>
      </c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  <c r="GP476" s="11"/>
      <c r="GQ476" s="11"/>
      <c r="GR476" s="11"/>
      <c r="GS476" s="11"/>
      <c r="GT476" s="11"/>
      <c r="GU476" s="11"/>
      <c r="GV476" s="11"/>
      <c r="GW476" s="11"/>
      <c r="GX476" s="11"/>
      <c r="GY476" s="11"/>
      <c r="GZ476" s="11"/>
      <c r="HA476" s="11"/>
      <c r="HB476" s="11"/>
      <c r="HC476" s="11"/>
      <c r="HD476" s="11"/>
      <c r="HE476" s="11"/>
      <c r="HF476" s="11"/>
      <c r="HG476" s="11"/>
      <c r="HH476" s="11"/>
      <c r="HI476" s="11"/>
      <c r="HJ476" s="11"/>
      <c r="HK476" s="11"/>
      <c r="HL476" s="11"/>
      <c r="HM476" s="11"/>
      <c r="HN476" s="11"/>
      <c r="HO476" s="11"/>
      <c r="HP476" s="11"/>
      <c r="HQ476" s="11"/>
      <c r="HR476" s="11"/>
      <c r="HS476" s="11"/>
      <c r="HT476" s="11"/>
      <c r="HU476" s="11"/>
      <c r="HV476" s="11"/>
      <c r="HW476" s="11"/>
      <c r="HX476" s="11"/>
      <c r="HY476" s="11"/>
      <c r="HZ476" s="11"/>
      <c r="IA476" s="11"/>
      <c r="IB476" s="11"/>
      <c r="IC476" s="11"/>
      <c r="ID476" s="11"/>
      <c r="IE476" s="11"/>
      <c r="IF476" s="11"/>
      <c r="IG476" s="11"/>
      <c r="IH476" s="11"/>
      <c r="II476" s="11"/>
      <c r="IJ476" s="11"/>
      <c r="IK476" s="11"/>
      <c r="IL476" s="11"/>
      <c r="IM476" s="11"/>
      <c r="IN476" s="11"/>
      <c r="IO476" s="11"/>
      <c r="IP476" s="11"/>
      <c r="IQ476" s="11"/>
      <c r="IR476" s="11"/>
      <c r="IS476" s="11"/>
      <c r="IT476" s="11"/>
      <c r="IU476" s="11"/>
      <c r="IV476" s="11"/>
      <c r="IW476" s="11"/>
      <c r="IX476" s="11"/>
      <c r="IY476" s="11"/>
      <c r="IZ476" s="11"/>
      <c r="JA476" s="11"/>
      <c r="JB476" s="11"/>
      <c r="JC476" s="11"/>
      <c r="JD476" s="11"/>
      <c r="JE476" s="11"/>
      <c r="JF476" s="11"/>
      <c r="JG476" s="11"/>
      <c r="JH476" s="11"/>
      <c r="JI476" s="11"/>
      <c r="JJ476" s="11"/>
      <c r="JK476" s="11"/>
      <c r="JL476" s="11"/>
      <c r="JM476" s="11"/>
      <c r="JN476" s="11"/>
      <c r="JO476" s="11"/>
      <c r="JP476" s="11"/>
      <c r="JQ476" s="11"/>
      <c r="JR476" s="11"/>
      <c r="JS476" s="11"/>
      <c r="JT476" s="11"/>
      <c r="JU476" s="11"/>
      <c r="JV476" s="11"/>
      <c r="JW476" s="11"/>
      <c r="JX476" s="11"/>
      <c r="JY476" s="11"/>
      <c r="JZ476" s="11"/>
      <c r="KA476" s="11"/>
      <c r="KB476" s="11"/>
      <c r="KC476" s="11"/>
      <c r="KD476" s="11"/>
      <c r="KE476" s="11"/>
      <c r="KF476" s="11"/>
      <c r="KG476" s="11"/>
      <c r="KH476" s="11"/>
      <c r="KI476" s="11"/>
      <c r="KJ476" s="11"/>
      <c r="KK476" s="11"/>
      <c r="KL476" s="11"/>
      <c r="KM476" s="11"/>
      <c r="KN476" s="11"/>
      <c r="KO476" s="11"/>
      <c r="KP476" s="11"/>
      <c r="KQ476" s="11"/>
      <c r="KR476" s="11"/>
      <c r="KS476" s="11"/>
      <c r="KT476" s="11"/>
      <c r="KU476" s="11"/>
      <c r="KV476" s="11"/>
      <c r="KW476" s="11"/>
      <c r="KX476" s="11"/>
      <c r="KY476" s="11"/>
      <c r="KZ476" s="11"/>
      <c r="LA476" s="11"/>
      <c r="LB476" s="11"/>
      <c r="LC476" s="11"/>
      <c r="LD476" s="11"/>
      <c r="LE476" s="11"/>
      <c r="LF476" s="11"/>
      <c r="LG476" s="11"/>
      <c r="LH476" s="11"/>
      <c r="LI476" s="11"/>
      <c r="LJ476" s="11"/>
      <c r="LK476" s="11"/>
      <c r="LL476" s="11"/>
      <c r="LM476" s="11"/>
      <c r="LN476" s="11"/>
      <c r="LO476" s="11"/>
      <c r="LP476" s="11"/>
      <c r="LQ476" s="11"/>
      <c r="LR476" s="11"/>
      <c r="LS476" s="11"/>
      <c r="LT476" s="11"/>
      <c r="LU476" s="11"/>
      <c r="LV476" s="11"/>
      <c r="LW476" s="11"/>
      <c r="LX476" s="11"/>
      <c r="LY476" s="11"/>
      <c r="LZ476" s="11"/>
      <c r="MA476" s="11"/>
      <c r="MB476" s="11"/>
      <c r="MC476" s="11"/>
      <c r="MD476" s="11"/>
      <c r="ME476" s="11"/>
      <c r="MF476" s="11"/>
      <c r="MG476" s="11"/>
      <c r="MH476" s="11"/>
      <c r="MI476" s="11"/>
      <c r="MJ476" s="11"/>
      <c r="MK476" s="11"/>
      <c r="ML476" s="11"/>
      <c r="MM476" s="11"/>
      <c r="MN476" s="11"/>
      <c r="MO476" s="11"/>
      <c r="MP476" s="11"/>
      <c r="MQ476" s="11"/>
      <c r="MR476" s="11"/>
      <c r="MS476" s="11"/>
      <c r="MT476" s="11"/>
      <c r="MU476" s="11"/>
      <c r="MV476" s="11"/>
      <c r="MW476" s="11"/>
      <c r="MX476" s="11"/>
      <c r="MY476" s="11"/>
      <c r="MZ476" s="11"/>
      <c r="NA476" s="11"/>
      <c r="NB476" s="11"/>
      <c r="NC476" s="11"/>
      <c r="ND476" s="11"/>
      <c r="NE476" s="11"/>
      <c r="NF476" s="11"/>
      <c r="NG476" s="11"/>
      <c r="NH476" s="11"/>
      <c r="NI476" s="11"/>
      <c r="NJ476" s="11"/>
      <c r="NK476" s="11"/>
      <c r="NL476" s="11"/>
      <c r="NM476" s="11"/>
      <c r="NN476" s="11"/>
      <c r="NO476" s="11"/>
      <c r="NP476" s="11"/>
      <c r="NQ476" s="11"/>
      <c r="NR476" s="11"/>
      <c r="NS476" s="11"/>
      <c r="NT476" s="11"/>
      <c r="NU476" s="11"/>
      <c r="NV476" s="11"/>
      <c r="NW476" s="11"/>
      <c r="NX476" s="11"/>
      <c r="NY476" s="11"/>
      <c r="NZ476" s="11"/>
      <c r="OA476" s="11"/>
      <c r="OB476" s="11"/>
      <c r="OC476" s="11"/>
      <c r="OD476" s="11"/>
      <c r="OE476" s="11"/>
      <c r="OF476" s="11"/>
      <c r="OG476" s="11"/>
      <c r="OH476" s="11"/>
      <c r="OI476" s="11"/>
      <c r="OJ476" s="11"/>
      <c r="OK476" s="11"/>
      <c r="OL476" s="11"/>
      <c r="OM476" s="11"/>
      <c r="ON476" s="11"/>
      <c r="OO476" s="11"/>
      <c r="OP476" s="11"/>
      <c r="OQ476" s="11"/>
      <c r="OR476" s="11"/>
      <c r="OS476" s="11"/>
      <c r="OT476" s="11"/>
      <c r="OU476" s="11"/>
      <c r="OV476" s="11"/>
      <c r="OW476" s="11"/>
      <c r="OX476" s="11"/>
      <c r="OY476" s="11"/>
      <c r="OZ476" s="11"/>
      <c r="PA476" s="11"/>
      <c r="PB476" s="11"/>
      <c r="PC476" s="11"/>
      <c r="PD476" s="11"/>
      <c r="PE476" s="11"/>
      <c r="PF476" s="11"/>
      <c r="PG476" s="11"/>
      <c r="PH476" s="11"/>
      <c r="PI476" s="11"/>
      <c r="PJ476" s="11"/>
      <c r="PK476" s="11"/>
      <c r="PL476" s="11"/>
      <c r="PM476" s="11"/>
      <c r="PN476" s="11"/>
      <c r="PO476" s="11"/>
      <c r="PP476" s="11"/>
      <c r="PQ476" s="11"/>
      <c r="PR476" s="11"/>
      <c r="PS476" s="11"/>
      <c r="PT476" s="11"/>
      <c r="PU476" s="11"/>
      <c r="PV476" s="11"/>
      <c r="PW476" s="11"/>
      <c r="PX476" s="11"/>
      <c r="PY476" s="11"/>
      <c r="PZ476" s="11"/>
      <c r="QA476" s="11"/>
      <c r="QB476" s="11"/>
      <c r="QC476" s="11"/>
      <c r="QD476" s="11"/>
      <c r="QE476" s="11"/>
      <c r="QF476" s="11"/>
      <c r="QG476" s="11"/>
      <c r="QH476" s="11"/>
      <c r="QI476" s="11"/>
      <c r="QJ476" s="11"/>
      <c r="QK476" s="11"/>
      <c r="QL476" s="11"/>
      <c r="QM476" s="11"/>
      <c r="QN476" s="11"/>
      <c r="QO476" s="11"/>
      <c r="QP476" s="11"/>
      <c r="QQ476" s="11"/>
      <c r="QR476" s="11"/>
      <c r="QS476" s="11"/>
      <c r="QT476" s="11"/>
      <c r="QU476" s="11"/>
      <c r="QV476" s="11"/>
      <c r="QW476" s="11"/>
      <c r="QX476" s="11"/>
      <c r="QY476" s="11"/>
      <c r="QZ476" s="11"/>
      <c r="RA476" s="11"/>
      <c r="RB476" s="11"/>
      <c r="RC476" s="11"/>
      <c r="RD476" s="11"/>
      <c r="RE476" s="11"/>
      <c r="RF476" s="11"/>
      <c r="RG476" s="11"/>
      <c r="RH476" s="11"/>
      <c r="RI476" s="11"/>
      <c r="RJ476" s="11"/>
      <c r="RK476" s="11"/>
      <c r="RL476" s="11"/>
      <c r="RM476" s="11"/>
      <c r="RN476" s="11"/>
      <c r="RO476" s="11"/>
      <c r="RP476" s="11"/>
      <c r="RQ476" s="11"/>
      <c r="RR476" s="11"/>
      <c r="RS476" s="11"/>
      <c r="RT476" s="11"/>
      <c r="RU476" s="11"/>
      <c r="RV476" s="11"/>
      <c r="RW476" s="11"/>
      <c r="RX476" s="11"/>
      <c r="RY476" s="11"/>
      <c r="RZ476" s="11"/>
      <c r="SA476" s="11"/>
      <c r="SB476" s="11"/>
      <c r="SC476" s="11"/>
      <c r="SD476" s="11"/>
      <c r="SE476" s="11"/>
      <c r="SF476" s="11"/>
      <c r="SG476" s="11"/>
      <c r="SH476" s="11">
        <v>1</v>
      </c>
    </row>
    <row r="477" spans="1:502" x14ac:dyDescent="0.2">
      <c r="A477" s="10">
        <v>5.9334185363223498E-2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>
        <v>1</v>
      </c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  <c r="HO477" s="11"/>
      <c r="HP477" s="11"/>
      <c r="HQ477" s="11"/>
      <c r="HR477" s="11"/>
      <c r="HS477" s="11"/>
      <c r="HT477" s="11"/>
      <c r="HU477" s="11"/>
      <c r="HV477" s="11"/>
      <c r="HW477" s="11"/>
      <c r="HX477" s="11"/>
      <c r="HY477" s="11"/>
      <c r="HZ477" s="11"/>
      <c r="IA477" s="11"/>
      <c r="IB477" s="11"/>
      <c r="IC477" s="11"/>
      <c r="ID477" s="11"/>
      <c r="IE477" s="11"/>
      <c r="IF477" s="11"/>
      <c r="IG477" s="11"/>
      <c r="IH477" s="11"/>
      <c r="II477" s="11"/>
      <c r="IJ477" s="11"/>
      <c r="IK477" s="11"/>
      <c r="IL477" s="11"/>
      <c r="IM477" s="11"/>
      <c r="IN477" s="11"/>
      <c r="IO477" s="11"/>
      <c r="IP477" s="11"/>
      <c r="IQ477" s="11"/>
      <c r="IR477" s="11"/>
      <c r="IS477" s="11"/>
      <c r="IT477" s="11"/>
      <c r="IU477" s="11"/>
      <c r="IV477" s="11"/>
      <c r="IW477" s="11"/>
      <c r="IX477" s="11"/>
      <c r="IY477" s="11"/>
      <c r="IZ477" s="11"/>
      <c r="JA477" s="11"/>
      <c r="JB477" s="11"/>
      <c r="JC477" s="11"/>
      <c r="JD477" s="11"/>
      <c r="JE477" s="11"/>
      <c r="JF477" s="11"/>
      <c r="JG477" s="11"/>
      <c r="JH477" s="11"/>
      <c r="JI477" s="11"/>
      <c r="JJ477" s="11"/>
      <c r="JK477" s="11"/>
      <c r="JL477" s="11"/>
      <c r="JM477" s="11"/>
      <c r="JN477" s="11"/>
      <c r="JO477" s="11"/>
      <c r="JP477" s="11"/>
      <c r="JQ477" s="11"/>
      <c r="JR477" s="11"/>
      <c r="JS477" s="11"/>
      <c r="JT477" s="11"/>
      <c r="JU477" s="11"/>
      <c r="JV477" s="11"/>
      <c r="JW477" s="11"/>
      <c r="JX477" s="11"/>
      <c r="JY477" s="11"/>
      <c r="JZ477" s="11"/>
      <c r="KA477" s="11"/>
      <c r="KB477" s="11"/>
      <c r="KC477" s="11"/>
      <c r="KD477" s="11"/>
      <c r="KE477" s="11"/>
      <c r="KF477" s="11"/>
      <c r="KG477" s="11"/>
      <c r="KH477" s="11"/>
      <c r="KI477" s="11"/>
      <c r="KJ477" s="11"/>
      <c r="KK477" s="11"/>
      <c r="KL477" s="11"/>
      <c r="KM477" s="11"/>
      <c r="KN477" s="11"/>
      <c r="KO477" s="11"/>
      <c r="KP477" s="11"/>
      <c r="KQ477" s="11"/>
      <c r="KR477" s="11"/>
      <c r="KS477" s="11"/>
      <c r="KT477" s="11"/>
      <c r="KU477" s="11"/>
      <c r="KV477" s="11"/>
      <c r="KW477" s="11"/>
      <c r="KX477" s="11"/>
      <c r="KY477" s="11"/>
      <c r="KZ477" s="11"/>
      <c r="LA477" s="11"/>
      <c r="LB477" s="11"/>
      <c r="LC477" s="11"/>
      <c r="LD477" s="11"/>
      <c r="LE477" s="11"/>
      <c r="LF477" s="11"/>
      <c r="LG477" s="11"/>
      <c r="LH477" s="11"/>
      <c r="LI477" s="11"/>
      <c r="LJ477" s="11"/>
      <c r="LK477" s="11"/>
      <c r="LL477" s="11"/>
      <c r="LM477" s="11"/>
      <c r="LN477" s="11"/>
      <c r="LO477" s="11"/>
      <c r="LP477" s="11"/>
      <c r="LQ477" s="11"/>
      <c r="LR477" s="11"/>
      <c r="LS477" s="11"/>
      <c r="LT477" s="11"/>
      <c r="LU477" s="11"/>
      <c r="LV477" s="11"/>
      <c r="LW477" s="11"/>
      <c r="LX477" s="11"/>
      <c r="LY477" s="11"/>
      <c r="LZ477" s="11"/>
      <c r="MA477" s="11"/>
      <c r="MB477" s="11"/>
      <c r="MC477" s="11"/>
      <c r="MD477" s="11"/>
      <c r="ME477" s="11"/>
      <c r="MF477" s="11"/>
      <c r="MG477" s="11"/>
      <c r="MH477" s="11"/>
      <c r="MI477" s="11"/>
      <c r="MJ477" s="11"/>
      <c r="MK477" s="11"/>
      <c r="ML477" s="11"/>
      <c r="MM477" s="11"/>
      <c r="MN477" s="11"/>
      <c r="MO477" s="11"/>
      <c r="MP477" s="11"/>
      <c r="MQ477" s="11"/>
      <c r="MR477" s="11"/>
      <c r="MS477" s="11"/>
      <c r="MT477" s="11"/>
      <c r="MU477" s="11"/>
      <c r="MV477" s="11"/>
      <c r="MW477" s="11"/>
      <c r="MX477" s="11"/>
      <c r="MY477" s="11"/>
      <c r="MZ477" s="11"/>
      <c r="NA477" s="11"/>
      <c r="NB477" s="11"/>
      <c r="NC477" s="11"/>
      <c r="ND477" s="11"/>
      <c r="NE477" s="11"/>
      <c r="NF477" s="11"/>
      <c r="NG477" s="11"/>
      <c r="NH477" s="11"/>
      <c r="NI477" s="11"/>
      <c r="NJ477" s="11"/>
      <c r="NK477" s="11"/>
      <c r="NL477" s="11"/>
      <c r="NM477" s="11"/>
      <c r="NN477" s="11"/>
      <c r="NO477" s="11"/>
      <c r="NP477" s="11"/>
      <c r="NQ477" s="11"/>
      <c r="NR477" s="11"/>
      <c r="NS477" s="11"/>
      <c r="NT477" s="11"/>
      <c r="NU477" s="11"/>
      <c r="NV477" s="11"/>
      <c r="NW477" s="11"/>
      <c r="NX477" s="11"/>
      <c r="NY477" s="11"/>
      <c r="NZ477" s="11"/>
      <c r="OA477" s="11"/>
      <c r="OB477" s="11"/>
      <c r="OC477" s="11"/>
      <c r="OD477" s="11"/>
      <c r="OE477" s="11"/>
      <c r="OF477" s="11"/>
      <c r="OG477" s="11"/>
      <c r="OH477" s="11"/>
      <c r="OI477" s="11"/>
      <c r="OJ477" s="11"/>
      <c r="OK477" s="11"/>
      <c r="OL477" s="11"/>
      <c r="OM477" s="11"/>
      <c r="ON477" s="11"/>
      <c r="OO477" s="11"/>
      <c r="OP477" s="11"/>
      <c r="OQ477" s="11"/>
      <c r="OR477" s="11"/>
      <c r="OS477" s="11"/>
      <c r="OT477" s="11"/>
      <c r="OU477" s="11"/>
      <c r="OV477" s="11"/>
      <c r="OW477" s="11"/>
      <c r="OX477" s="11"/>
      <c r="OY477" s="11"/>
      <c r="OZ477" s="11"/>
      <c r="PA477" s="11"/>
      <c r="PB477" s="11"/>
      <c r="PC477" s="11"/>
      <c r="PD477" s="11"/>
      <c r="PE477" s="11"/>
      <c r="PF477" s="11"/>
      <c r="PG477" s="11"/>
      <c r="PH477" s="11"/>
      <c r="PI477" s="11"/>
      <c r="PJ477" s="11"/>
      <c r="PK477" s="11"/>
      <c r="PL477" s="11"/>
      <c r="PM477" s="11"/>
      <c r="PN477" s="11"/>
      <c r="PO477" s="11"/>
      <c r="PP477" s="11"/>
      <c r="PQ477" s="11"/>
      <c r="PR477" s="11"/>
      <c r="PS477" s="11"/>
      <c r="PT477" s="11"/>
      <c r="PU477" s="11"/>
      <c r="PV477" s="11"/>
      <c r="PW477" s="11"/>
      <c r="PX477" s="11"/>
      <c r="PY477" s="11"/>
      <c r="PZ477" s="11"/>
      <c r="QA477" s="11"/>
      <c r="QB477" s="11"/>
      <c r="QC477" s="11"/>
      <c r="QD477" s="11"/>
      <c r="QE477" s="11"/>
      <c r="QF477" s="11"/>
      <c r="QG477" s="11"/>
      <c r="QH477" s="11"/>
      <c r="QI477" s="11"/>
      <c r="QJ477" s="11"/>
      <c r="QK477" s="11"/>
      <c r="QL477" s="11"/>
      <c r="QM477" s="11"/>
      <c r="QN477" s="11"/>
      <c r="QO477" s="11"/>
      <c r="QP477" s="11"/>
      <c r="QQ477" s="11"/>
      <c r="QR477" s="11"/>
      <c r="QS477" s="11"/>
      <c r="QT477" s="11"/>
      <c r="QU477" s="11"/>
      <c r="QV477" s="11"/>
      <c r="QW477" s="11"/>
      <c r="QX477" s="11"/>
      <c r="QY477" s="11"/>
      <c r="QZ477" s="11"/>
      <c r="RA477" s="11"/>
      <c r="RB477" s="11"/>
      <c r="RC477" s="11"/>
      <c r="RD477" s="11"/>
      <c r="RE477" s="11"/>
      <c r="RF477" s="11"/>
      <c r="RG477" s="11"/>
      <c r="RH477" s="11"/>
      <c r="RI477" s="11"/>
      <c r="RJ477" s="11"/>
      <c r="RK477" s="11"/>
      <c r="RL477" s="11"/>
      <c r="RM477" s="11"/>
      <c r="RN477" s="11"/>
      <c r="RO477" s="11"/>
      <c r="RP477" s="11"/>
      <c r="RQ477" s="11"/>
      <c r="RR477" s="11"/>
      <c r="RS477" s="11"/>
      <c r="RT477" s="11"/>
      <c r="RU477" s="11"/>
      <c r="RV477" s="11"/>
      <c r="RW477" s="11"/>
      <c r="RX477" s="11"/>
      <c r="RY477" s="11"/>
      <c r="RZ477" s="11"/>
      <c r="SA477" s="11"/>
      <c r="SB477" s="11"/>
      <c r="SC477" s="11"/>
      <c r="SD477" s="11"/>
      <c r="SE477" s="11"/>
      <c r="SF477" s="11"/>
      <c r="SG477" s="11"/>
      <c r="SH477" s="11">
        <v>1</v>
      </c>
    </row>
    <row r="478" spans="1:502" x14ac:dyDescent="0.2">
      <c r="A478" s="10">
        <v>5.9587430539686917E-2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  <c r="IX478" s="11"/>
      <c r="IY478" s="11"/>
      <c r="IZ478" s="11"/>
      <c r="JA478" s="11"/>
      <c r="JB478" s="11"/>
      <c r="JC478" s="11"/>
      <c r="JD478" s="11"/>
      <c r="JE478" s="11"/>
      <c r="JF478" s="11"/>
      <c r="JG478" s="11"/>
      <c r="JH478" s="11"/>
      <c r="JI478" s="11"/>
      <c r="JJ478" s="11"/>
      <c r="JK478" s="11"/>
      <c r="JL478" s="11"/>
      <c r="JM478" s="11"/>
      <c r="JN478" s="11"/>
      <c r="JO478" s="11"/>
      <c r="JP478" s="11"/>
      <c r="JQ478" s="11"/>
      <c r="JR478" s="11"/>
      <c r="JS478" s="11"/>
      <c r="JT478" s="11"/>
      <c r="JU478" s="11"/>
      <c r="JV478" s="11"/>
      <c r="JW478" s="11"/>
      <c r="JX478" s="11"/>
      <c r="JY478" s="11"/>
      <c r="JZ478" s="11"/>
      <c r="KA478" s="11"/>
      <c r="KB478" s="11"/>
      <c r="KC478" s="11"/>
      <c r="KD478" s="11"/>
      <c r="KE478" s="11"/>
      <c r="KF478" s="11"/>
      <c r="KG478" s="11"/>
      <c r="KH478" s="11"/>
      <c r="KI478" s="11"/>
      <c r="KJ478" s="11"/>
      <c r="KK478" s="11"/>
      <c r="KL478" s="11"/>
      <c r="KM478" s="11"/>
      <c r="KN478" s="11"/>
      <c r="KO478" s="11"/>
      <c r="KP478" s="11"/>
      <c r="KQ478" s="11"/>
      <c r="KR478" s="11"/>
      <c r="KS478" s="11"/>
      <c r="KT478" s="11"/>
      <c r="KU478" s="11"/>
      <c r="KV478" s="11"/>
      <c r="KW478" s="11"/>
      <c r="KX478" s="11"/>
      <c r="KY478" s="11"/>
      <c r="KZ478" s="11"/>
      <c r="LA478" s="11"/>
      <c r="LB478" s="11"/>
      <c r="LC478" s="11"/>
      <c r="LD478" s="11"/>
      <c r="LE478" s="11"/>
      <c r="LF478" s="11"/>
      <c r="LG478" s="11"/>
      <c r="LH478" s="11"/>
      <c r="LI478" s="11"/>
      <c r="LJ478" s="11"/>
      <c r="LK478" s="11"/>
      <c r="LL478" s="11"/>
      <c r="LM478" s="11"/>
      <c r="LN478" s="11"/>
      <c r="LO478" s="11"/>
      <c r="LP478" s="11"/>
      <c r="LQ478" s="11"/>
      <c r="LR478" s="11"/>
      <c r="LS478" s="11"/>
      <c r="LT478" s="11"/>
      <c r="LU478" s="11"/>
      <c r="LV478" s="11"/>
      <c r="LW478" s="11"/>
      <c r="LX478" s="11"/>
      <c r="LY478" s="11"/>
      <c r="LZ478" s="11"/>
      <c r="MA478" s="11"/>
      <c r="MB478" s="11"/>
      <c r="MC478" s="11"/>
      <c r="MD478" s="11"/>
      <c r="ME478" s="11"/>
      <c r="MF478" s="11"/>
      <c r="MG478" s="11"/>
      <c r="MH478" s="11"/>
      <c r="MI478" s="11"/>
      <c r="MJ478" s="11"/>
      <c r="MK478" s="11"/>
      <c r="ML478" s="11"/>
      <c r="MM478" s="11"/>
      <c r="MN478" s="11"/>
      <c r="MO478" s="11"/>
      <c r="MP478" s="11"/>
      <c r="MQ478" s="11"/>
      <c r="MR478" s="11"/>
      <c r="MS478" s="11"/>
      <c r="MT478" s="11"/>
      <c r="MU478" s="11"/>
      <c r="MV478" s="11"/>
      <c r="MW478" s="11"/>
      <c r="MX478" s="11"/>
      <c r="MY478" s="11"/>
      <c r="MZ478" s="11"/>
      <c r="NA478" s="11"/>
      <c r="NB478" s="11"/>
      <c r="NC478" s="11"/>
      <c r="ND478" s="11"/>
      <c r="NE478" s="11"/>
      <c r="NF478" s="11"/>
      <c r="NG478" s="11"/>
      <c r="NH478" s="11"/>
      <c r="NI478" s="11"/>
      <c r="NJ478" s="11"/>
      <c r="NK478" s="11"/>
      <c r="NL478" s="11"/>
      <c r="NM478" s="11"/>
      <c r="NN478" s="11"/>
      <c r="NO478" s="11"/>
      <c r="NP478" s="11"/>
      <c r="NQ478" s="11"/>
      <c r="NR478" s="11"/>
      <c r="NS478" s="11"/>
      <c r="NT478" s="11"/>
      <c r="NU478" s="11"/>
      <c r="NV478" s="11"/>
      <c r="NW478" s="11"/>
      <c r="NX478" s="11"/>
      <c r="NY478" s="11"/>
      <c r="NZ478" s="11"/>
      <c r="OA478" s="11"/>
      <c r="OB478" s="11"/>
      <c r="OC478" s="11"/>
      <c r="OD478" s="11"/>
      <c r="OE478" s="11"/>
      <c r="OF478" s="11"/>
      <c r="OG478" s="11"/>
      <c r="OH478" s="11"/>
      <c r="OI478" s="11"/>
      <c r="OJ478" s="11"/>
      <c r="OK478" s="11"/>
      <c r="OL478" s="11"/>
      <c r="OM478" s="11"/>
      <c r="ON478" s="11"/>
      <c r="OO478" s="11"/>
      <c r="OP478" s="11"/>
      <c r="OQ478" s="11"/>
      <c r="OR478" s="11"/>
      <c r="OS478" s="11"/>
      <c r="OT478" s="11"/>
      <c r="OU478" s="11"/>
      <c r="OV478" s="11"/>
      <c r="OW478" s="11"/>
      <c r="OX478" s="11"/>
      <c r="OY478" s="11"/>
      <c r="OZ478" s="11"/>
      <c r="PA478" s="11"/>
      <c r="PB478" s="11"/>
      <c r="PC478" s="11"/>
      <c r="PD478" s="11"/>
      <c r="PE478" s="11"/>
      <c r="PF478" s="11"/>
      <c r="PG478" s="11"/>
      <c r="PH478" s="11"/>
      <c r="PI478" s="11"/>
      <c r="PJ478" s="11"/>
      <c r="PK478" s="11"/>
      <c r="PL478" s="11"/>
      <c r="PM478" s="11"/>
      <c r="PN478" s="11"/>
      <c r="PO478" s="11"/>
      <c r="PP478" s="11"/>
      <c r="PQ478" s="11"/>
      <c r="PR478" s="11"/>
      <c r="PS478" s="11"/>
      <c r="PT478" s="11"/>
      <c r="PU478" s="11"/>
      <c r="PV478" s="11"/>
      <c r="PW478" s="11"/>
      <c r="PX478" s="11"/>
      <c r="PY478" s="11"/>
      <c r="PZ478" s="11"/>
      <c r="QA478" s="11"/>
      <c r="QB478" s="11"/>
      <c r="QC478" s="11"/>
      <c r="QD478" s="11"/>
      <c r="QE478" s="11"/>
      <c r="QF478" s="11"/>
      <c r="QG478" s="11"/>
      <c r="QH478" s="11"/>
      <c r="QI478" s="11"/>
      <c r="QJ478" s="11"/>
      <c r="QK478" s="11"/>
      <c r="QL478" s="11"/>
      <c r="QM478" s="11"/>
      <c r="QN478" s="11"/>
      <c r="QO478" s="11">
        <v>1</v>
      </c>
      <c r="QP478" s="11"/>
      <c r="QQ478" s="11"/>
      <c r="QR478" s="11"/>
      <c r="QS478" s="11"/>
      <c r="QT478" s="11"/>
      <c r="QU478" s="11"/>
      <c r="QV478" s="11"/>
      <c r="QW478" s="11"/>
      <c r="QX478" s="11"/>
      <c r="QY478" s="11"/>
      <c r="QZ478" s="11"/>
      <c r="RA478" s="11"/>
      <c r="RB478" s="11"/>
      <c r="RC478" s="11"/>
      <c r="RD478" s="11"/>
      <c r="RE478" s="11"/>
      <c r="RF478" s="11"/>
      <c r="RG478" s="11"/>
      <c r="RH478" s="11"/>
      <c r="RI478" s="11"/>
      <c r="RJ478" s="11"/>
      <c r="RK478" s="11"/>
      <c r="RL478" s="11"/>
      <c r="RM478" s="11"/>
      <c r="RN478" s="11"/>
      <c r="RO478" s="11"/>
      <c r="RP478" s="11"/>
      <c r="RQ478" s="11"/>
      <c r="RR478" s="11"/>
      <c r="RS478" s="11"/>
      <c r="RT478" s="11"/>
      <c r="RU478" s="11"/>
      <c r="RV478" s="11"/>
      <c r="RW478" s="11"/>
      <c r="RX478" s="11"/>
      <c r="RY478" s="11"/>
      <c r="RZ478" s="11"/>
      <c r="SA478" s="11"/>
      <c r="SB478" s="11"/>
      <c r="SC478" s="11"/>
      <c r="SD478" s="11"/>
      <c r="SE478" s="11"/>
      <c r="SF478" s="11"/>
      <c r="SG478" s="11"/>
      <c r="SH478" s="11">
        <v>1</v>
      </c>
    </row>
    <row r="479" spans="1:502" x14ac:dyDescent="0.2">
      <c r="A479" s="10">
        <v>5.9822742019969496E-2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>
        <v>1</v>
      </c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  <c r="HO479" s="11"/>
      <c r="HP479" s="11"/>
      <c r="HQ479" s="11"/>
      <c r="HR479" s="11"/>
      <c r="HS479" s="11"/>
      <c r="HT479" s="11"/>
      <c r="HU479" s="11"/>
      <c r="HV479" s="11"/>
      <c r="HW479" s="11"/>
      <c r="HX479" s="11"/>
      <c r="HY479" s="11"/>
      <c r="HZ479" s="11"/>
      <c r="IA479" s="11"/>
      <c r="IB479" s="11"/>
      <c r="IC479" s="11"/>
      <c r="ID479" s="11"/>
      <c r="IE479" s="11"/>
      <c r="IF479" s="11"/>
      <c r="IG479" s="11"/>
      <c r="IH479" s="11"/>
      <c r="II479" s="11"/>
      <c r="IJ479" s="11"/>
      <c r="IK479" s="11"/>
      <c r="IL479" s="11"/>
      <c r="IM479" s="11"/>
      <c r="IN479" s="11"/>
      <c r="IO479" s="11"/>
      <c r="IP479" s="11"/>
      <c r="IQ479" s="11"/>
      <c r="IR479" s="11"/>
      <c r="IS479" s="11"/>
      <c r="IT479" s="11"/>
      <c r="IU479" s="11"/>
      <c r="IV479" s="11"/>
      <c r="IW479" s="11"/>
      <c r="IX479" s="11"/>
      <c r="IY479" s="11"/>
      <c r="IZ479" s="11"/>
      <c r="JA479" s="11"/>
      <c r="JB479" s="11"/>
      <c r="JC479" s="11"/>
      <c r="JD479" s="11"/>
      <c r="JE479" s="11"/>
      <c r="JF479" s="11"/>
      <c r="JG479" s="11"/>
      <c r="JH479" s="11"/>
      <c r="JI479" s="11"/>
      <c r="JJ479" s="11"/>
      <c r="JK479" s="11"/>
      <c r="JL479" s="11"/>
      <c r="JM479" s="11"/>
      <c r="JN479" s="11"/>
      <c r="JO479" s="11"/>
      <c r="JP479" s="11"/>
      <c r="JQ479" s="11"/>
      <c r="JR479" s="11"/>
      <c r="JS479" s="11"/>
      <c r="JT479" s="11"/>
      <c r="JU479" s="11"/>
      <c r="JV479" s="11"/>
      <c r="JW479" s="11"/>
      <c r="JX479" s="11"/>
      <c r="JY479" s="11"/>
      <c r="JZ479" s="11"/>
      <c r="KA479" s="11"/>
      <c r="KB479" s="11"/>
      <c r="KC479" s="11"/>
      <c r="KD479" s="11"/>
      <c r="KE479" s="11"/>
      <c r="KF479" s="11"/>
      <c r="KG479" s="11"/>
      <c r="KH479" s="11"/>
      <c r="KI479" s="11"/>
      <c r="KJ479" s="11"/>
      <c r="KK479" s="11"/>
      <c r="KL479" s="11"/>
      <c r="KM479" s="11"/>
      <c r="KN479" s="11"/>
      <c r="KO479" s="11"/>
      <c r="KP479" s="11"/>
      <c r="KQ479" s="11"/>
      <c r="KR479" s="11"/>
      <c r="KS479" s="11"/>
      <c r="KT479" s="11"/>
      <c r="KU479" s="11"/>
      <c r="KV479" s="11"/>
      <c r="KW479" s="11"/>
      <c r="KX479" s="11"/>
      <c r="KY479" s="11"/>
      <c r="KZ479" s="11"/>
      <c r="LA479" s="11"/>
      <c r="LB479" s="11"/>
      <c r="LC479" s="11"/>
      <c r="LD479" s="11"/>
      <c r="LE479" s="11"/>
      <c r="LF479" s="11"/>
      <c r="LG479" s="11"/>
      <c r="LH479" s="11"/>
      <c r="LI479" s="11"/>
      <c r="LJ479" s="11"/>
      <c r="LK479" s="11"/>
      <c r="LL479" s="11"/>
      <c r="LM479" s="11"/>
      <c r="LN479" s="11"/>
      <c r="LO479" s="11"/>
      <c r="LP479" s="11"/>
      <c r="LQ479" s="11"/>
      <c r="LR479" s="11"/>
      <c r="LS479" s="11"/>
      <c r="LT479" s="11"/>
      <c r="LU479" s="11"/>
      <c r="LV479" s="11"/>
      <c r="LW479" s="11"/>
      <c r="LX479" s="11"/>
      <c r="LY479" s="11"/>
      <c r="LZ479" s="11"/>
      <c r="MA479" s="11"/>
      <c r="MB479" s="11"/>
      <c r="MC479" s="11"/>
      <c r="MD479" s="11"/>
      <c r="ME479" s="11"/>
      <c r="MF479" s="11"/>
      <c r="MG479" s="11"/>
      <c r="MH479" s="11"/>
      <c r="MI479" s="11"/>
      <c r="MJ479" s="11"/>
      <c r="MK479" s="11"/>
      <c r="ML479" s="11"/>
      <c r="MM479" s="11"/>
      <c r="MN479" s="11"/>
      <c r="MO479" s="11"/>
      <c r="MP479" s="11"/>
      <c r="MQ479" s="11"/>
      <c r="MR479" s="11"/>
      <c r="MS479" s="11"/>
      <c r="MT479" s="11"/>
      <c r="MU479" s="11"/>
      <c r="MV479" s="11"/>
      <c r="MW479" s="11"/>
      <c r="MX479" s="11"/>
      <c r="MY479" s="11"/>
      <c r="MZ479" s="11"/>
      <c r="NA479" s="11"/>
      <c r="NB479" s="11"/>
      <c r="NC479" s="11"/>
      <c r="ND479" s="11"/>
      <c r="NE479" s="11"/>
      <c r="NF479" s="11"/>
      <c r="NG479" s="11"/>
      <c r="NH479" s="11"/>
      <c r="NI479" s="11"/>
      <c r="NJ479" s="11"/>
      <c r="NK479" s="11"/>
      <c r="NL479" s="11"/>
      <c r="NM479" s="11"/>
      <c r="NN479" s="11"/>
      <c r="NO479" s="11"/>
      <c r="NP479" s="11"/>
      <c r="NQ479" s="11"/>
      <c r="NR479" s="11"/>
      <c r="NS479" s="11"/>
      <c r="NT479" s="11"/>
      <c r="NU479" s="11"/>
      <c r="NV479" s="11"/>
      <c r="NW479" s="11"/>
      <c r="NX479" s="11"/>
      <c r="NY479" s="11"/>
      <c r="NZ479" s="11"/>
      <c r="OA479" s="11"/>
      <c r="OB479" s="11"/>
      <c r="OC479" s="11"/>
      <c r="OD479" s="11"/>
      <c r="OE479" s="11"/>
      <c r="OF479" s="11"/>
      <c r="OG479" s="11"/>
      <c r="OH479" s="11"/>
      <c r="OI479" s="11"/>
      <c r="OJ479" s="11"/>
      <c r="OK479" s="11"/>
      <c r="OL479" s="11"/>
      <c r="OM479" s="11"/>
      <c r="ON479" s="11"/>
      <c r="OO479" s="11"/>
      <c r="OP479" s="11"/>
      <c r="OQ479" s="11"/>
      <c r="OR479" s="11"/>
      <c r="OS479" s="11"/>
      <c r="OT479" s="11"/>
      <c r="OU479" s="11"/>
      <c r="OV479" s="11"/>
      <c r="OW479" s="11"/>
      <c r="OX479" s="11"/>
      <c r="OY479" s="11"/>
      <c r="OZ479" s="11"/>
      <c r="PA479" s="11"/>
      <c r="PB479" s="11"/>
      <c r="PC479" s="11"/>
      <c r="PD479" s="11"/>
      <c r="PE479" s="11"/>
      <c r="PF479" s="11"/>
      <c r="PG479" s="11"/>
      <c r="PH479" s="11"/>
      <c r="PI479" s="11"/>
      <c r="PJ479" s="11"/>
      <c r="PK479" s="11"/>
      <c r="PL479" s="11"/>
      <c r="PM479" s="11"/>
      <c r="PN479" s="11"/>
      <c r="PO479" s="11"/>
      <c r="PP479" s="11"/>
      <c r="PQ479" s="11"/>
      <c r="PR479" s="11"/>
      <c r="PS479" s="11"/>
      <c r="PT479" s="11"/>
      <c r="PU479" s="11"/>
      <c r="PV479" s="11"/>
      <c r="PW479" s="11"/>
      <c r="PX479" s="11"/>
      <c r="PY479" s="11"/>
      <c r="PZ479" s="11"/>
      <c r="QA479" s="11"/>
      <c r="QB479" s="11"/>
      <c r="QC479" s="11"/>
      <c r="QD479" s="11"/>
      <c r="QE479" s="11"/>
      <c r="QF479" s="11"/>
      <c r="QG479" s="11"/>
      <c r="QH479" s="11"/>
      <c r="QI479" s="11"/>
      <c r="QJ479" s="11"/>
      <c r="QK479" s="11"/>
      <c r="QL479" s="11"/>
      <c r="QM479" s="11"/>
      <c r="QN479" s="11"/>
      <c r="QO479" s="11"/>
      <c r="QP479" s="11"/>
      <c r="QQ479" s="11"/>
      <c r="QR479" s="11"/>
      <c r="QS479" s="11"/>
      <c r="QT479" s="11"/>
      <c r="QU479" s="11"/>
      <c r="QV479" s="11"/>
      <c r="QW479" s="11"/>
      <c r="QX479" s="11"/>
      <c r="QY479" s="11"/>
      <c r="QZ479" s="11"/>
      <c r="RA479" s="11"/>
      <c r="RB479" s="11"/>
      <c r="RC479" s="11"/>
      <c r="RD479" s="11"/>
      <c r="RE479" s="11"/>
      <c r="RF479" s="11"/>
      <c r="RG479" s="11"/>
      <c r="RH479" s="11"/>
      <c r="RI479" s="11"/>
      <c r="RJ479" s="11"/>
      <c r="RK479" s="11"/>
      <c r="RL479" s="11"/>
      <c r="RM479" s="11"/>
      <c r="RN479" s="11"/>
      <c r="RO479" s="11"/>
      <c r="RP479" s="11"/>
      <c r="RQ479" s="11"/>
      <c r="RR479" s="11"/>
      <c r="RS479" s="11"/>
      <c r="RT479" s="11"/>
      <c r="RU479" s="11"/>
      <c r="RV479" s="11"/>
      <c r="RW479" s="11"/>
      <c r="RX479" s="11"/>
      <c r="RY479" s="11"/>
      <c r="RZ479" s="11"/>
      <c r="SA479" s="11"/>
      <c r="SB479" s="11"/>
      <c r="SC479" s="11"/>
      <c r="SD479" s="11"/>
      <c r="SE479" s="11"/>
      <c r="SF479" s="11"/>
      <c r="SG479" s="11"/>
      <c r="SH479" s="11">
        <v>1</v>
      </c>
    </row>
    <row r="480" spans="1:502" x14ac:dyDescent="0.2">
      <c r="A480" s="10">
        <v>5.9886154700998187E-2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>
        <v>1</v>
      </c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  <c r="GP480" s="11"/>
      <c r="GQ480" s="11"/>
      <c r="GR480" s="11"/>
      <c r="GS480" s="11"/>
      <c r="GT480" s="11"/>
      <c r="GU480" s="11"/>
      <c r="GV480" s="11"/>
      <c r="GW480" s="11"/>
      <c r="GX480" s="11"/>
      <c r="GY480" s="11"/>
      <c r="GZ480" s="11"/>
      <c r="HA480" s="11"/>
      <c r="HB480" s="11"/>
      <c r="HC480" s="11"/>
      <c r="HD480" s="11"/>
      <c r="HE480" s="11"/>
      <c r="HF480" s="11"/>
      <c r="HG480" s="11"/>
      <c r="HH480" s="11"/>
      <c r="HI480" s="11"/>
      <c r="HJ480" s="11"/>
      <c r="HK480" s="11"/>
      <c r="HL480" s="11"/>
      <c r="HM480" s="11"/>
      <c r="HN480" s="11"/>
      <c r="HO480" s="11"/>
      <c r="HP480" s="11"/>
      <c r="HQ480" s="11"/>
      <c r="HR480" s="11"/>
      <c r="HS480" s="11"/>
      <c r="HT480" s="11"/>
      <c r="HU480" s="11"/>
      <c r="HV480" s="11"/>
      <c r="HW480" s="11"/>
      <c r="HX480" s="11"/>
      <c r="HY480" s="11"/>
      <c r="HZ480" s="11"/>
      <c r="IA480" s="11"/>
      <c r="IB480" s="11"/>
      <c r="IC480" s="11"/>
      <c r="ID480" s="11"/>
      <c r="IE480" s="11"/>
      <c r="IF480" s="11"/>
      <c r="IG480" s="11"/>
      <c r="IH480" s="11"/>
      <c r="II480" s="11"/>
      <c r="IJ480" s="11"/>
      <c r="IK480" s="11"/>
      <c r="IL480" s="11"/>
      <c r="IM480" s="11"/>
      <c r="IN480" s="11"/>
      <c r="IO480" s="11"/>
      <c r="IP480" s="11"/>
      <c r="IQ480" s="11"/>
      <c r="IR480" s="11"/>
      <c r="IS480" s="11"/>
      <c r="IT480" s="11"/>
      <c r="IU480" s="11"/>
      <c r="IV480" s="11"/>
      <c r="IW480" s="11"/>
      <c r="IX480" s="11"/>
      <c r="IY480" s="11"/>
      <c r="IZ480" s="11"/>
      <c r="JA480" s="11"/>
      <c r="JB480" s="11"/>
      <c r="JC480" s="11"/>
      <c r="JD480" s="11"/>
      <c r="JE480" s="11"/>
      <c r="JF480" s="11"/>
      <c r="JG480" s="11"/>
      <c r="JH480" s="11"/>
      <c r="JI480" s="11"/>
      <c r="JJ480" s="11"/>
      <c r="JK480" s="11"/>
      <c r="JL480" s="11"/>
      <c r="JM480" s="11"/>
      <c r="JN480" s="11"/>
      <c r="JO480" s="11"/>
      <c r="JP480" s="11"/>
      <c r="JQ480" s="11"/>
      <c r="JR480" s="11"/>
      <c r="JS480" s="11"/>
      <c r="JT480" s="11"/>
      <c r="JU480" s="11"/>
      <c r="JV480" s="11"/>
      <c r="JW480" s="11"/>
      <c r="JX480" s="11"/>
      <c r="JY480" s="11"/>
      <c r="JZ480" s="11"/>
      <c r="KA480" s="11"/>
      <c r="KB480" s="11"/>
      <c r="KC480" s="11"/>
      <c r="KD480" s="11"/>
      <c r="KE480" s="11"/>
      <c r="KF480" s="11"/>
      <c r="KG480" s="11"/>
      <c r="KH480" s="11"/>
      <c r="KI480" s="11"/>
      <c r="KJ480" s="11"/>
      <c r="KK480" s="11"/>
      <c r="KL480" s="11"/>
      <c r="KM480" s="11"/>
      <c r="KN480" s="11"/>
      <c r="KO480" s="11"/>
      <c r="KP480" s="11"/>
      <c r="KQ480" s="11"/>
      <c r="KR480" s="11"/>
      <c r="KS480" s="11"/>
      <c r="KT480" s="11"/>
      <c r="KU480" s="11"/>
      <c r="KV480" s="11"/>
      <c r="KW480" s="11"/>
      <c r="KX480" s="11"/>
      <c r="KY480" s="11"/>
      <c r="KZ480" s="11"/>
      <c r="LA480" s="11"/>
      <c r="LB480" s="11"/>
      <c r="LC480" s="11"/>
      <c r="LD480" s="11"/>
      <c r="LE480" s="11"/>
      <c r="LF480" s="11"/>
      <c r="LG480" s="11"/>
      <c r="LH480" s="11"/>
      <c r="LI480" s="11"/>
      <c r="LJ480" s="11"/>
      <c r="LK480" s="11"/>
      <c r="LL480" s="11"/>
      <c r="LM480" s="11"/>
      <c r="LN480" s="11"/>
      <c r="LO480" s="11"/>
      <c r="LP480" s="11"/>
      <c r="LQ480" s="11"/>
      <c r="LR480" s="11"/>
      <c r="LS480" s="11"/>
      <c r="LT480" s="11"/>
      <c r="LU480" s="11"/>
      <c r="LV480" s="11"/>
      <c r="LW480" s="11"/>
      <c r="LX480" s="11"/>
      <c r="LY480" s="11"/>
      <c r="LZ480" s="11"/>
      <c r="MA480" s="11"/>
      <c r="MB480" s="11"/>
      <c r="MC480" s="11"/>
      <c r="MD480" s="11"/>
      <c r="ME480" s="11"/>
      <c r="MF480" s="11"/>
      <c r="MG480" s="11"/>
      <c r="MH480" s="11"/>
      <c r="MI480" s="11"/>
      <c r="MJ480" s="11"/>
      <c r="MK480" s="11"/>
      <c r="ML480" s="11"/>
      <c r="MM480" s="11"/>
      <c r="MN480" s="11"/>
      <c r="MO480" s="11"/>
      <c r="MP480" s="11"/>
      <c r="MQ480" s="11"/>
      <c r="MR480" s="11"/>
      <c r="MS480" s="11"/>
      <c r="MT480" s="11"/>
      <c r="MU480" s="11"/>
      <c r="MV480" s="11"/>
      <c r="MW480" s="11"/>
      <c r="MX480" s="11"/>
      <c r="MY480" s="11"/>
      <c r="MZ480" s="11"/>
      <c r="NA480" s="11"/>
      <c r="NB480" s="11"/>
      <c r="NC480" s="11"/>
      <c r="ND480" s="11"/>
      <c r="NE480" s="11"/>
      <c r="NF480" s="11"/>
      <c r="NG480" s="11"/>
      <c r="NH480" s="11"/>
      <c r="NI480" s="11"/>
      <c r="NJ480" s="11"/>
      <c r="NK480" s="11"/>
      <c r="NL480" s="11"/>
      <c r="NM480" s="11"/>
      <c r="NN480" s="11"/>
      <c r="NO480" s="11"/>
      <c r="NP480" s="11"/>
      <c r="NQ480" s="11"/>
      <c r="NR480" s="11"/>
      <c r="NS480" s="11"/>
      <c r="NT480" s="11"/>
      <c r="NU480" s="11"/>
      <c r="NV480" s="11"/>
      <c r="NW480" s="11"/>
      <c r="NX480" s="11"/>
      <c r="NY480" s="11"/>
      <c r="NZ480" s="11"/>
      <c r="OA480" s="11"/>
      <c r="OB480" s="11"/>
      <c r="OC480" s="11"/>
      <c r="OD480" s="11"/>
      <c r="OE480" s="11"/>
      <c r="OF480" s="11"/>
      <c r="OG480" s="11"/>
      <c r="OH480" s="11"/>
      <c r="OI480" s="11"/>
      <c r="OJ480" s="11"/>
      <c r="OK480" s="11"/>
      <c r="OL480" s="11"/>
      <c r="OM480" s="11"/>
      <c r="ON480" s="11"/>
      <c r="OO480" s="11"/>
      <c r="OP480" s="11"/>
      <c r="OQ480" s="11"/>
      <c r="OR480" s="11"/>
      <c r="OS480" s="11"/>
      <c r="OT480" s="11"/>
      <c r="OU480" s="11"/>
      <c r="OV480" s="11"/>
      <c r="OW480" s="11"/>
      <c r="OX480" s="11"/>
      <c r="OY480" s="11"/>
      <c r="OZ480" s="11"/>
      <c r="PA480" s="11"/>
      <c r="PB480" s="11"/>
      <c r="PC480" s="11"/>
      <c r="PD480" s="11"/>
      <c r="PE480" s="11"/>
      <c r="PF480" s="11"/>
      <c r="PG480" s="11"/>
      <c r="PH480" s="11"/>
      <c r="PI480" s="11"/>
      <c r="PJ480" s="11"/>
      <c r="PK480" s="11"/>
      <c r="PL480" s="11"/>
      <c r="PM480" s="11"/>
      <c r="PN480" s="11"/>
      <c r="PO480" s="11"/>
      <c r="PP480" s="11"/>
      <c r="PQ480" s="11"/>
      <c r="PR480" s="11"/>
      <c r="PS480" s="11"/>
      <c r="PT480" s="11"/>
      <c r="PU480" s="11"/>
      <c r="PV480" s="11"/>
      <c r="PW480" s="11"/>
      <c r="PX480" s="11"/>
      <c r="PY480" s="11"/>
      <c r="PZ480" s="11"/>
      <c r="QA480" s="11"/>
      <c r="QB480" s="11"/>
      <c r="QC480" s="11"/>
      <c r="QD480" s="11"/>
      <c r="QE480" s="11"/>
      <c r="QF480" s="11"/>
      <c r="QG480" s="11"/>
      <c r="QH480" s="11"/>
      <c r="QI480" s="11"/>
      <c r="QJ480" s="11"/>
      <c r="QK480" s="11"/>
      <c r="QL480" s="11"/>
      <c r="QM480" s="11"/>
      <c r="QN480" s="11"/>
      <c r="QO480" s="11"/>
      <c r="QP480" s="11"/>
      <c r="QQ480" s="11"/>
      <c r="QR480" s="11"/>
      <c r="QS480" s="11"/>
      <c r="QT480" s="11"/>
      <c r="QU480" s="11"/>
      <c r="QV480" s="11"/>
      <c r="QW480" s="11"/>
      <c r="QX480" s="11"/>
      <c r="QY480" s="11"/>
      <c r="QZ480" s="11"/>
      <c r="RA480" s="11"/>
      <c r="RB480" s="11"/>
      <c r="RC480" s="11"/>
      <c r="RD480" s="11"/>
      <c r="RE480" s="11"/>
      <c r="RF480" s="11"/>
      <c r="RG480" s="11"/>
      <c r="RH480" s="11"/>
      <c r="RI480" s="11"/>
      <c r="RJ480" s="11"/>
      <c r="RK480" s="11"/>
      <c r="RL480" s="11"/>
      <c r="RM480" s="11"/>
      <c r="RN480" s="11"/>
      <c r="RO480" s="11"/>
      <c r="RP480" s="11"/>
      <c r="RQ480" s="11"/>
      <c r="RR480" s="11"/>
      <c r="RS480" s="11"/>
      <c r="RT480" s="11"/>
      <c r="RU480" s="11"/>
      <c r="RV480" s="11"/>
      <c r="RW480" s="11"/>
      <c r="RX480" s="11"/>
      <c r="RY480" s="11"/>
      <c r="RZ480" s="11"/>
      <c r="SA480" s="11"/>
      <c r="SB480" s="11"/>
      <c r="SC480" s="11"/>
      <c r="SD480" s="11"/>
      <c r="SE480" s="11"/>
      <c r="SF480" s="11"/>
      <c r="SG480" s="11"/>
      <c r="SH480" s="11">
        <v>1</v>
      </c>
    </row>
    <row r="481" spans="1:502" x14ac:dyDescent="0.2">
      <c r="A481" s="10">
        <v>6.2387117855627665E-2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  <c r="HO481" s="11"/>
      <c r="HP481" s="11"/>
      <c r="HQ481" s="11"/>
      <c r="HR481" s="11"/>
      <c r="HS481" s="11"/>
      <c r="HT481" s="11"/>
      <c r="HU481" s="11"/>
      <c r="HV481" s="11"/>
      <c r="HW481" s="11"/>
      <c r="HX481" s="11"/>
      <c r="HY481" s="11"/>
      <c r="HZ481" s="11"/>
      <c r="IA481" s="11"/>
      <c r="IB481" s="11"/>
      <c r="IC481" s="11"/>
      <c r="ID481" s="11"/>
      <c r="IE481" s="11"/>
      <c r="IF481" s="11"/>
      <c r="IG481" s="11"/>
      <c r="IH481" s="11"/>
      <c r="II481" s="11"/>
      <c r="IJ481" s="11"/>
      <c r="IK481" s="11"/>
      <c r="IL481" s="11"/>
      <c r="IM481" s="11"/>
      <c r="IN481" s="11"/>
      <c r="IO481" s="11"/>
      <c r="IP481" s="11"/>
      <c r="IQ481" s="11"/>
      <c r="IR481" s="11"/>
      <c r="IS481" s="11"/>
      <c r="IT481" s="11"/>
      <c r="IU481" s="11"/>
      <c r="IV481" s="11"/>
      <c r="IW481" s="11"/>
      <c r="IX481" s="11"/>
      <c r="IY481" s="11"/>
      <c r="IZ481" s="11"/>
      <c r="JA481" s="11"/>
      <c r="JB481" s="11"/>
      <c r="JC481" s="11"/>
      <c r="JD481" s="11"/>
      <c r="JE481" s="11"/>
      <c r="JF481" s="11"/>
      <c r="JG481" s="11"/>
      <c r="JH481" s="11"/>
      <c r="JI481" s="11"/>
      <c r="JJ481" s="11"/>
      <c r="JK481" s="11"/>
      <c r="JL481" s="11"/>
      <c r="JM481" s="11"/>
      <c r="JN481" s="11"/>
      <c r="JO481" s="11"/>
      <c r="JP481" s="11"/>
      <c r="JQ481" s="11"/>
      <c r="JR481" s="11"/>
      <c r="JS481" s="11"/>
      <c r="JT481" s="11"/>
      <c r="JU481" s="11"/>
      <c r="JV481" s="11"/>
      <c r="JW481" s="11"/>
      <c r="JX481" s="11"/>
      <c r="JY481" s="11"/>
      <c r="JZ481" s="11"/>
      <c r="KA481" s="11"/>
      <c r="KB481" s="11"/>
      <c r="KC481" s="11"/>
      <c r="KD481" s="11"/>
      <c r="KE481" s="11"/>
      <c r="KF481" s="11"/>
      <c r="KG481" s="11"/>
      <c r="KH481" s="11"/>
      <c r="KI481" s="11"/>
      <c r="KJ481" s="11"/>
      <c r="KK481" s="11"/>
      <c r="KL481" s="11"/>
      <c r="KM481" s="11"/>
      <c r="KN481" s="11"/>
      <c r="KO481" s="11"/>
      <c r="KP481" s="11"/>
      <c r="KQ481" s="11"/>
      <c r="KR481" s="11"/>
      <c r="KS481" s="11"/>
      <c r="KT481" s="11"/>
      <c r="KU481" s="11"/>
      <c r="KV481" s="11"/>
      <c r="KW481" s="11"/>
      <c r="KX481" s="11"/>
      <c r="KY481" s="11"/>
      <c r="KZ481" s="11"/>
      <c r="LA481" s="11"/>
      <c r="LB481" s="11"/>
      <c r="LC481" s="11"/>
      <c r="LD481" s="11"/>
      <c r="LE481" s="11"/>
      <c r="LF481" s="11"/>
      <c r="LG481" s="11"/>
      <c r="LH481" s="11"/>
      <c r="LI481" s="11"/>
      <c r="LJ481" s="11"/>
      <c r="LK481" s="11"/>
      <c r="LL481" s="11"/>
      <c r="LM481" s="11"/>
      <c r="LN481" s="11"/>
      <c r="LO481" s="11"/>
      <c r="LP481" s="11"/>
      <c r="LQ481" s="11"/>
      <c r="LR481" s="11"/>
      <c r="LS481" s="11"/>
      <c r="LT481" s="11"/>
      <c r="LU481" s="11">
        <v>1</v>
      </c>
      <c r="LV481" s="11"/>
      <c r="LW481" s="11"/>
      <c r="LX481" s="11"/>
      <c r="LY481" s="11"/>
      <c r="LZ481" s="11"/>
      <c r="MA481" s="11"/>
      <c r="MB481" s="11"/>
      <c r="MC481" s="11"/>
      <c r="MD481" s="11"/>
      <c r="ME481" s="11"/>
      <c r="MF481" s="11"/>
      <c r="MG481" s="11"/>
      <c r="MH481" s="11"/>
      <c r="MI481" s="11"/>
      <c r="MJ481" s="11"/>
      <c r="MK481" s="11"/>
      <c r="ML481" s="11"/>
      <c r="MM481" s="11"/>
      <c r="MN481" s="11"/>
      <c r="MO481" s="11"/>
      <c r="MP481" s="11"/>
      <c r="MQ481" s="11"/>
      <c r="MR481" s="11"/>
      <c r="MS481" s="11"/>
      <c r="MT481" s="11"/>
      <c r="MU481" s="11"/>
      <c r="MV481" s="11"/>
      <c r="MW481" s="11"/>
      <c r="MX481" s="11"/>
      <c r="MY481" s="11"/>
      <c r="MZ481" s="11"/>
      <c r="NA481" s="11"/>
      <c r="NB481" s="11"/>
      <c r="NC481" s="11"/>
      <c r="ND481" s="11"/>
      <c r="NE481" s="11"/>
      <c r="NF481" s="11"/>
      <c r="NG481" s="11"/>
      <c r="NH481" s="11"/>
      <c r="NI481" s="11"/>
      <c r="NJ481" s="11"/>
      <c r="NK481" s="11"/>
      <c r="NL481" s="11"/>
      <c r="NM481" s="11"/>
      <c r="NN481" s="11"/>
      <c r="NO481" s="11"/>
      <c r="NP481" s="11"/>
      <c r="NQ481" s="11"/>
      <c r="NR481" s="11"/>
      <c r="NS481" s="11"/>
      <c r="NT481" s="11"/>
      <c r="NU481" s="11"/>
      <c r="NV481" s="11"/>
      <c r="NW481" s="11"/>
      <c r="NX481" s="11"/>
      <c r="NY481" s="11"/>
      <c r="NZ481" s="11"/>
      <c r="OA481" s="11"/>
      <c r="OB481" s="11"/>
      <c r="OC481" s="11"/>
      <c r="OD481" s="11"/>
      <c r="OE481" s="11"/>
      <c r="OF481" s="11"/>
      <c r="OG481" s="11"/>
      <c r="OH481" s="11"/>
      <c r="OI481" s="11"/>
      <c r="OJ481" s="11"/>
      <c r="OK481" s="11"/>
      <c r="OL481" s="11"/>
      <c r="OM481" s="11"/>
      <c r="ON481" s="11"/>
      <c r="OO481" s="11"/>
      <c r="OP481" s="11"/>
      <c r="OQ481" s="11"/>
      <c r="OR481" s="11"/>
      <c r="OS481" s="11"/>
      <c r="OT481" s="11"/>
      <c r="OU481" s="11"/>
      <c r="OV481" s="11"/>
      <c r="OW481" s="11"/>
      <c r="OX481" s="11"/>
      <c r="OY481" s="11"/>
      <c r="OZ481" s="11"/>
      <c r="PA481" s="11"/>
      <c r="PB481" s="11"/>
      <c r="PC481" s="11"/>
      <c r="PD481" s="11"/>
      <c r="PE481" s="11"/>
      <c r="PF481" s="11"/>
      <c r="PG481" s="11"/>
      <c r="PH481" s="11"/>
      <c r="PI481" s="11"/>
      <c r="PJ481" s="11"/>
      <c r="PK481" s="11"/>
      <c r="PL481" s="11"/>
      <c r="PM481" s="11"/>
      <c r="PN481" s="11"/>
      <c r="PO481" s="11"/>
      <c r="PP481" s="11"/>
      <c r="PQ481" s="11"/>
      <c r="PR481" s="11"/>
      <c r="PS481" s="11"/>
      <c r="PT481" s="11"/>
      <c r="PU481" s="11"/>
      <c r="PV481" s="11"/>
      <c r="PW481" s="11"/>
      <c r="PX481" s="11"/>
      <c r="PY481" s="11"/>
      <c r="PZ481" s="11"/>
      <c r="QA481" s="11"/>
      <c r="QB481" s="11"/>
      <c r="QC481" s="11"/>
      <c r="QD481" s="11"/>
      <c r="QE481" s="11"/>
      <c r="QF481" s="11"/>
      <c r="QG481" s="11"/>
      <c r="QH481" s="11"/>
      <c r="QI481" s="11"/>
      <c r="QJ481" s="11"/>
      <c r="QK481" s="11"/>
      <c r="QL481" s="11"/>
      <c r="QM481" s="11"/>
      <c r="QN481" s="11"/>
      <c r="QO481" s="11"/>
      <c r="QP481" s="11"/>
      <c r="QQ481" s="11"/>
      <c r="QR481" s="11"/>
      <c r="QS481" s="11"/>
      <c r="QT481" s="11"/>
      <c r="QU481" s="11"/>
      <c r="QV481" s="11"/>
      <c r="QW481" s="11"/>
      <c r="QX481" s="11"/>
      <c r="QY481" s="11"/>
      <c r="QZ481" s="11"/>
      <c r="RA481" s="11"/>
      <c r="RB481" s="11"/>
      <c r="RC481" s="11"/>
      <c r="RD481" s="11"/>
      <c r="RE481" s="11"/>
      <c r="RF481" s="11"/>
      <c r="RG481" s="11"/>
      <c r="RH481" s="11"/>
      <c r="RI481" s="11"/>
      <c r="RJ481" s="11"/>
      <c r="RK481" s="11"/>
      <c r="RL481" s="11"/>
      <c r="RM481" s="11"/>
      <c r="RN481" s="11"/>
      <c r="RO481" s="11"/>
      <c r="RP481" s="11"/>
      <c r="RQ481" s="11"/>
      <c r="RR481" s="11"/>
      <c r="RS481" s="11"/>
      <c r="RT481" s="11"/>
      <c r="RU481" s="11"/>
      <c r="RV481" s="11"/>
      <c r="RW481" s="11"/>
      <c r="RX481" s="11"/>
      <c r="RY481" s="11"/>
      <c r="RZ481" s="11"/>
      <c r="SA481" s="11"/>
      <c r="SB481" s="11"/>
      <c r="SC481" s="11"/>
      <c r="SD481" s="11"/>
      <c r="SE481" s="11"/>
      <c r="SF481" s="11"/>
      <c r="SG481" s="11"/>
      <c r="SH481" s="11">
        <v>1</v>
      </c>
    </row>
    <row r="482" spans="1:502" x14ac:dyDescent="0.2">
      <c r="A482" s="10">
        <v>6.2407473684560268E-2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>
        <v>1</v>
      </c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  <c r="HM482" s="11"/>
      <c r="HN482" s="11"/>
      <c r="HO482" s="11"/>
      <c r="HP482" s="11"/>
      <c r="HQ482" s="11"/>
      <c r="HR482" s="11"/>
      <c r="HS482" s="11"/>
      <c r="HT482" s="11"/>
      <c r="HU482" s="11"/>
      <c r="HV482" s="11"/>
      <c r="HW482" s="11"/>
      <c r="HX482" s="11"/>
      <c r="HY482" s="11"/>
      <c r="HZ482" s="11"/>
      <c r="IA482" s="11"/>
      <c r="IB482" s="11"/>
      <c r="IC482" s="11"/>
      <c r="ID482" s="11"/>
      <c r="IE482" s="11"/>
      <c r="IF482" s="11"/>
      <c r="IG482" s="11"/>
      <c r="IH482" s="11"/>
      <c r="II482" s="11"/>
      <c r="IJ482" s="11"/>
      <c r="IK482" s="11"/>
      <c r="IL482" s="11"/>
      <c r="IM482" s="11"/>
      <c r="IN482" s="11"/>
      <c r="IO482" s="11"/>
      <c r="IP482" s="11"/>
      <c r="IQ482" s="11"/>
      <c r="IR482" s="11"/>
      <c r="IS482" s="11"/>
      <c r="IT482" s="11"/>
      <c r="IU482" s="11"/>
      <c r="IV482" s="11"/>
      <c r="IW482" s="11"/>
      <c r="IX482" s="11"/>
      <c r="IY482" s="11"/>
      <c r="IZ482" s="11"/>
      <c r="JA482" s="11"/>
      <c r="JB482" s="11"/>
      <c r="JC482" s="11"/>
      <c r="JD482" s="11"/>
      <c r="JE482" s="11"/>
      <c r="JF482" s="11"/>
      <c r="JG482" s="11"/>
      <c r="JH482" s="11"/>
      <c r="JI482" s="11"/>
      <c r="JJ482" s="11"/>
      <c r="JK482" s="11"/>
      <c r="JL482" s="11"/>
      <c r="JM482" s="11"/>
      <c r="JN482" s="11"/>
      <c r="JO482" s="11"/>
      <c r="JP482" s="11"/>
      <c r="JQ482" s="11"/>
      <c r="JR482" s="11"/>
      <c r="JS482" s="11"/>
      <c r="JT482" s="11"/>
      <c r="JU482" s="11"/>
      <c r="JV482" s="11"/>
      <c r="JW482" s="11"/>
      <c r="JX482" s="11"/>
      <c r="JY482" s="11"/>
      <c r="JZ482" s="11"/>
      <c r="KA482" s="11"/>
      <c r="KB482" s="11"/>
      <c r="KC482" s="11"/>
      <c r="KD482" s="11"/>
      <c r="KE482" s="11"/>
      <c r="KF482" s="11"/>
      <c r="KG482" s="11"/>
      <c r="KH482" s="11"/>
      <c r="KI482" s="11"/>
      <c r="KJ482" s="11"/>
      <c r="KK482" s="11"/>
      <c r="KL482" s="11"/>
      <c r="KM482" s="11"/>
      <c r="KN482" s="11"/>
      <c r="KO482" s="11"/>
      <c r="KP482" s="11"/>
      <c r="KQ482" s="11"/>
      <c r="KR482" s="11"/>
      <c r="KS482" s="11"/>
      <c r="KT482" s="11"/>
      <c r="KU482" s="11"/>
      <c r="KV482" s="11"/>
      <c r="KW482" s="11"/>
      <c r="KX482" s="11"/>
      <c r="KY482" s="11"/>
      <c r="KZ482" s="11"/>
      <c r="LA482" s="11"/>
      <c r="LB482" s="11"/>
      <c r="LC482" s="11"/>
      <c r="LD482" s="11"/>
      <c r="LE482" s="11"/>
      <c r="LF482" s="11"/>
      <c r="LG482" s="11"/>
      <c r="LH482" s="11"/>
      <c r="LI482" s="11"/>
      <c r="LJ482" s="11"/>
      <c r="LK482" s="11"/>
      <c r="LL482" s="11"/>
      <c r="LM482" s="11"/>
      <c r="LN482" s="11"/>
      <c r="LO482" s="11"/>
      <c r="LP482" s="11"/>
      <c r="LQ482" s="11"/>
      <c r="LR482" s="11"/>
      <c r="LS482" s="11"/>
      <c r="LT482" s="11"/>
      <c r="LU482" s="11"/>
      <c r="LV482" s="11"/>
      <c r="LW482" s="11"/>
      <c r="LX482" s="11"/>
      <c r="LY482" s="11"/>
      <c r="LZ482" s="11"/>
      <c r="MA482" s="11"/>
      <c r="MB482" s="11"/>
      <c r="MC482" s="11"/>
      <c r="MD482" s="11"/>
      <c r="ME482" s="11"/>
      <c r="MF482" s="11"/>
      <c r="MG482" s="11"/>
      <c r="MH482" s="11"/>
      <c r="MI482" s="11"/>
      <c r="MJ482" s="11"/>
      <c r="MK482" s="11"/>
      <c r="ML482" s="11"/>
      <c r="MM482" s="11"/>
      <c r="MN482" s="11"/>
      <c r="MO482" s="11"/>
      <c r="MP482" s="11"/>
      <c r="MQ482" s="11"/>
      <c r="MR482" s="11"/>
      <c r="MS482" s="11"/>
      <c r="MT482" s="11"/>
      <c r="MU482" s="11"/>
      <c r="MV482" s="11"/>
      <c r="MW482" s="11"/>
      <c r="MX482" s="11"/>
      <c r="MY482" s="11"/>
      <c r="MZ482" s="11"/>
      <c r="NA482" s="11"/>
      <c r="NB482" s="11"/>
      <c r="NC482" s="11"/>
      <c r="ND482" s="11"/>
      <c r="NE482" s="11"/>
      <c r="NF482" s="11"/>
      <c r="NG482" s="11"/>
      <c r="NH482" s="11"/>
      <c r="NI482" s="11"/>
      <c r="NJ482" s="11"/>
      <c r="NK482" s="11"/>
      <c r="NL482" s="11"/>
      <c r="NM482" s="11"/>
      <c r="NN482" s="11"/>
      <c r="NO482" s="11"/>
      <c r="NP482" s="11"/>
      <c r="NQ482" s="11"/>
      <c r="NR482" s="11"/>
      <c r="NS482" s="11"/>
      <c r="NT482" s="11"/>
      <c r="NU482" s="11"/>
      <c r="NV482" s="11"/>
      <c r="NW482" s="11"/>
      <c r="NX482" s="11"/>
      <c r="NY482" s="11"/>
      <c r="NZ482" s="11"/>
      <c r="OA482" s="11"/>
      <c r="OB482" s="11"/>
      <c r="OC482" s="11"/>
      <c r="OD482" s="11"/>
      <c r="OE482" s="11"/>
      <c r="OF482" s="11"/>
      <c r="OG482" s="11"/>
      <c r="OH482" s="11"/>
      <c r="OI482" s="11"/>
      <c r="OJ482" s="11"/>
      <c r="OK482" s="11"/>
      <c r="OL482" s="11"/>
      <c r="OM482" s="11"/>
      <c r="ON482" s="11"/>
      <c r="OO482" s="11"/>
      <c r="OP482" s="11"/>
      <c r="OQ482" s="11"/>
      <c r="OR482" s="11"/>
      <c r="OS482" s="11"/>
      <c r="OT482" s="11"/>
      <c r="OU482" s="11"/>
      <c r="OV482" s="11"/>
      <c r="OW482" s="11"/>
      <c r="OX482" s="11"/>
      <c r="OY482" s="11"/>
      <c r="OZ482" s="11"/>
      <c r="PA482" s="11"/>
      <c r="PB482" s="11"/>
      <c r="PC482" s="11"/>
      <c r="PD482" s="11"/>
      <c r="PE482" s="11"/>
      <c r="PF482" s="11"/>
      <c r="PG482" s="11"/>
      <c r="PH482" s="11"/>
      <c r="PI482" s="11"/>
      <c r="PJ482" s="11"/>
      <c r="PK482" s="11"/>
      <c r="PL482" s="11"/>
      <c r="PM482" s="11"/>
      <c r="PN482" s="11"/>
      <c r="PO482" s="11"/>
      <c r="PP482" s="11"/>
      <c r="PQ482" s="11"/>
      <c r="PR482" s="11"/>
      <c r="PS482" s="11"/>
      <c r="PT482" s="11"/>
      <c r="PU482" s="11"/>
      <c r="PV482" s="11"/>
      <c r="PW482" s="11"/>
      <c r="PX482" s="11"/>
      <c r="PY482" s="11"/>
      <c r="PZ482" s="11"/>
      <c r="QA482" s="11"/>
      <c r="QB482" s="11"/>
      <c r="QC482" s="11"/>
      <c r="QD482" s="11"/>
      <c r="QE482" s="11"/>
      <c r="QF482" s="11"/>
      <c r="QG482" s="11"/>
      <c r="QH482" s="11"/>
      <c r="QI482" s="11"/>
      <c r="QJ482" s="11"/>
      <c r="QK482" s="11"/>
      <c r="QL482" s="11"/>
      <c r="QM482" s="11"/>
      <c r="QN482" s="11"/>
      <c r="QO482" s="11"/>
      <c r="QP482" s="11"/>
      <c r="QQ482" s="11"/>
      <c r="QR482" s="11"/>
      <c r="QS482" s="11"/>
      <c r="QT482" s="11"/>
      <c r="QU482" s="11"/>
      <c r="QV482" s="11"/>
      <c r="QW482" s="11"/>
      <c r="QX482" s="11"/>
      <c r="QY482" s="11"/>
      <c r="QZ482" s="11"/>
      <c r="RA482" s="11"/>
      <c r="RB482" s="11"/>
      <c r="RC482" s="11"/>
      <c r="RD482" s="11"/>
      <c r="RE482" s="11"/>
      <c r="RF482" s="11"/>
      <c r="RG482" s="11"/>
      <c r="RH482" s="11"/>
      <c r="RI482" s="11"/>
      <c r="RJ482" s="11"/>
      <c r="RK482" s="11"/>
      <c r="RL482" s="11"/>
      <c r="RM482" s="11"/>
      <c r="RN482" s="11"/>
      <c r="RO482" s="11"/>
      <c r="RP482" s="11"/>
      <c r="RQ482" s="11"/>
      <c r="RR482" s="11"/>
      <c r="RS482" s="11"/>
      <c r="RT482" s="11"/>
      <c r="RU482" s="11"/>
      <c r="RV482" s="11"/>
      <c r="RW482" s="11"/>
      <c r="RX482" s="11"/>
      <c r="RY482" s="11"/>
      <c r="RZ482" s="11"/>
      <c r="SA482" s="11"/>
      <c r="SB482" s="11"/>
      <c r="SC482" s="11"/>
      <c r="SD482" s="11"/>
      <c r="SE482" s="11"/>
      <c r="SF482" s="11"/>
      <c r="SG482" s="11"/>
      <c r="SH482" s="11">
        <v>1</v>
      </c>
    </row>
    <row r="483" spans="1:502" x14ac:dyDescent="0.2">
      <c r="A483" s="10">
        <v>6.3664652420826737E-2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  <c r="HO483" s="11"/>
      <c r="HP483" s="11"/>
      <c r="HQ483" s="11"/>
      <c r="HR483" s="11"/>
      <c r="HS483" s="11"/>
      <c r="HT483" s="11"/>
      <c r="HU483" s="11"/>
      <c r="HV483" s="11"/>
      <c r="HW483" s="11"/>
      <c r="HX483" s="11"/>
      <c r="HY483" s="11"/>
      <c r="HZ483" s="11"/>
      <c r="IA483" s="11"/>
      <c r="IB483" s="11"/>
      <c r="IC483" s="11"/>
      <c r="ID483" s="11"/>
      <c r="IE483" s="11"/>
      <c r="IF483" s="11"/>
      <c r="IG483" s="11"/>
      <c r="IH483" s="11"/>
      <c r="II483" s="11"/>
      <c r="IJ483" s="11"/>
      <c r="IK483" s="11"/>
      <c r="IL483" s="11"/>
      <c r="IM483" s="11"/>
      <c r="IN483" s="11"/>
      <c r="IO483" s="11"/>
      <c r="IP483" s="11"/>
      <c r="IQ483" s="11"/>
      <c r="IR483" s="11"/>
      <c r="IS483" s="11"/>
      <c r="IT483" s="11"/>
      <c r="IU483" s="11"/>
      <c r="IV483" s="11"/>
      <c r="IW483" s="11"/>
      <c r="IX483" s="11"/>
      <c r="IY483" s="11"/>
      <c r="IZ483" s="11"/>
      <c r="JA483" s="11"/>
      <c r="JB483" s="11"/>
      <c r="JC483" s="11"/>
      <c r="JD483" s="11"/>
      <c r="JE483" s="11"/>
      <c r="JF483" s="11"/>
      <c r="JG483" s="11"/>
      <c r="JH483" s="11"/>
      <c r="JI483" s="11"/>
      <c r="JJ483" s="11"/>
      <c r="JK483" s="11"/>
      <c r="JL483" s="11"/>
      <c r="JM483" s="11"/>
      <c r="JN483" s="11"/>
      <c r="JO483" s="11"/>
      <c r="JP483" s="11"/>
      <c r="JQ483" s="11"/>
      <c r="JR483" s="11"/>
      <c r="JS483" s="11"/>
      <c r="JT483" s="11"/>
      <c r="JU483" s="11"/>
      <c r="JV483" s="11"/>
      <c r="JW483" s="11"/>
      <c r="JX483" s="11"/>
      <c r="JY483" s="11"/>
      <c r="JZ483" s="11"/>
      <c r="KA483" s="11"/>
      <c r="KB483" s="11"/>
      <c r="KC483" s="11"/>
      <c r="KD483" s="11"/>
      <c r="KE483" s="11"/>
      <c r="KF483" s="11"/>
      <c r="KG483" s="11"/>
      <c r="KH483" s="11"/>
      <c r="KI483" s="11"/>
      <c r="KJ483" s="11"/>
      <c r="KK483" s="11"/>
      <c r="KL483" s="11"/>
      <c r="KM483" s="11"/>
      <c r="KN483" s="11"/>
      <c r="KO483" s="11"/>
      <c r="KP483" s="11"/>
      <c r="KQ483" s="11"/>
      <c r="KR483" s="11"/>
      <c r="KS483" s="11"/>
      <c r="KT483" s="11"/>
      <c r="KU483" s="11"/>
      <c r="KV483" s="11"/>
      <c r="KW483" s="11"/>
      <c r="KX483" s="11"/>
      <c r="KY483" s="11"/>
      <c r="KZ483" s="11"/>
      <c r="LA483" s="11"/>
      <c r="LB483" s="11"/>
      <c r="LC483" s="11"/>
      <c r="LD483" s="11"/>
      <c r="LE483" s="11"/>
      <c r="LF483" s="11">
        <v>1</v>
      </c>
      <c r="LG483" s="11"/>
      <c r="LH483" s="11"/>
      <c r="LI483" s="11"/>
      <c r="LJ483" s="11"/>
      <c r="LK483" s="11"/>
      <c r="LL483" s="11"/>
      <c r="LM483" s="11"/>
      <c r="LN483" s="11"/>
      <c r="LO483" s="11"/>
      <c r="LP483" s="11"/>
      <c r="LQ483" s="11"/>
      <c r="LR483" s="11"/>
      <c r="LS483" s="11"/>
      <c r="LT483" s="11"/>
      <c r="LU483" s="11"/>
      <c r="LV483" s="11"/>
      <c r="LW483" s="11"/>
      <c r="LX483" s="11"/>
      <c r="LY483" s="11"/>
      <c r="LZ483" s="11"/>
      <c r="MA483" s="11"/>
      <c r="MB483" s="11"/>
      <c r="MC483" s="11"/>
      <c r="MD483" s="11"/>
      <c r="ME483" s="11"/>
      <c r="MF483" s="11"/>
      <c r="MG483" s="11"/>
      <c r="MH483" s="11"/>
      <c r="MI483" s="11"/>
      <c r="MJ483" s="11"/>
      <c r="MK483" s="11"/>
      <c r="ML483" s="11"/>
      <c r="MM483" s="11"/>
      <c r="MN483" s="11"/>
      <c r="MO483" s="11"/>
      <c r="MP483" s="11"/>
      <c r="MQ483" s="11"/>
      <c r="MR483" s="11"/>
      <c r="MS483" s="11"/>
      <c r="MT483" s="11"/>
      <c r="MU483" s="11"/>
      <c r="MV483" s="11"/>
      <c r="MW483" s="11"/>
      <c r="MX483" s="11"/>
      <c r="MY483" s="11"/>
      <c r="MZ483" s="11"/>
      <c r="NA483" s="11"/>
      <c r="NB483" s="11"/>
      <c r="NC483" s="11"/>
      <c r="ND483" s="11"/>
      <c r="NE483" s="11"/>
      <c r="NF483" s="11"/>
      <c r="NG483" s="11"/>
      <c r="NH483" s="11"/>
      <c r="NI483" s="11"/>
      <c r="NJ483" s="11"/>
      <c r="NK483" s="11"/>
      <c r="NL483" s="11"/>
      <c r="NM483" s="11"/>
      <c r="NN483" s="11"/>
      <c r="NO483" s="11"/>
      <c r="NP483" s="11"/>
      <c r="NQ483" s="11"/>
      <c r="NR483" s="11"/>
      <c r="NS483" s="11"/>
      <c r="NT483" s="11"/>
      <c r="NU483" s="11"/>
      <c r="NV483" s="11"/>
      <c r="NW483" s="11"/>
      <c r="NX483" s="11"/>
      <c r="NY483" s="11"/>
      <c r="NZ483" s="11"/>
      <c r="OA483" s="11"/>
      <c r="OB483" s="11"/>
      <c r="OC483" s="11"/>
      <c r="OD483" s="11"/>
      <c r="OE483" s="11"/>
      <c r="OF483" s="11"/>
      <c r="OG483" s="11"/>
      <c r="OH483" s="11"/>
      <c r="OI483" s="11"/>
      <c r="OJ483" s="11"/>
      <c r="OK483" s="11"/>
      <c r="OL483" s="11"/>
      <c r="OM483" s="11"/>
      <c r="ON483" s="11"/>
      <c r="OO483" s="11"/>
      <c r="OP483" s="11"/>
      <c r="OQ483" s="11"/>
      <c r="OR483" s="11"/>
      <c r="OS483" s="11"/>
      <c r="OT483" s="11"/>
      <c r="OU483" s="11"/>
      <c r="OV483" s="11"/>
      <c r="OW483" s="11"/>
      <c r="OX483" s="11"/>
      <c r="OY483" s="11"/>
      <c r="OZ483" s="11"/>
      <c r="PA483" s="11"/>
      <c r="PB483" s="11"/>
      <c r="PC483" s="11"/>
      <c r="PD483" s="11"/>
      <c r="PE483" s="11"/>
      <c r="PF483" s="11"/>
      <c r="PG483" s="11"/>
      <c r="PH483" s="11"/>
      <c r="PI483" s="11"/>
      <c r="PJ483" s="11"/>
      <c r="PK483" s="11"/>
      <c r="PL483" s="11"/>
      <c r="PM483" s="11"/>
      <c r="PN483" s="11"/>
      <c r="PO483" s="11"/>
      <c r="PP483" s="11"/>
      <c r="PQ483" s="11"/>
      <c r="PR483" s="11"/>
      <c r="PS483" s="11"/>
      <c r="PT483" s="11"/>
      <c r="PU483" s="11"/>
      <c r="PV483" s="11"/>
      <c r="PW483" s="11"/>
      <c r="PX483" s="11"/>
      <c r="PY483" s="11"/>
      <c r="PZ483" s="11"/>
      <c r="QA483" s="11"/>
      <c r="QB483" s="11"/>
      <c r="QC483" s="11"/>
      <c r="QD483" s="11"/>
      <c r="QE483" s="11"/>
      <c r="QF483" s="11"/>
      <c r="QG483" s="11"/>
      <c r="QH483" s="11"/>
      <c r="QI483" s="11"/>
      <c r="QJ483" s="11"/>
      <c r="QK483" s="11"/>
      <c r="QL483" s="11"/>
      <c r="QM483" s="11"/>
      <c r="QN483" s="11"/>
      <c r="QO483" s="11"/>
      <c r="QP483" s="11"/>
      <c r="QQ483" s="11"/>
      <c r="QR483" s="11"/>
      <c r="QS483" s="11"/>
      <c r="QT483" s="11"/>
      <c r="QU483" s="11"/>
      <c r="QV483" s="11"/>
      <c r="QW483" s="11"/>
      <c r="QX483" s="11"/>
      <c r="QY483" s="11"/>
      <c r="QZ483" s="11"/>
      <c r="RA483" s="11"/>
      <c r="RB483" s="11"/>
      <c r="RC483" s="11"/>
      <c r="RD483" s="11"/>
      <c r="RE483" s="11"/>
      <c r="RF483" s="11"/>
      <c r="RG483" s="11"/>
      <c r="RH483" s="11"/>
      <c r="RI483" s="11"/>
      <c r="RJ483" s="11"/>
      <c r="RK483" s="11"/>
      <c r="RL483" s="11"/>
      <c r="RM483" s="11"/>
      <c r="RN483" s="11"/>
      <c r="RO483" s="11"/>
      <c r="RP483" s="11"/>
      <c r="RQ483" s="11"/>
      <c r="RR483" s="11"/>
      <c r="RS483" s="11"/>
      <c r="RT483" s="11"/>
      <c r="RU483" s="11"/>
      <c r="RV483" s="11"/>
      <c r="RW483" s="11"/>
      <c r="RX483" s="11"/>
      <c r="RY483" s="11"/>
      <c r="RZ483" s="11"/>
      <c r="SA483" s="11"/>
      <c r="SB483" s="11"/>
      <c r="SC483" s="11"/>
      <c r="SD483" s="11"/>
      <c r="SE483" s="11"/>
      <c r="SF483" s="11"/>
      <c r="SG483" s="11"/>
      <c r="SH483" s="11">
        <v>1</v>
      </c>
    </row>
    <row r="484" spans="1:502" x14ac:dyDescent="0.2">
      <c r="A484" s="10">
        <v>6.4530023900998712E-2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>
        <v>1</v>
      </c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  <c r="GP484" s="11"/>
      <c r="GQ484" s="11"/>
      <c r="GR484" s="11"/>
      <c r="GS484" s="11"/>
      <c r="GT484" s="11"/>
      <c r="GU484" s="11"/>
      <c r="GV484" s="11"/>
      <c r="GW484" s="11"/>
      <c r="GX484" s="11"/>
      <c r="GY484" s="11"/>
      <c r="GZ484" s="11"/>
      <c r="HA484" s="11"/>
      <c r="HB484" s="11"/>
      <c r="HC484" s="11"/>
      <c r="HD484" s="11"/>
      <c r="HE484" s="11"/>
      <c r="HF484" s="11"/>
      <c r="HG484" s="11"/>
      <c r="HH484" s="11"/>
      <c r="HI484" s="11"/>
      <c r="HJ484" s="11"/>
      <c r="HK484" s="11"/>
      <c r="HL484" s="11"/>
      <c r="HM484" s="11"/>
      <c r="HN484" s="11"/>
      <c r="HO484" s="11"/>
      <c r="HP484" s="11"/>
      <c r="HQ484" s="11"/>
      <c r="HR484" s="11"/>
      <c r="HS484" s="11"/>
      <c r="HT484" s="11"/>
      <c r="HU484" s="11"/>
      <c r="HV484" s="11"/>
      <c r="HW484" s="11"/>
      <c r="HX484" s="11"/>
      <c r="HY484" s="11"/>
      <c r="HZ484" s="11"/>
      <c r="IA484" s="11"/>
      <c r="IB484" s="11"/>
      <c r="IC484" s="11"/>
      <c r="ID484" s="11"/>
      <c r="IE484" s="11"/>
      <c r="IF484" s="11"/>
      <c r="IG484" s="11"/>
      <c r="IH484" s="11"/>
      <c r="II484" s="11"/>
      <c r="IJ484" s="11"/>
      <c r="IK484" s="11"/>
      <c r="IL484" s="11"/>
      <c r="IM484" s="11"/>
      <c r="IN484" s="11"/>
      <c r="IO484" s="11"/>
      <c r="IP484" s="11"/>
      <c r="IQ484" s="11"/>
      <c r="IR484" s="11"/>
      <c r="IS484" s="11"/>
      <c r="IT484" s="11"/>
      <c r="IU484" s="11"/>
      <c r="IV484" s="11"/>
      <c r="IW484" s="11"/>
      <c r="IX484" s="11"/>
      <c r="IY484" s="11"/>
      <c r="IZ484" s="11"/>
      <c r="JA484" s="11"/>
      <c r="JB484" s="11"/>
      <c r="JC484" s="11"/>
      <c r="JD484" s="11"/>
      <c r="JE484" s="11"/>
      <c r="JF484" s="11"/>
      <c r="JG484" s="11"/>
      <c r="JH484" s="11"/>
      <c r="JI484" s="11"/>
      <c r="JJ484" s="11"/>
      <c r="JK484" s="11"/>
      <c r="JL484" s="11"/>
      <c r="JM484" s="11"/>
      <c r="JN484" s="11"/>
      <c r="JO484" s="11"/>
      <c r="JP484" s="11"/>
      <c r="JQ484" s="11"/>
      <c r="JR484" s="11"/>
      <c r="JS484" s="11"/>
      <c r="JT484" s="11"/>
      <c r="JU484" s="11"/>
      <c r="JV484" s="11"/>
      <c r="JW484" s="11"/>
      <c r="JX484" s="11"/>
      <c r="JY484" s="11"/>
      <c r="JZ484" s="11"/>
      <c r="KA484" s="11"/>
      <c r="KB484" s="11"/>
      <c r="KC484" s="11"/>
      <c r="KD484" s="11"/>
      <c r="KE484" s="11"/>
      <c r="KF484" s="11"/>
      <c r="KG484" s="11"/>
      <c r="KH484" s="11"/>
      <c r="KI484" s="11"/>
      <c r="KJ484" s="11"/>
      <c r="KK484" s="11"/>
      <c r="KL484" s="11"/>
      <c r="KM484" s="11"/>
      <c r="KN484" s="11"/>
      <c r="KO484" s="11"/>
      <c r="KP484" s="11"/>
      <c r="KQ484" s="11"/>
      <c r="KR484" s="11"/>
      <c r="KS484" s="11"/>
      <c r="KT484" s="11"/>
      <c r="KU484" s="11"/>
      <c r="KV484" s="11"/>
      <c r="KW484" s="11"/>
      <c r="KX484" s="11"/>
      <c r="KY484" s="11"/>
      <c r="KZ484" s="11"/>
      <c r="LA484" s="11"/>
      <c r="LB484" s="11"/>
      <c r="LC484" s="11"/>
      <c r="LD484" s="11"/>
      <c r="LE484" s="11"/>
      <c r="LF484" s="11"/>
      <c r="LG484" s="11"/>
      <c r="LH484" s="11"/>
      <c r="LI484" s="11"/>
      <c r="LJ484" s="11"/>
      <c r="LK484" s="11"/>
      <c r="LL484" s="11"/>
      <c r="LM484" s="11"/>
      <c r="LN484" s="11"/>
      <c r="LO484" s="11"/>
      <c r="LP484" s="11"/>
      <c r="LQ484" s="11"/>
      <c r="LR484" s="11"/>
      <c r="LS484" s="11"/>
      <c r="LT484" s="11"/>
      <c r="LU484" s="11"/>
      <c r="LV484" s="11"/>
      <c r="LW484" s="11"/>
      <c r="LX484" s="11"/>
      <c r="LY484" s="11"/>
      <c r="LZ484" s="11"/>
      <c r="MA484" s="11"/>
      <c r="MB484" s="11"/>
      <c r="MC484" s="11"/>
      <c r="MD484" s="11"/>
      <c r="ME484" s="11"/>
      <c r="MF484" s="11"/>
      <c r="MG484" s="11"/>
      <c r="MH484" s="11"/>
      <c r="MI484" s="11"/>
      <c r="MJ484" s="11"/>
      <c r="MK484" s="11"/>
      <c r="ML484" s="11"/>
      <c r="MM484" s="11"/>
      <c r="MN484" s="11"/>
      <c r="MO484" s="11"/>
      <c r="MP484" s="11"/>
      <c r="MQ484" s="11"/>
      <c r="MR484" s="11"/>
      <c r="MS484" s="11"/>
      <c r="MT484" s="11"/>
      <c r="MU484" s="11"/>
      <c r="MV484" s="11"/>
      <c r="MW484" s="11"/>
      <c r="MX484" s="11"/>
      <c r="MY484" s="11"/>
      <c r="MZ484" s="11"/>
      <c r="NA484" s="11"/>
      <c r="NB484" s="11"/>
      <c r="NC484" s="11"/>
      <c r="ND484" s="11"/>
      <c r="NE484" s="11"/>
      <c r="NF484" s="11"/>
      <c r="NG484" s="11"/>
      <c r="NH484" s="11"/>
      <c r="NI484" s="11"/>
      <c r="NJ484" s="11"/>
      <c r="NK484" s="11"/>
      <c r="NL484" s="11"/>
      <c r="NM484" s="11"/>
      <c r="NN484" s="11"/>
      <c r="NO484" s="11"/>
      <c r="NP484" s="11"/>
      <c r="NQ484" s="11"/>
      <c r="NR484" s="11"/>
      <c r="NS484" s="11"/>
      <c r="NT484" s="11"/>
      <c r="NU484" s="11"/>
      <c r="NV484" s="11"/>
      <c r="NW484" s="11"/>
      <c r="NX484" s="11"/>
      <c r="NY484" s="11"/>
      <c r="NZ484" s="11"/>
      <c r="OA484" s="11"/>
      <c r="OB484" s="11"/>
      <c r="OC484" s="11"/>
      <c r="OD484" s="11"/>
      <c r="OE484" s="11"/>
      <c r="OF484" s="11"/>
      <c r="OG484" s="11"/>
      <c r="OH484" s="11"/>
      <c r="OI484" s="11"/>
      <c r="OJ484" s="11"/>
      <c r="OK484" s="11"/>
      <c r="OL484" s="11"/>
      <c r="OM484" s="11"/>
      <c r="ON484" s="11"/>
      <c r="OO484" s="11"/>
      <c r="OP484" s="11"/>
      <c r="OQ484" s="11"/>
      <c r="OR484" s="11"/>
      <c r="OS484" s="11"/>
      <c r="OT484" s="11"/>
      <c r="OU484" s="11"/>
      <c r="OV484" s="11"/>
      <c r="OW484" s="11"/>
      <c r="OX484" s="11"/>
      <c r="OY484" s="11"/>
      <c r="OZ484" s="11"/>
      <c r="PA484" s="11"/>
      <c r="PB484" s="11"/>
      <c r="PC484" s="11"/>
      <c r="PD484" s="11"/>
      <c r="PE484" s="11"/>
      <c r="PF484" s="11"/>
      <c r="PG484" s="11"/>
      <c r="PH484" s="11"/>
      <c r="PI484" s="11"/>
      <c r="PJ484" s="11"/>
      <c r="PK484" s="11"/>
      <c r="PL484" s="11"/>
      <c r="PM484" s="11"/>
      <c r="PN484" s="11"/>
      <c r="PO484" s="11"/>
      <c r="PP484" s="11"/>
      <c r="PQ484" s="11"/>
      <c r="PR484" s="11"/>
      <c r="PS484" s="11"/>
      <c r="PT484" s="11"/>
      <c r="PU484" s="11"/>
      <c r="PV484" s="11"/>
      <c r="PW484" s="11"/>
      <c r="PX484" s="11"/>
      <c r="PY484" s="11"/>
      <c r="PZ484" s="11"/>
      <c r="QA484" s="11"/>
      <c r="QB484" s="11"/>
      <c r="QC484" s="11"/>
      <c r="QD484" s="11"/>
      <c r="QE484" s="11"/>
      <c r="QF484" s="11"/>
      <c r="QG484" s="11"/>
      <c r="QH484" s="11"/>
      <c r="QI484" s="11"/>
      <c r="QJ484" s="11"/>
      <c r="QK484" s="11"/>
      <c r="QL484" s="11"/>
      <c r="QM484" s="11"/>
      <c r="QN484" s="11"/>
      <c r="QO484" s="11"/>
      <c r="QP484" s="11"/>
      <c r="QQ484" s="11"/>
      <c r="QR484" s="11"/>
      <c r="QS484" s="11"/>
      <c r="QT484" s="11"/>
      <c r="QU484" s="11"/>
      <c r="QV484" s="11"/>
      <c r="QW484" s="11"/>
      <c r="QX484" s="11"/>
      <c r="QY484" s="11"/>
      <c r="QZ484" s="11"/>
      <c r="RA484" s="11"/>
      <c r="RB484" s="11"/>
      <c r="RC484" s="11"/>
      <c r="RD484" s="11"/>
      <c r="RE484" s="11"/>
      <c r="RF484" s="11"/>
      <c r="RG484" s="11"/>
      <c r="RH484" s="11"/>
      <c r="RI484" s="11"/>
      <c r="RJ484" s="11"/>
      <c r="RK484" s="11"/>
      <c r="RL484" s="11"/>
      <c r="RM484" s="11"/>
      <c r="RN484" s="11"/>
      <c r="RO484" s="11"/>
      <c r="RP484" s="11"/>
      <c r="RQ484" s="11"/>
      <c r="RR484" s="11"/>
      <c r="RS484" s="11"/>
      <c r="RT484" s="11"/>
      <c r="RU484" s="11"/>
      <c r="RV484" s="11"/>
      <c r="RW484" s="11"/>
      <c r="RX484" s="11"/>
      <c r="RY484" s="11"/>
      <c r="RZ484" s="11"/>
      <c r="SA484" s="11"/>
      <c r="SB484" s="11"/>
      <c r="SC484" s="11"/>
      <c r="SD484" s="11"/>
      <c r="SE484" s="11"/>
      <c r="SF484" s="11"/>
      <c r="SG484" s="11"/>
      <c r="SH484" s="11">
        <v>1</v>
      </c>
    </row>
    <row r="485" spans="1:502" x14ac:dyDescent="0.2">
      <c r="A485" s="10">
        <v>6.4820748600361813E-2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  <c r="IW485" s="11"/>
      <c r="IX485" s="11"/>
      <c r="IY485" s="11"/>
      <c r="IZ485" s="11"/>
      <c r="JA485" s="11"/>
      <c r="JB485" s="11"/>
      <c r="JC485" s="11"/>
      <c r="JD485" s="11"/>
      <c r="JE485" s="11"/>
      <c r="JF485" s="11"/>
      <c r="JG485" s="11"/>
      <c r="JH485" s="11"/>
      <c r="JI485" s="11"/>
      <c r="JJ485" s="11"/>
      <c r="JK485" s="11"/>
      <c r="JL485" s="11"/>
      <c r="JM485" s="11"/>
      <c r="JN485" s="11"/>
      <c r="JO485" s="11"/>
      <c r="JP485" s="11"/>
      <c r="JQ485" s="11"/>
      <c r="JR485" s="11"/>
      <c r="JS485" s="11"/>
      <c r="JT485" s="11"/>
      <c r="JU485" s="11"/>
      <c r="JV485" s="11"/>
      <c r="JW485" s="11"/>
      <c r="JX485" s="11"/>
      <c r="JY485" s="11"/>
      <c r="JZ485" s="11"/>
      <c r="KA485" s="11"/>
      <c r="KB485" s="11"/>
      <c r="KC485" s="11"/>
      <c r="KD485" s="11"/>
      <c r="KE485" s="11"/>
      <c r="KF485" s="11">
        <v>1</v>
      </c>
      <c r="KG485" s="11"/>
      <c r="KH485" s="11"/>
      <c r="KI485" s="11"/>
      <c r="KJ485" s="11"/>
      <c r="KK485" s="11"/>
      <c r="KL485" s="11"/>
      <c r="KM485" s="11"/>
      <c r="KN485" s="11"/>
      <c r="KO485" s="11"/>
      <c r="KP485" s="11"/>
      <c r="KQ485" s="11"/>
      <c r="KR485" s="11"/>
      <c r="KS485" s="11"/>
      <c r="KT485" s="11"/>
      <c r="KU485" s="11"/>
      <c r="KV485" s="11"/>
      <c r="KW485" s="11"/>
      <c r="KX485" s="11"/>
      <c r="KY485" s="11"/>
      <c r="KZ485" s="11"/>
      <c r="LA485" s="11"/>
      <c r="LB485" s="11"/>
      <c r="LC485" s="11"/>
      <c r="LD485" s="11"/>
      <c r="LE485" s="11"/>
      <c r="LF485" s="11"/>
      <c r="LG485" s="11"/>
      <c r="LH485" s="11"/>
      <c r="LI485" s="11"/>
      <c r="LJ485" s="11"/>
      <c r="LK485" s="11"/>
      <c r="LL485" s="11"/>
      <c r="LM485" s="11"/>
      <c r="LN485" s="11"/>
      <c r="LO485" s="11"/>
      <c r="LP485" s="11"/>
      <c r="LQ485" s="11"/>
      <c r="LR485" s="11"/>
      <c r="LS485" s="11"/>
      <c r="LT485" s="11"/>
      <c r="LU485" s="11"/>
      <c r="LV485" s="11"/>
      <c r="LW485" s="11"/>
      <c r="LX485" s="11"/>
      <c r="LY485" s="11"/>
      <c r="LZ485" s="11"/>
      <c r="MA485" s="11"/>
      <c r="MB485" s="11"/>
      <c r="MC485" s="11"/>
      <c r="MD485" s="11"/>
      <c r="ME485" s="11"/>
      <c r="MF485" s="11"/>
      <c r="MG485" s="11"/>
      <c r="MH485" s="11"/>
      <c r="MI485" s="11"/>
      <c r="MJ485" s="11"/>
      <c r="MK485" s="11"/>
      <c r="ML485" s="11"/>
      <c r="MM485" s="11"/>
      <c r="MN485" s="11"/>
      <c r="MO485" s="11"/>
      <c r="MP485" s="11"/>
      <c r="MQ485" s="11"/>
      <c r="MR485" s="11"/>
      <c r="MS485" s="11"/>
      <c r="MT485" s="11"/>
      <c r="MU485" s="11"/>
      <c r="MV485" s="11"/>
      <c r="MW485" s="11"/>
      <c r="MX485" s="11"/>
      <c r="MY485" s="11"/>
      <c r="MZ485" s="11"/>
      <c r="NA485" s="11"/>
      <c r="NB485" s="11"/>
      <c r="NC485" s="11"/>
      <c r="ND485" s="11"/>
      <c r="NE485" s="11"/>
      <c r="NF485" s="11"/>
      <c r="NG485" s="11"/>
      <c r="NH485" s="11"/>
      <c r="NI485" s="11"/>
      <c r="NJ485" s="11"/>
      <c r="NK485" s="11"/>
      <c r="NL485" s="11"/>
      <c r="NM485" s="11"/>
      <c r="NN485" s="11"/>
      <c r="NO485" s="11"/>
      <c r="NP485" s="11"/>
      <c r="NQ485" s="11"/>
      <c r="NR485" s="11"/>
      <c r="NS485" s="11"/>
      <c r="NT485" s="11"/>
      <c r="NU485" s="11"/>
      <c r="NV485" s="11"/>
      <c r="NW485" s="11"/>
      <c r="NX485" s="11"/>
      <c r="NY485" s="11"/>
      <c r="NZ485" s="11"/>
      <c r="OA485" s="11"/>
      <c r="OB485" s="11"/>
      <c r="OC485" s="11"/>
      <c r="OD485" s="11"/>
      <c r="OE485" s="11"/>
      <c r="OF485" s="11"/>
      <c r="OG485" s="11"/>
      <c r="OH485" s="11"/>
      <c r="OI485" s="11"/>
      <c r="OJ485" s="11"/>
      <c r="OK485" s="11"/>
      <c r="OL485" s="11"/>
      <c r="OM485" s="11"/>
      <c r="ON485" s="11"/>
      <c r="OO485" s="11"/>
      <c r="OP485" s="11"/>
      <c r="OQ485" s="11"/>
      <c r="OR485" s="11"/>
      <c r="OS485" s="11"/>
      <c r="OT485" s="11"/>
      <c r="OU485" s="11"/>
      <c r="OV485" s="11"/>
      <c r="OW485" s="11"/>
      <c r="OX485" s="11"/>
      <c r="OY485" s="11"/>
      <c r="OZ485" s="11"/>
      <c r="PA485" s="11"/>
      <c r="PB485" s="11"/>
      <c r="PC485" s="11"/>
      <c r="PD485" s="11"/>
      <c r="PE485" s="11"/>
      <c r="PF485" s="11"/>
      <c r="PG485" s="11"/>
      <c r="PH485" s="11"/>
      <c r="PI485" s="11"/>
      <c r="PJ485" s="11"/>
      <c r="PK485" s="11"/>
      <c r="PL485" s="11"/>
      <c r="PM485" s="11"/>
      <c r="PN485" s="11"/>
      <c r="PO485" s="11"/>
      <c r="PP485" s="11"/>
      <c r="PQ485" s="11"/>
      <c r="PR485" s="11"/>
      <c r="PS485" s="11"/>
      <c r="PT485" s="11"/>
      <c r="PU485" s="11"/>
      <c r="PV485" s="11"/>
      <c r="PW485" s="11"/>
      <c r="PX485" s="11"/>
      <c r="PY485" s="11"/>
      <c r="PZ485" s="11"/>
      <c r="QA485" s="11"/>
      <c r="QB485" s="11"/>
      <c r="QC485" s="11"/>
      <c r="QD485" s="11"/>
      <c r="QE485" s="11"/>
      <c r="QF485" s="11"/>
      <c r="QG485" s="11"/>
      <c r="QH485" s="11"/>
      <c r="QI485" s="11"/>
      <c r="QJ485" s="11"/>
      <c r="QK485" s="11"/>
      <c r="QL485" s="11"/>
      <c r="QM485" s="11"/>
      <c r="QN485" s="11"/>
      <c r="QO485" s="11"/>
      <c r="QP485" s="11"/>
      <c r="QQ485" s="11"/>
      <c r="QR485" s="11"/>
      <c r="QS485" s="11"/>
      <c r="QT485" s="11"/>
      <c r="QU485" s="11"/>
      <c r="QV485" s="11"/>
      <c r="QW485" s="11"/>
      <c r="QX485" s="11"/>
      <c r="QY485" s="11"/>
      <c r="QZ485" s="11"/>
      <c r="RA485" s="11"/>
      <c r="RB485" s="11"/>
      <c r="RC485" s="11"/>
      <c r="RD485" s="11"/>
      <c r="RE485" s="11"/>
      <c r="RF485" s="11"/>
      <c r="RG485" s="11"/>
      <c r="RH485" s="11"/>
      <c r="RI485" s="11"/>
      <c r="RJ485" s="11"/>
      <c r="RK485" s="11"/>
      <c r="RL485" s="11"/>
      <c r="RM485" s="11"/>
      <c r="RN485" s="11"/>
      <c r="RO485" s="11"/>
      <c r="RP485" s="11"/>
      <c r="RQ485" s="11"/>
      <c r="RR485" s="11"/>
      <c r="RS485" s="11"/>
      <c r="RT485" s="11"/>
      <c r="RU485" s="11"/>
      <c r="RV485" s="11"/>
      <c r="RW485" s="11"/>
      <c r="RX485" s="11"/>
      <c r="RY485" s="11"/>
      <c r="RZ485" s="11"/>
      <c r="SA485" s="11"/>
      <c r="SB485" s="11"/>
      <c r="SC485" s="11"/>
      <c r="SD485" s="11"/>
      <c r="SE485" s="11"/>
      <c r="SF485" s="11"/>
      <c r="SG485" s="11"/>
      <c r="SH485" s="11">
        <v>1</v>
      </c>
    </row>
    <row r="486" spans="1:502" x14ac:dyDescent="0.2">
      <c r="A486" s="10">
        <v>6.5462159503539744E-2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>
        <v>1</v>
      </c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  <c r="GP486" s="11"/>
      <c r="GQ486" s="11"/>
      <c r="GR486" s="11"/>
      <c r="GS486" s="11"/>
      <c r="GT486" s="11"/>
      <c r="GU486" s="11"/>
      <c r="GV486" s="11"/>
      <c r="GW486" s="11"/>
      <c r="GX486" s="11"/>
      <c r="GY486" s="11"/>
      <c r="GZ486" s="11"/>
      <c r="HA486" s="11"/>
      <c r="HB486" s="11"/>
      <c r="HC486" s="11"/>
      <c r="HD486" s="11"/>
      <c r="HE486" s="11"/>
      <c r="HF486" s="11"/>
      <c r="HG486" s="11"/>
      <c r="HH486" s="11"/>
      <c r="HI486" s="11"/>
      <c r="HJ486" s="11"/>
      <c r="HK486" s="11"/>
      <c r="HL486" s="11"/>
      <c r="HM486" s="11"/>
      <c r="HN486" s="11"/>
      <c r="HO486" s="11"/>
      <c r="HP486" s="11"/>
      <c r="HQ486" s="11"/>
      <c r="HR486" s="11"/>
      <c r="HS486" s="11"/>
      <c r="HT486" s="11"/>
      <c r="HU486" s="11"/>
      <c r="HV486" s="11"/>
      <c r="HW486" s="11"/>
      <c r="HX486" s="11"/>
      <c r="HY486" s="11"/>
      <c r="HZ486" s="11"/>
      <c r="IA486" s="11"/>
      <c r="IB486" s="11"/>
      <c r="IC486" s="11"/>
      <c r="ID486" s="11"/>
      <c r="IE486" s="11"/>
      <c r="IF486" s="11"/>
      <c r="IG486" s="11"/>
      <c r="IH486" s="11"/>
      <c r="II486" s="11"/>
      <c r="IJ486" s="11"/>
      <c r="IK486" s="11"/>
      <c r="IL486" s="11"/>
      <c r="IM486" s="11"/>
      <c r="IN486" s="11"/>
      <c r="IO486" s="11"/>
      <c r="IP486" s="11"/>
      <c r="IQ486" s="11"/>
      <c r="IR486" s="11"/>
      <c r="IS486" s="11"/>
      <c r="IT486" s="11"/>
      <c r="IU486" s="11"/>
      <c r="IV486" s="11"/>
      <c r="IW486" s="11"/>
      <c r="IX486" s="11"/>
      <c r="IY486" s="11"/>
      <c r="IZ486" s="11"/>
      <c r="JA486" s="11"/>
      <c r="JB486" s="11"/>
      <c r="JC486" s="11"/>
      <c r="JD486" s="11"/>
      <c r="JE486" s="11"/>
      <c r="JF486" s="11"/>
      <c r="JG486" s="11"/>
      <c r="JH486" s="11"/>
      <c r="JI486" s="11"/>
      <c r="JJ486" s="11"/>
      <c r="JK486" s="11"/>
      <c r="JL486" s="11"/>
      <c r="JM486" s="11"/>
      <c r="JN486" s="11"/>
      <c r="JO486" s="11"/>
      <c r="JP486" s="11"/>
      <c r="JQ486" s="11"/>
      <c r="JR486" s="11"/>
      <c r="JS486" s="11"/>
      <c r="JT486" s="11"/>
      <c r="JU486" s="11"/>
      <c r="JV486" s="11"/>
      <c r="JW486" s="11"/>
      <c r="JX486" s="11"/>
      <c r="JY486" s="11"/>
      <c r="JZ486" s="11"/>
      <c r="KA486" s="11"/>
      <c r="KB486" s="11"/>
      <c r="KC486" s="11"/>
      <c r="KD486" s="11"/>
      <c r="KE486" s="11"/>
      <c r="KF486" s="11"/>
      <c r="KG486" s="11"/>
      <c r="KH486" s="11"/>
      <c r="KI486" s="11"/>
      <c r="KJ486" s="11"/>
      <c r="KK486" s="11"/>
      <c r="KL486" s="11"/>
      <c r="KM486" s="11"/>
      <c r="KN486" s="11"/>
      <c r="KO486" s="11"/>
      <c r="KP486" s="11"/>
      <c r="KQ486" s="11"/>
      <c r="KR486" s="11"/>
      <c r="KS486" s="11"/>
      <c r="KT486" s="11"/>
      <c r="KU486" s="11"/>
      <c r="KV486" s="11"/>
      <c r="KW486" s="11"/>
      <c r="KX486" s="11"/>
      <c r="KY486" s="11"/>
      <c r="KZ486" s="11"/>
      <c r="LA486" s="11"/>
      <c r="LB486" s="11"/>
      <c r="LC486" s="11"/>
      <c r="LD486" s="11"/>
      <c r="LE486" s="11"/>
      <c r="LF486" s="11"/>
      <c r="LG486" s="11"/>
      <c r="LH486" s="11"/>
      <c r="LI486" s="11"/>
      <c r="LJ486" s="11"/>
      <c r="LK486" s="11"/>
      <c r="LL486" s="11"/>
      <c r="LM486" s="11"/>
      <c r="LN486" s="11"/>
      <c r="LO486" s="11"/>
      <c r="LP486" s="11"/>
      <c r="LQ486" s="11"/>
      <c r="LR486" s="11"/>
      <c r="LS486" s="11"/>
      <c r="LT486" s="11"/>
      <c r="LU486" s="11"/>
      <c r="LV486" s="11"/>
      <c r="LW486" s="11"/>
      <c r="LX486" s="11"/>
      <c r="LY486" s="11"/>
      <c r="LZ486" s="11"/>
      <c r="MA486" s="11"/>
      <c r="MB486" s="11"/>
      <c r="MC486" s="11"/>
      <c r="MD486" s="11"/>
      <c r="ME486" s="11"/>
      <c r="MF486" s="11"/>
      <c r="MG486" s="11"/>
      <c r="MH486" s="11"/>
      <c r="MI486" s="11"/>
      <c r="MJ486" s="11"/>
      <c r="MK486" s="11"/>
      <c r="ML486" s="11"/>
      <c r="MM486" s="11"/>
      <c r="MN486" s="11"/>
      <c r="MO486" s="11"/>
      <c r="MP486" s="11"/>
      <c r="MQ486" s="11"/>
      <c r="MR486" s="11"/>
      <c r="MS486" s="11"/>
      <c r="MT486" s="11"/>
      <c r="MU486" s="11"/>
      <c r="MV486" s="11"/>
      <c r="MW486" s="11"/>
      <c r="MX486" s="11"/>
      <c r="MY486" s="11"/>
      <c r="MZ486" s="11"/>
      <c r="NA486" s="11"/>
      <c r="NB486" s="11"/>
      <c r="NC486" s="11"/>
      <c r="ND486" s="11"/>
      <c r="NE486" s="11"/>
      <c r="NF486" s="11"/>
      <c r="NG486" s="11"/>
      <c r="NH486" s="11"/>
      <c r="NI486" s="11"/>
      <c r="NJ486" s="11"/>
      <c r="NK486" s="11"/>
      <c r="NL486" s="11"/>
      <c r="NM486" s="11"/>
      <c r="NN486" s="11"/>
      <c r="NO486" s="11"/>
      <c r="NP486" s="11"/>
      <c r="NQ486" s="11"/>
      <c r="NR486" s="11"/>
      <c r="NS486" s="11"/>
      <c r="NT486" s="11"/>
      <c r="NU486" s="11"/>
      <c r="NV486" s="11"/>
      <c r="NW486" s="11"/>
      <c r="NX486" s="11"/>
      <c r="NY486" s="11"/>
      <c r="NZ486" s="11"/>
      <c r="OA486" s="11"/>
      <c r="OB486" s="11"/>
      <c r="OC486" s="11"/>
      <c r="OD486" s="11"/>
      <c r="OE486" s="11"/>
      <c r="OF486" s="11"/>
      <c r="OG486" s="11"/>
      <c r="OH486" s="11"/>
      <c r="OI486" s="11"/>
      <c r="OJ486" s="11"/>
      <c r="OK486" s="11"/>
      <c r="OL486" s="11"/>
      <c r="OM486" s="11"/>
      <c r="ON486" s="11"/>
      <c r="OO486" s="11"/>
      <c r="OP486" s="11"/>
      <c r="OQ486" s="11"/>
      <c r="OR486" s="11"/>
      <c r="OS486" s="11"/>
      <c r="OT486" s="11"/>
      <c r="OU486" s="11"/>
      <c r="OV486" s="11"/>
      <c r="OW486" s="11"/>
      <c r="OX486" s="11"/>
      <c r="OY486" s="11"/>
      <c r="OZ486" s="11"/>
      <c r="PA486" s="11"/>
      <c r="PB486" s="11"/>
      <c r="PC486" s="11"/>
      <c r="PD486" s="11"/>
      <c r="PE486" s="11"/>
      <c r="PF486" s="11"/>
      <c r="PG486" s="11"/>
      <c r="PH486" s="11"/>
      <c r="PI486" s="11"/>
      <c r="PJ486" s="11"/>
      <c r="PK486" s="11"/>
      <c r="PL486" s="11"/>
      <c r="PM486" s="11"/>
      <c r="PN486" s="11"/>
      <c r="PO486" s="11"/>
      <c r="PP486" s="11"/>
      <c r="PQ486" s="11"/>
      <c r="PR486" s="11"/>
      <c r="PS486" s="11"/>
      <c r="PT486" s="11"/>
      <c r="PU486" s="11"/>
      <c r="PV486" s="11"/>
      <c r="PW486" s="11"/>
      <c r="PX486" s="11"/>
      <c r="PY486" s="11"/>
      <c r="PZ486" s="11"/>
      <c r="QA486" s="11"/>
      <c r="QB486" s="11"/>
      <c r="QC486" s="11"/>
      <c r="QD486" s="11"/>
      <c r="QE486" s="11"/>
      <c r="QF486" s="11"/>
      <c r="QG486" s="11"/>
      <c r="QH486" s="11"/>
      <c r="QI486" s="11"/>
      <c r="QJ486" s="11"/>
      <c r="QK486" s="11"/>
      <c r="QL486" s="11"/>
      <c r="QM486" s="11"/>
      <c r="QN486" s="11"/>
      <c r="QO486" s="11"/>
      <c r="QP486" s="11"/>
      <c r="QQ486" s="11"/>
      <c r="QR486" s="11"/>
      <c r="QS486" s="11"/>
      <c r="QT486" s="11"/>
      <c r="QU486" s="11"/>
      <c r="QV486" s="11"/>
      <c r="QW486" s="11"/>
      <c r="QX486" s="11"/>
      <c r="QY486" s="11"/>
      <c r="QZ486" s="11"/>
      <c r="RA486" s="11"/>
      <c r="RB486" s="11"/>
      <c r="RC486" s="11"/>
      <c r="RD486" s="11"/>
      <c r="RE486" s="11"/>
      <c r="RF486" s="11"/>
      <c r="RG486" s="11"/>
      <c r="RH486" s="11"/>
      <c r="RI486" s="11"/>
      <c r="RJ486" s="11"/>
      <c r="RK486" s="11"/>
      <c r="RL486" s="11"/>
      <c r="RM486" s="11"/>
      <c r="RN486" s="11"/>
      <c r="RO486" s="11"/>
      <c r="RP486" s="11"/>
      <c r="RQ486" s="11"/>
      <c r="RR486" s="11"/>
      <c r="RS486" s="11"/>
      <c r="RT486" s="11"/>
      <c r="RU486" s="11"/>
      <c r="RV486" s="11"/>
      <c r="RW486" s="11"/>
      <c r="RX486" s="11"/>
      <c r="RY486" s="11"/>
      <c r="RZ486" s="11"/>
      <c r="SA486" s="11"/>
      <c r="SB486" s="11"/>
      <c r="SC486" s="11"/>
      <c r="SD486" s="11"/>
      <c r="SE486" s="11"/>
      <c r="SF486" s="11"/>
      <c r="SG486" s="11"/>
      <c r="SH486" s="11">
        <v>1</v>
      </c>
    </row>
    <row r="487" spans="1:502" x14ac:dyDescent="0.2">
      <c r="A487" s="10">
        <v>6.6755064440837841E-2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  <c r="GP487" s="11"/>
      <c r="GQ487" s="11"/>
      <c r="GR487" s="11"/>
      <c r="GS487" s="11"/>
      <c r="GT487" s="11"/>
      <c r="GU487" s="11"/>
      <c r="GV487" s="11"/>
      <c r="GW487" s="11"/>
      <c r="GX487" s="11"/>
      <c r="GY487" s="11"/>
      <c r="GZ487" s="11"/>
      <c r="HA487" s="11"/>
      <c r="HB487" s="11"/>
      <c r="HC487" s="11"/>
      <c r="HD487" s="11"/>
      <c r="HE487" s="11"/>
      <c r="HF487" s="11"/>
      <c r="HG487" s="11"/>
      <c r="HH487" s="11"/>
      <c r="HI487" s="11"/>
      <c r="HJ487" s="11"/>
      <c r="HK487" s="11"/>
      <c r="HL487" s="11"/>
      <c r="HM487" s="11"/>
      <c r="HN487" s="11"/>
      <c r="HO487" s="11"/>
      <c r="HP487" s="11"/>
      <c r="HQ487" s="11"/>
      <c r="HR487" s="11"/>
      <c r="HS487" s="11"/>
      <c r="HT487" s="11"/>
      <c r="HU487" s="11"/>
      <c r="HV487" s="11"/>
      <c r="HW487" s="11"/>
      <c r="HX487" s="11"/>
      <c r="HY487" s="11"/>
      <c r="HZ487" s="11"/>
      <c r="IA487" s="11"/>
      <c r="IB487" s="11"/>
      <c r="IC487" s="11"/>
      <c r="ID487" s="11"/>
      <c r="IE487" s="11"/>
      <c r="IF487" s="11"/>
      <c r="IG487" s="11"/>
      <c r="IH487" s="11"/>
      <c r="II487" s="11"/>
      <c r="IJ487" s="11"/>
      <c r="IK487" s="11"/>
      <c r="IL487" s="11"/>
      <c r="IM487" s="11"/>
      <c r="IN487" s="11"/>
      <c r="IO487" s="11"/>
      <c r="IP487" s="11"/>
      <c r="IQ487" s="11"/>
      <c r="IR487" s="11"/>
      <c r="IS487" s="11"/>
      <c r="IT487" s="11"/>
      <c r="IU487" s="11"/>
      <c r="IV487" s="11"/>
      <c r="IW487" s="11"/>
      <c r="IX487" s="11"/>
      <c r="IY487" s="11"/>
      <c r="IZ487" s="11"/>
      <c r="JA487" s="11"/>
      <c r="JB487" s="11"/>
      <c r="JC487" s="11"/>
      <c r="JD487" s="11"/>
      <c r="JE487" s="11"/>
      <c r="JF487" s="11"/>
      <c r="JG487" s="11"/>
      <c r="JH487" s="11"/>
      <c r="JI487" s="11"/>
      <c r="JJ487" s="11"/>
      <c r="JK487" s="11"/>
      <c r="JL487" s="11"/>
      <c r="JM487" s="11"/>
      <c r="JN487" s="11"/>
      <c r="JO487" s="11"/>
      <c r="JP487" s="11"/>
      <c r="JQ487" s="11"/>
      <c r="JR487" s="11"/>
      <c r="JS487" s="11"/>
      <c r="JT487" s="11"/>
      <c r="JU487" s="11"/>
      <c r="JV487" s="11"/>
      <c r="JW487" s="11"/>
      <c r="JX487" s="11"/>
      <c r="JY487" s="11"/>
      <c r="JZ487" s="11"/>
      <c r="KA487" s="11"/>
      <c r="KB487" s="11"/>
      <c r="KC487" s="11"/>
      <c r="KD487" s="11"/>
      <c r="KE487" s="11"/>
      <c r="KF487" s="11"/>
      <c r="KG487" s="11"/>
      <c r="KH487" s="11"/>
      <c r="KI487" s="11"/>
      <c r="KJ487" s="11"/>
      <c r="KK487" s="11"/>
      <c r="KL487" s="11"/>
      <c r="KM487" s="11"/>
      <c r="KN487" s="11"/>
      <c r="KO487" s="11"/>
      <c r="KP487" s="11"/>
      <c r="KQ487" s="11"/>
      <c r="KR487" s="11"/>
      <c r="KS487" s="11"/>
      <c r="KT487" s="11"/>
      <c r="KU487" s="11"/>
      <c r="KV487" s="11"/>
      <c r="KW487" s="11"/>
      <c r="KX487" s="11"/>
      <c r="KY487" s="11"/>
      <c r="KZ487" s="11"/>
      <c r="LA487" s="11"/>
      <c r="LB487" s="11"/>
      <c r="LC487" s="11"/>
      <c r="LD487" s="11"/>
      <c r="LE487" s="11"/>
      <c r="LF487" s="11"/>
      <c r="LG487" s="11"/>
      <c r="LH487" s="11"/>
      <c r="LI487" s="11"/>
      <c r="LJ487" s="11"/>
      <c r="LK487" s="11"/>
      <c r="LL487" s="11"/>
      <c r="LM487" s="11"/>
      <c r="LN487" s="11"/>
      <c r="LO487" s="11"/>
      <c r="LP487" s="11"/>
      <c r="LQ487" s="11"/>
      <c r="LR487" s="11"/>
      <c r="LS487" s="11"/>
      <c r="LT487" s="11"/>
      <c r="LU487" s="11"/>
      <c r="LV487" s="11"/>
      <c r="LW487" s="11"/>
      <c r="LX487" s="11"/>
      <c r="LY487" s="11"/>
      <c r="LZ487" s="11"/>
      <c r="MA487" s="11"/>
      <c r="MB487" s="11"/>
      <c r="MC487" s="11"/>
      <c r="MD487" s="11"/>
      <c r="ME487" s="11"/>
      <c r="MF487" s="11"/>
      <c r="MG487" s="11"/>
      <c r="MH487" s="11"/>
      <c r="MI487" s="11"/>
      <c r="MJ487" s="11"/>
      <c r="MK487" s="11"/>
      <c r="ML487" s="11"/>
      <c r="MM487" s="11"/>
      <c r="MN487" s="11"/>
      <c r="MO487" s="11"/>
      <c r="MP487" s="11"/>
      <c r="MQ487" s="11"/>
      <c r="MR487" s="11"/>
      <c r="MS487" s="11"/>
      <c r="MT487" s="11"/>
      <c r="MU487" s="11"/>
      <c r="MV487" s="11"/>
      <c r="MW487" s="11"/>
      <c r="MX487" s="11"/>
      <c r="MY487" s="11"/>
      <c r="MZ487" s="11"/>
      <c r="NA487" s="11">
        <v>1</v>
      </c>
      <c r="NB487" s="11"/>
      <c r="NC487" s="11"/>
      <c r="ND487" s="11"/>
      <c r="NE487" s="11"/>
      <c r="NF487" s="11"/>
      <c r="NG487" s="11"/>
      <c r="NH487" s="11"/>
      <c r="NI487" s="11"/>
      <c r="NJ487" s="11"/>
      <c r="NK487" s="11"/>
      <c r="NL487" s="11"/>
      <c r="NM487" s="11"/>
      <c r="NN487" s="11"/>
      <c r="NO487" s="11"/>
      <c r="NP487" s="11"/>
      <c r="NQ487" s="11"/>
      <c r="NR487" s="11"/>
      <c r="NS487" s="11"/>
      <c r="NT487" s="11"/>
      <c r="NU487" s="11"/>
      <c r="NV487" s="11"/>
      <c r="NW487" s="11"/>
      <c r="NX487" s="11"/>
      <c r="NY487" s="11"/>
      <c r="NZ487" s="11"/>
      <c r="OA487" s="11"/>
      <c r="OB487" s="11"/>
      <c r="OC487" s="11"/>
      <c r="OD487" s="11"/>
      <c r="OE487" s="11"/>
      <c r="OF487" s="11"/>
      <c r="OG487" s="11"/>
      <c r="OH487" s="11"/>
      <c r="OI487" s="11"/>
      <c r="OJ487" s="11"/>
      <c r="OK487" s="11"/>
      <c r="OL487" s="11"/>
      <c r="OM487" s="11"/>
      <c r="ON487" s="11"/>
      <c r="OO487" s="11"/>
      <c r="OP487" s="11"/>
      <c r="OQ487" s="11"/>
      <c r="OR487" s="11"/>
      <c r="OS487" s="11"/>
      <c r="OT487" s="11"/>
      <c r="OU487" s="11"/>
      <c r="OV487" s="11"/>
      <c r="OW487" s="11"/>
      <c r="OX487" s="11"/>
      <c r="OY487" s="11"/>
      <c r="OZ487" s="11"/>
      <c r="PA487" s="11"/>
      <c r="PB487" s="11"/>
      <c r="PC487" s="11"/>
      <c r="PD487" s="11"/>
      <c r="PE487" s="11"/>
      <c r="PF487" s="11"/>
      <c r="PG487" s="11"/>
      <c r="PH487" s="11"/>
      <c r="PI487" s="11"/>
      <c r="PJ487" s="11"/>
      <c r="PK487" s="11"/>
      <c r="PL487" s="11"/>
      <c r="PM487" s="11"/>
      <c r="PN487" s="11"/>
      <c r="PO487" s="11"/>
      <c r="PP487" s="11"/>
      <c r="PQ487" s="11"/>
      <c r="PR487" s="11"/>
      <c r="PS487" s="11"/>
      <c r="PT487" s="11"/>
      <c r="PU487" s="11"/>
      <c r="PV487" s="11"/>
      <c r="PW487" s="11"/>
      <c r="PX487" s="11"/>
      <c r="PY487" s="11"/>
      <c r="PZ487" s="11"/>
      <c r="QA487" s="11"/>
      <c r="QB487" s="11"/>
      <c r="QC487" s="11"/>
      <c r="QD487" s="11"/>
      <c r="QE487" s="11"/>
      <c r="QF487" s="11"/>
      <c r="QG487" s="11"/>
      <c r="QH487" s="11"/>
      <c r="QI487" s="11"/>
      <c r="QJ487" s="11"/>
      <c r="QK487" s="11"/>
      <c r="QL487" s="11"/>
      <c r="QM487" s="11"/>
      <c r="QN487" s="11"/>
      <c r="QO487" s="11"/>
      <c r="QP487" s="11"/>
      <c r="QQ487" s="11"/>
      <c r="QR487" s="11"/>
      <c r="QS487" s="11"/>
      <c r="QT487" s="11"/>
      <c r="QU487" s="11"/>
      <c r="QV487" s="11"/>
      <c r="QW487" s="11"/>
      <c r="QX487" s="11"/>
      <c r="QY487" s="11"/>
      <c r="QZ487" s="11"/>
      <c r="RA487" s="11"/>
      <c r="RB487" s="11"/>
      <c r="RC487" s="11"/>
      <c r="RD487" s="11"/>
      <c r="RE487" s="11"/>
      <c r="RF487" s="11"/>
      <c r="RG487" s="11"/>
      <c r="RH487" s="11"/>
      <c r="RI487" s="11"/>
      <c r="RJ487" s="11"/>
      <c r="RK487" s="11"/>
      <c r="RL487" s="11"/>
      <c r="RM487" s="11"/>
      <c r="RN487" s="11"/>
      <c r="RO487" s="11"/>
      <c r="RP487" s="11"/>
      <c r="RQ487" s="11"/>
      <c r="RR487" s="11"/>
      <c r="RS487" s="11"/>
      <c r="RT487" s="11"/>
      <c r="RU487" s="11"/>
      <c r="RV487" s="11"/>
      <c r="RW487" s="11"/>
      <c r="RX487" s="11"/>
      <c r="RY487" s="11"/>
      <c r="RZ487" s="11"/>
      <c r="SA487" s="11"/>
      <c r="SB487" s="11"/>
      <c r="SC487" s="11"/>
      <c r="SD487" s="11"/>
      <c r="SE487" s="11"/>
      <c r="SF487" s="11"/>
      <c r="SG487" s="11"/>
      <c r="SH487" s="11">
        <v>1</v>
      </c>
    </row>
    <row r="488" spans="1:502" x14ac:dyDescent="0.2">
      <c r="A488" s="10">
        <v>6.8165274143377835E-2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>
        <v>1</v>
      </c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  <c r="GP488" s="11"/>
      <c r="GQ488" s="11"/>
      <c r="GR488" s="11"/>
      <c r="GS488" s="11"/>
      <c r="GT488" s="11"/>
      <c r="GU488" s="11"/>
      <c r="GV488" s="11"/>
      <c r="GW488" s="11"/>
      <c r="GX488" s="11"/>
      <c r="GY488" s="11"/>
      <c r="GZ488" s="11"/>
      <c r="HA488" s="11"/>
      <c r="HB488" s="11"/>
      <c r="HC488" s="11"/>
      <c r="HD488" s="11"/>
      <c r="HE488" s="11"/>
      <c r="HF488" s="11"/>
      <c r="HG488" s="11"/>
      <c r="HH488" s="11"/>
      <c r="HI488" s="11"/>
      <c r="HJ488" s="11"/>
      <c r="HK488" s="11"/>
      <c r="HL488" s="11"/>
      <c r="HM488" s="11"/>
      <c r="HN488" s="11"/>
      <c r="HO488" s="11"/>
      <c r="HP488" s="11"/>
      <c r="HQ488" s="11"/>
      <c r="HR488" s="11"/>
      <c r="HS488" s="11"/>
      <c r="HT488" s="11"/>
      <c r="HU488" s="11"/>
      <c r="HV488" s="11"/>
      <c r="HW488" s="11"/>
      <c r="HX488" s="11"/>
      <c r="HY488" s="11"/>
      <c r="HZ488" s="11"/>
      <c r="IA488" s="11"/>
      <c r="IB488" s="11"/>
      <c r="IC488" s="11"/>
      <c r="ID488" s="11"/>
      <c r="IE488" s="11"/>
      <c r="IF488" s="11"/>
      <c r="IG488" s="11"/>
      <c r="IH488" s="11"/>
      <c r="II488" s="11"/>
      <c r="IJ488" s="11"/>
      <c r="IK488" s="11"/>
      <c r="IL488" s="11"/>
      <c r="IM488" s="11"/>
      <c r="IN488" s="11"/>
      <c r="IO488" s="11"/>
      <c r="IP488" s="11"/>
      <c r="IQ488" s="11"/>
      <c r="IR488" s="11"/>
      <c r="IS488" s="11"/>
      <c r="IT488" s="11"/>
      <c r="IU488" s="11"/>
      <c r="IV488" s="11"/>
      <c r="IW488" s="11"/>
      <c r="IX488" s="11"/>
      <c r="IY488" s="11"/>
      <c r="IZ488" s="11"/>
      <c r="JA488" s="11"/>
      <c r="JB488" s="11"/>
      <c r="JC488" s="11"/>
      <c r="JD488" s="11"/>
      <c r="JE488" s="11"/>
      <c r="JF488" s="11"/>
      <c r="JG488" s="11"/>
      <c r="JH488" s="11"/>
      <c r="JI488" s="11"/>
      <c r="JJ488" s="11"/>
      <c r="JK488" s="11"/>
      <c r="JL488" s="11"/>
      <c r="JM488" s="11"/>
      <c r="JN488" s="11"/>
      <c r="JO488" s="11"/>
      <c r="JP488" s="11"/>
      <c r="JQ488" s="11"/>
      <c r="JR488" s="11"/>
      <c r="JS488" s="11"/>
      <c r="JT488" s="11"/>
      <c r="JU488" s="11"/>
      <c r="JV488" s="11"/>
      <c r="JW488" s="11"/>
      <c r="JX488" s="11"/>
      <c r="JY488" s="11"/>
      <c r="JZ488" s="11"/>
      <c r="KA488" s="11"/>
      <c r="KB488" s="11"/>
      <c r="KC488" s="11"/>
      <c r="KD488" s="11"/>
      <c r="KE488" s="11"/>
      <c r="KF488" s="11"/>
      <c r="KG488" s="11"/>
      <c r="KH488" s="11"/>
      <c r="KI488" s="11"/>
      <c r="KJ488" s="11"/>
      <c r="KK488" s="11"/>
      <c r="KL488" s="11"/>
      <c r="KM488" s="11"/>
      <c r="KN488" s="11"/>
      <c r="KO488" s="11"/>
      <c r="KP488" s="11"/>
      <c r="KQ488" s="11"/>
      <c r="KR488" s="11"/>
      <c r="KS488" s="11"/>
      <c r="KT488" s="11"/>
      <c r="KU488" s="11"/>
      <c r="KV488" s="11"/>
      <c r="KW488" s="11"/>
      <c r="KX488" s="11"/>
      <c r="KY488" s="11"/>
      <c r="KZ488" s="11"/>
      <c r="LA488" s="11"/>
      <c r="LB488" s="11"/>
      <c r="LC488" s="11"/>
      <c r="LD488" s="11"/>
      <c r="LE488" s="11"/>
      <c r="LF488" s="11"/>
      <c r="LG488" s="11"/>
      <c r="LH488" s="11"/>
      <c r="LI488" s="11"/>
      <c r="LJ488" s="11"/>
      <c r="LK488" s="11"/>
      <c r="LL488" s="11"/>
      <c r="LM488" s="11"/>
      <c r="LN488" s="11"/>
      <c r="LO488" s="11"/>
      <c r="LP488" s="11"/>
      <c r="LQ488" s="11"/>
      <c r="LR488" s="11"/>
      <c r="LS488" s="11"/>
      <c r="LT488" s="11"/>
      <c r="LU488" s="11"/>
      <c r="LV488" s="11"/>
      <c r="LW488" s="11"/>
      <c r="LX488" s="11"/>
      <c r="LY488" s="11"/>
      <c r="LZ488" s="11"/>
      <c r="MA488" s="11"/>
      <c r="MB488" s="11"/>
      <c r="MC488" s="11"/>
      <c r="MD488" s="11"/>
      <c r="ME488" s="11"/>
      <c r="MF488" s="11"/>
      <c r="MG488" s="11"/>
      <c r="MH488" s="11"/>
      <c r="MI488" s="11"/>
      <c r="MJ488" s="11"/>
      <c r="MK488" s="11"/>
      <c r="ML488" s="11"/>
      <c r="MM488" s="11"/>
      <c r="MN488" s="11"/>
      <c r="MO488" s="11"/>
      <c r="MP488" s="11"/>
      <c r="MQ488" s="11"/>
      <c r="MR488" s="11"/>
      <c r="MS488" s="11"/>
      <c r="MT488" s="11"/>
      <c r="MU488" s="11"/>
      <c r="MV488" s="11"/>
      <c r="MW488" s="11"/>
      <c r="MX488" s="11"/>
      <c r="MY488" s="11"/>
      <c r="MZ488" s="11"/>
      <c r="NA488" s="11"/>
      <c r="NB488" s="11"/>
      <c r="NC488" s="11"/>
      <c r="ND488" s="11"/>
      <c r="NE488" s="11"/>
      <c r="NF488" s="11"/>
      <c r="NG488" s="11"/>
      <c r="NH488" s="11"/>
      <c r="NI488" s="11"/>
      <c r="NJ488" s="11"/>
      <c r="NK488" s="11"/>
      <c r="NL488" s="11"/>
      <c r="NM488" s="11"/>
      <c r="NN488" s="11"/>
      <c r="NO488" s="11"/>
      <c r="NP488" s="11"/>
      <c r="NQ488" s="11"/>
      <c r="NR488" s="11"/>
      <c r="NS488" s="11"/>
      <c r="NT488" s="11"/>
      <c r="NU488" s="11"/>
      <c r="NV488" s="11"/>
      <c r="NW488" s="11"/>
      <c r="NX488" s="11"/>
      <c r="NY488" s="11"/>
      <c r="NZ488" s="11"/>
      <c r="OA488" s="11"/>
      <c r="OB488" s="11"/>
      <c r="OC488" s="11"/>
      <c r="OD488" s="11"/>
      <c r="OE488" s="11"/>
      <c r="OF488" s="11"/>
      <c r="OG488" s="11"/>
      <c r="OH488" s="11"/>
      <c r="OI488" s="11"/>
      <c r="OJ488" s="11"/>
      <c r="OK488" s="11"/>
      <c r="OL488" s="11"/>
      <c r="OM488" s="11"/>
      <c r="ON488" s="11"/>
      <c r="OO488" s="11"/>
      <c r="OP488" s="11"/>
      <c r="OQ488" s="11"/>
      <c r="OR488" s="11"/>
      <c r="OS488" s="11"/>
      <c r="OT488" s="11"/>
      <c r="OU488" s="11"/>
      <c r="OV488" s="11"/>
      <c r="OW488" s="11"/>
      <c r="OX488" s="11"/>
      <c r="OY488" s="11"/>
      <c r="OZ488" s="11"/>
      <c r="PA488" s="11"/>
      <c r="PB488" s="11"/>
      <c r="PC488" s="11"/>
      <c r="PD488" s="11"/>
      <c r="PE488" s="11"/>
      <c r="PF488" s="11"/>
      <c r="PG488" s="11"/>
      <c r="PH488" s="11"/>
      <c r="PI488" s="11"/>
      <c r="PJ488" s="11"/>
      <c r="PK488" s="11"/>
      <c r="PL488" s="11"/>
      <c r="PM488" s="11"/>
      <c r="PN488" s="11"/>
      <c r="PO488" s="11"/>
      <c r="PP488" s="11"/>
      <c r="PQ488" s="11"/>
      <c r="PR488" s="11"/>
      <c r="PS488" s="11"/>
      <c r="PT488" s="11"/>
      <c r="PU488" s="11"/>
      <c r="PV488" s="11"/>
      <c r="PW488" s="11"/>
      <c r="PX488" s="11"/>
      <c r="PY488" s="11"/>
      <c r="PZ488" s="11"/>
      <c r="QA488" s="11"/>
      <c r="QB488" s="11"/>
      <c r="QC488" s="11"/>
      <c r="QD488" s="11"/>
      <c r="QE488" s="11"/>
      <c r="QF488" s="11"/>
      <c r="QG488" s="11"/>
      <c r="QH488" s="11"/>
      <c r="QI488" s="11"/>
      <c r="QJ488" s="11"/>
      <c r="QK488" s="11"/>
      <c r="QL488" s="11"/>
      <c r="QM488" s="11"/>
      <c r="QN488" s="11"/>
      <c r="QO488" s="11"/>
      <c r="QP488" s="11"/>
      <c r="QQ488" s="11"/>
      <c r="QR488" s="11"/>
      <c r="QS488" s="11"/>
      <c r="QT488" s="11"/>
      <c r="QU488" s="11"/>
      <c r="QV488" s="11"/>
      <c r="QW488" s="11"/>
      <c r="QX488" s="11"/>
      <c r="QY488" s="11"/>
      <c r="QZ488" s="11"/>
      <c r="RA488" s="11"/>
      <c r="RB488" s="11"/>
      <c r="RC488" s="11"/>
      <c r="RD488" s="11"/>
      <c r="RE488" s="11"/>
      <c r="RF488" s="11"/>
      <c r="RG488" s="11"/>
      <c r="RH488" s="11"/>
      <c r="RI488" s="11"/>
      <c r="RJ488" s="11"/>
      <c r="RK488" s="11"/>
      <c r="RL488" s="11"/>
      <c r="RM488" s="11"/>
      <c r="RN488" s="11"/>
      <c r="RO488" s="11"/>
      <c r="RP488" s="11"/>
      <c r="RQ488" s="11"/>
      <c r="RR488" s="11"/>
      <c r="RS488" s="11"/>
      <c r="RT488" s="11"/>
      <c r="RU488" s="11"/>
      <c r="RV488" s="11"/>
      <c r="RW488" s="11"/>
      <c r="RX488" s="11"/>
      <c r="RY488" s="11"/>
      <c r="RZ488" s="11"/>
      <c r="SA488" s="11"/>
      <c r="SB488" s="11"/>
      <c r="SC488" s="11"/>
      <c r="SD488" s="11"/>
      <c r="SE488" s="11"/>
      <c r="SF488" s="11"/>
      <c r="SG488" s="11"/>
      <c r="SH488" s="11">
        <v>1</v>
      </c>
    </row>
    <row r="489" spans="1:502" x14ac:dyDescent="0.2">
      <c r="A489" s="10">
        <v>6.9371003656005334E-2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1"/>
      <c r="FW489" s="11"/>
      <c r="FX489" s="11"/>
      <c r="FY489" s="11"/>
      <c r="FZ489" s="11"/>
      <c r="GA489" s="11"/>
      <c r="GB489" s="11"/>
      <c r="GC489" s="11"/>
      <c r="GD489" s="11"/>
      <c r="GE489" s="11"/>
      <c r="GF489" s="11"/>
      <c r="GG489" s="11"/>
      <c r="GH489" s="11"/>
      <c r="GI489" s="11"/>
      <c r="GJ489" s="11"/>
      <c r="GK489" s="11"/>
      <c r="GL489" s="11"/>
      <c r="GM489" s="11"/>
      <c r="GN489" s="11"/>
      <c r="GO489" s="11"/>
      <c r="GP489" s="11"/>
      <c r="GQ489" s="11"/>
      <c r="GR489" s="11"/>
      <c r="GS489" s="11"/>
      <c r="GT489" s="11"/>
      <c r="GU489" s="11"/>
      <c r="GV489" s="11"/>
      <c r="GW489" s="11"/>
      <c r="GX489" s="11"/>
      <c r="GY489" s="11"/>
      <c r="GZ489" s="11"/>
      <c r="HA489" s="11"/>
      <c r="HB489" s="11"/>
      <c r="HC489" s="11"/>
      <c r="HD489" s="11"/>
      <c r="HE489" s="11"/>
      <c r="HF489" s="11"/>
      <c r="HG489" s="11"/>
      <c r="HH489" s="11"/>
      <c r="HI489" s="11"/>
      <c r="HJ489" s="11"/>
      <c r="HK489" s="11"/>
      <c r="HL489" s="11"/>
      <c r="HM489" s="11"/>
      <c r="HN489" s="11"/>
      <c r="HO489" s="11"/>
      <c r="HP489" s="11"/>
      <c r="HQ489" s="11"/>
      <c r="HR489" s="11"/>
      <c r="HS489" s="11"/>
      <c r="HT489" s="11"/>
      <c r="HU489" s="11"/>
      <c r="HV489" s="11"/>
      <c r="HW489" s="11"/>
      <c r="HX489" s="11"/>
      <c r="HY489" s="11"/>
      <c r="HZ489" s="11"/>
      <c r="IA489" s="11"/>
      <c r="IB489" s="11"/>
      <c r="IC489" s="11"/>
      <c r="ID489" s="11"/>
      <c r="IE489" s="11"/>
      <c r="IF489" s="11"/>
      <c r="IG489" s="11"/>
      <c r="IH489" s="11">
        <v>1</v>
      </c>
      <c r="II489" s="11"/>
      <c r="IJ489" s="11"/>
      <c r="IK489" s="11"/>
      <c r="IL489" s="11"/>
      <c r="IM489" s="11"/>
      <c r="IN489" s="11"/>
      <c r="IO489" s="11"/>
      <c r="IP489" s="11"/>
      <c r="IQ489" s="11"/>
      <c r="IR489" s="11"/>
      <c r="IS489" s="11"/>
      <c r="IT489" s="11"/>
      <c r="IU489" s="11"/>
      <c r="IV489" s="11"/>
      <c r="IW489" s="11"/>
      <c r="IX489" s="11"/>
      <c r="IY489" s="11"/>
      <c r="IZ489" s="11"/>
      <c r="JA489" s="11"/>
      <c r="JB489" s="11"/>
      <c r="JC489" s="11"/>
      <c r="JD489" s="11"/>
      <c r="JE489" s="11"/>
      <c r="JF489" s="11"/>
      <c r="JG489" s="11"/>
      <c r="JH489" s="11"/>
      <c r="JI489" s="11"/>
      <c r="JJ489" s="11"/>
      <c r="JK489" s="11"/>
      <c r="JL489" s="11"/>
      <c r="JM489" s="11"/>
      <c r="JN489" s="11"/>
      <c r="JO489" s="11"/>
      <c r="JP489" s="11"/>
      <c r="JQ489" s="11"/>
      <c r="JR489" s="11"/>
      <c r="JS489" s="11"/>
      <c r="JT489" s="11"/>
      <c r="JU489" s="11"/>
      <c r="JV489" s="11"/>
      <c r="JW489" s="11"/>
      <c r="JX489" s="11"/>
      <c r="JY489" s="11"/>
      <c r="JZ489" s="11"/>
      <c r="KA489" s="11"/>
      <c r="KB489" s="11"/>
      <c r="KC489" s="11"/>
      <c r="KD489" s="11"/>
      <c r="KE489" s="11"/>
      <c r="KF489" s="11"/>
      <c r="KG489" s="11"/>
      <c r="KH489" s="11"/>
      <c r="KI489" s="11"/>
      <c r="KJ489" s="11"/>
      <c r="KK489" s="11"/>
      <c r="KL489" s="11"/>
      <c r="KM489" s="11"/>
      <c r="KN489" s="11"/>
      <c r="KO489" s="11"/>
      <c r="KP489" s="11"/>
      <c r="KQ489" s="11"/>
      <c r="KR489" s="11"/>
      <c r="KS489" s="11"/>
      <c r="KT489" s="11"/>
      <c r="KU489" s="11"/>
      <c r="KV489" s="11"/>
      <c r="KW489" s="11"/>
      <c r="KX489" s="11"/>
      <c r="KY489" s="11"/>
      <c r="KZ489" s="11"/>
      <c r="LA489" s="11"/>
      <c r="LB489" s="11"/>
      <c r="LC489" s="11"/>
      <c r="LD489" s="11"/>
      <c r="LE489" s="11"/>
      <c r="LF489" s="11"/>
      <c r="LG489" s="11"/>
      <c r="LH489" s="11"/>
      <c r="LI489" s="11"/>
      <c r="LJ489" s="11"/>
      <c r="LK489" s="11"/>
      <c r="LL489" s="11"/>
      <c r="LM489" s="11"/>
      <c r="LN489" s="11"/>
      <c r="LO489" s="11"/>
      <c r="LP489" s="11"/>
      <c r="LQ489" s="11"/>
      <c r="LR489" s="11"/>
      <c r="LS489" s="11"/>
      <c r="LT489" s="11"/>
      <c r="LU489" s="11"/>
      <c r="LV489" s="11"/>
      <c r="LW489" s="11"/>
      <c r="LX489" s="11"/>
      <c r="LY489" s="11"/>
      <c r="LZ489" s="11"/>
      <c r="MA489" s="11"/>
      <c r="MB489" s="11"/>
      <c r="MC489" s="11"/>
      <c r="MD489" s="11"/>
      <c r="ME489" s="11"/>
      <c r="MF489" s="11"/>
      <c r="MG489" s="11"/>
      <c r="MH489" s="11"/>
      <c r="MI489" s="11"/>
      <c r="MJ489" s="11"/>
      <c r="MK489" s="11"/>
      <c r="ML489" s="11"/>
      <c r="MM489" s="11"/>
      <c r="MN489" s="11"/>
      <c r="MO489" s="11"/>
      <c r="MP489" s="11"/>
      <c r="MQ489" s="11"/>
      <c r="MR489" s="11"/>
      <c r="MS489" s="11"/>
      <c r="MT489" s="11"/>
      <c r="MU489" s="11"/>
      <c r="MV489" s="11"/>
      <c r="MW489" s="11"/>
      <c r="MX489" s="11"/>
      <c r="MY489" s="11"/>
      <c r="MZ489" s="11"/>
      <c r="NA489" s="11"/>
      <c r="NB489" s="11"/>
      <c r="NC489" s="11"/>
      <c r="ND489" s="11"/>
      <c r="NE489" s="11"/>
      <c r="NF489" s="11"/>
      <c r="NG489" s="11"/>
      <c r="NH489" s="11"/>
      <c r="NI489" s="11"/>
      <c r="NJ489" s="11"/>
      <c r="NK489" s="11"/>
      <c r="NL489" s="11"/>
      <c r="NM489" s="11"/>
      <c r="NN489" s="11"/>
      <c r="NO489" s="11"/>
      <c r="NP489" s="11"/>
      <c r="NQ489" s="11"/>
      <c r="NR489" s="11"/>
      <c r="NS489" s="11"/>
      <c r="NT489" s="11"/>
      <c r="NU489" s="11"/>
      <c r="NV489" s="11"/>
      <c r="NW489" s="11"/>
      <c r="NX489" s="11"/>
      <c r="NY489" s="11"/>
      <c r="NZ489" s="11"/>
      <c r="OA489" s="11"/>
      <c r="OB489" s="11"/>
      <c r="OC489" s="11"/>
      <c r="OD489" s="11"/>
      <c r="OE489" s="11"/>
      <c r="OF489" s="11"/>
      <c r="OG489" s="11"/>
      <c r="OH489" s="11"/>
      <c r="OI489" s="11"/>
      <c r="OJ489" s="11"/>
      <c r="OK489" s="11"/>
      <c r="OL489" s="11"/>
      <c r="OM489" s="11"/>
      <c r="ON489" s="11"/>
      <c r="OO489" s="11"/>
      <c r="OP489" s="11"/>
      <c r="OQ489" s="11"/>
      <c r="OR489" s="11"/>
      <c r="OS489" s="11"/>
      <c r="OT489" s="11"/>
      <c r="OU489" s="11"/>
      <c r="OV489" s="11"/>
      <c r="OW489" s="11"/>
      <c r="OX489" s="11"/>
      <c r="OY489" s="11"/>
      <c r="OZ489" s="11"/>
      <c r="PA489" s="11"/>
      <c r="PB489" s="11"/>
      <c r="PC489" s="11"/>
      <c r="PD489" s="11"/>
      <c r="PE489" s="11"/>
      <c r="PF489" s="11"/>
      <c r="PG489" s="11"/>
      <c r="PH489" s="11"/>
      <c r="PI489" s="11"/>
      <c r="PJ489" s="11"/>
      <c r="PK489" s="11"/>
      <c r="PL489" s="11"/>
      <c r="PM489" s="11"/>
      <c r="PN489" s="11"/>
      <c r="PO489" s="11"/>
      <c r="PP489" s="11"/>
      <c r="PQ489" s="11"/>
      <c r="PR489" s="11"/>
      <c r="PS489" s="11"/>
      <c r="PT489" s="11"/>
      <c r="PU489" s="11"/>
      <c r="PV489" s="11"/>
      <c r="PW489" s="11"/>
      <c r="PX489" s="11"/>
      <c r="PY489" s="11"/>
      <c r="PZ489" s="11"/>
      <c r="QA489" s="11"/>
      <c r="QB489" s="11"/>
      <c r="QC489" s="11"/>
      <c r="QD489" s="11"/>
      <c r="QE489" s="11"/>
      <c r="QF489" s="11"/>
      <c r="QG489" s="11"/>
      <c r="QH489" s="11"/>
      <c r="QI489" s="11"/>
      <c r="QJ489" s="11"/>
      <c r="QK489" s="11"/>
      <c r="QL489" s="11"/>
      <c r="QM489" s="11"/>
      <c r="QN489" s="11"/>
      <c r="QO489" s="11"/>
      <c r="QP489" s="11"/>
      <c r="QQ489" s="11"/>
      <c r="QR489" s="11"/>
      <c r="QS489" s="11"/>
      <c r="QT489" s="11"/>
      <c r="QU489" s="11"/>
      <c r="QV489" s="11"/>
      <c r="QW489" s="11"/>
      <c r="QX489" s="11"/>
      <c r="QY489" s="11"/>
      <c r="QZ489" s="11"/>
      <c r="RA489" s="11"/>
      <c r="RB489" s="11"/>
      <c r="RC489" s="11"/>
      <c r="RD489" s="11"/>
      <c r="RE489" s="11"/>
      <c r="RF489" s="11"/>
      <c r="RG489" s="11"/>
      <c r="RH489" s="11"/>
      <c r="RI489" s="11"/>
      <c r="RJ489" s="11"/>
      <c r="RK489" s="11"/>
      <c r="RL489" s="11"/>
      <c r="RM489" s="11"/>
      <c r="RN489" s="11"/>
      <c r="RO489" s="11"/>
      <c r="RP489" s="11"/>
      <c r="RQ489" s="11"/>
      <c r="RR489" s="11"/>
      <c r="RS489" s="11"/>
      <c r="RT489" s="11"/>
      <c r="RU489" s="11"/>
      <c r="RV489" s="11"/>
      <c r="RW489" s="11"/>
      <c r="RX489" s="11"/>
      <c r="RY489" s="11"/>
      <c r="RZ489" s="11"/>
      <c r="SA489" s="11"/>
      <c r="SB489" s="11"/>
      <c r="SC489" s="11"/>
      <c r="SD489" s="11"/>
      <c r="SE489" s="11"/>
      <c r="SF489" s="11"/>
      <c r="SG489" s="11"/>
      <c r="SH489" s="11">
        <v>1</v>
      </c>
    </row>
    <row r="490" spans="1:502" x14ac:dyDescent="0.2">
      <c r="A490" s="10">
        <v>6.9572742033595605E-2</v>
      </c>
      <c r="B490" s="11"/>
      <c r="C490" s="11"/>
      <c r="D490" s="11"/>
      <c r="E490" s="11"/>
      <c r="F490" s="11"/>
      <c r="G490" s="11">
        <v>1</v>
      </c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  <c r="GP490" s="11"/>
      <c r="GQ490" s="11"/>
      <c r="GR490" s="11"/>
      <c r="GS490" s="11"/>
      <c r="GT490" s="11"/>
      <c r="GU490" s="11"/>
      <c r="GV490" s="11"/>
      <c r="GW490" s="11"/>
      <c r="GX490" s="11"/>
      <c r="GY490" s="11"/>
      <c r="GZ490" s="11"/>
      <c r="HA490" s="11"/>
      <c r="HB490" s="11"/>
      <c r="HC490" s="11"/>
      <c r="HD490" s="11"/>
      <c r="HE490" s="11"/>
      <c r="HF490" s="11"/>
      <c r="HG490" s="11"/>
      <c r="HH490" s="11"/>
      <c r="HI490" s="11"/>
      <c r="HJ490" s="11"/>
      <c r="HK490" s="11"/>
      <c r="HL490" s="11"/>
      <c r="HM490" s="11"/>
      <c r="HN490" s="11"/>
      <c r="HO490" s="11"/>
      <c r="HP490" s="11"/>
      <c r="HQ490" s="11"/>
      <c r="HR490" s="11"/>
      <c r="HS490" s="11"/>
      <c r="HT490" s="11"/>
      <c r="HU490" s="11"/>
      <c r="HV490" s="11"/>
      <c r="HW490" s="11"/>
      <c r="HX490" s="11"/>
      <c r="HY490" s="11"/>
      <c r="HZ490" s="11"/>
      <c r="IA490" s="11"/>
      <c r="IB490" s="11"/>
      <c r="IC490" s="11"/>
      <c r="ID490" s="11"/>
      <c r="IE490" s="11"/>
      <c r="IF490" s="11"/>
      <c r="IG490" s="11"/>
      <c r="IH490" s="11"/>
      <c r="II490" s="11"/>
      <c r="IJ490" s="11"/>
      <c r="IK490" s="11"/>
      <c r="IL490" s="11"/>
      <c r="IM490" s="11"/>
      <c r="IN490" s="11"/>
      <c r="IO490" s="11"/>
      <c r="IP490" s="11"/>
      <c r="IQ490" s="11"/>
      <c r="IR490" s="11"/>
      <c r="IS490" s="11"/>
      <c r="IT490" s="11"/>
      <c r="IU490" s="11"/>
      <c r="IV490" s="11"/>
      <c r="IW490" s="11"/>
      <c r="IX490" s="11"/>
      <c r="IY490" s="11"/>
      <c r="IZ490" s="11"/>
      <c r="JA490" s="11"/>
      <c r="JB490" s="11"/>
      <c r="JC490" s="11"/>
      <c r="JD490" s="11"/>
      <c r="JE490" s="11"/>
      <c r="JF490" s="11"/>
      <c r="JG490" s="11"/>
      <c r="JH490" s="11"/>
      <c r="JI490" s="11"/>
      <c r="JJ490" s="11"/>
      <c r="JK490" s="11"/>
      <c r="JL490" s="11"/>
      <c r="JM490" s="11"/>
      <c r="JN490" s="11"/>
      <c r="JO490" s="11"/>
      <c r="JP490" s="11"/>
      <c r="JQ490" s="11"/>
      <c r="JR490" s="11"/>
      <c r="JS490" s="11"/>
      <c r="JT490" s="11"/>
      <c r="JU490" s="11"/>
      <c r="JV490" s="11"/>
      <c r="JW490" s="11"/>
      <c r="JX490" s="11"/>
      <c r="JY490" s="11"/>
      <c r="JZ490" s="11"/>
      <c r="KA490" s="11"/>
      <c r="KB490" s="11"/>
      <c r="KC490" s="11"/>
      <c r="KD490" s="11"/>
      <c r="KE490" s="11"/>
      <c r="KF490" s="11"/>
      <c r="KG490" s="11"/>
      <c r="KH490" s="11"/>
      <c r="KI490" s="11"/>
      <c r="KJ490" s="11"/>
      <c r="KK490" s="11"/>
      <c r="KL490" s="11"/>
      <c r="KM490" s="11"/>
      <c r="KN490" s="11"/>
      <c r="KO490" s="11"/>
      <c r="KP490" s="11"/>
      <c r="KQ490" s="11"/>
      <c r="KR490" s="11"/>
      <c r="KS490" s="11"/>
      <c r="KT490" s="11"/>
      <c r="KU490" s="11"/>
      <c r="KV490" s="11"/>
      <c r="KW490" s="11"/>
      <c r="KX490" s="11"/>
      <c r="KY490" s="11"/>
      <c r="KZ490" s="11"/>
      <c r="LA490" s="11"/>
      <c r="LB490" s="11"/>
      <c r="LC490" s="11"/>
      <c r="LD490" s="11"/>
      <c r="LE490" s="11"/>
      <c r="LF490" s="11"/>
      <c r="LG490" s="11"/>
      <c r="LH490" s="11"/>
      <c r="LI490" s="11"/>
      <c r="LJ490" s="11"/>
      <c r="LK490" s="11"/>
      <c r="LL490" s="11"/>
      <c r="LM490" s="11"/>
      <c r="LN490" s="11"/>
      <c r="LO490" s="11"/>
      <c r="LP490" s="11"/>
      <c r="LQ490" s="11"/>
      <c r="LR490" s="11"/>
      <c r="LS490" s="11"/>
      <c r="LT490" s="11"/>
      <c r="LU490" s="11"/>
      <c r="LV490" s="11"/>
      <c r="LW490" s="11"/>
      <c r="LX490" s="11"/>
      <c r="LY490" s="11"/>
      <c r="LZ490" s="11"/>
      <c r="MA490" s="11"/>
      <c r="MB490" s="11"/>
      <c r="MC490" s="11"/>
      <c r="MD490" s="11"/>
      <c r="ME490" s="11"/>
      <c r="MF490" s="11"/>
      <c r="MG490" s="11"/>
      <c r="MH490" s="11"/>
      <c r="MI490" s="11"/>
      <c r="MJ490" s="11"/>
      <c r="MK490" s="11"/>
      <c r="ML490" s="11"/>
      <c r="MM490" s="11"/>
      <c r="MN490" s="11"/>
      <c r="MO490" s="11"/>
      <c r="MP490" s="11"/>
      <c r="MQ490" s="11"/>
      <c r="MR490" s="11"/>
      <c r="MS490" s="11"/>
      <c r="MT490" s="11"/>
      <c r="MU490" s="11"/>
      <c r="MV490" s="11"/>
      <c r="MW490" s="11"/>
      <c r="MX490" s="11"/>
      <c r="MY490" s="11"/>
      <c r="MZ490" s="11"/>
      <c r="NA490" s="11"/>
      <c r="NB490" s="11"/>
      <c r="NC490" s="11"/>
      <c r="ND490" s="11"/>
      <c r="NE490" s="11"/>
      <c r="NF490" s="11"/>
      <c r="NG490" s="11"/>
      <c r="NH490" s="11"/>
      <c r="NI490" s="11"/>
      <c r="NJ490" s="11"/>
      <c r="NK490" s="11"/>
      <c r="NL490" s="11"/>
      <c r="NM490" s="11"/>
      <c r="NN490" s="11"/>
      <c r="NO490" s="11"/>
      <c r="NP490" s="11"/>
      <c r="NQ490" s="11"/>
      <c r="NR490" s="11"/>
      <c r="NS490" s="11"/>
      <c r="NT490" s="11"/>
      <c r="NU490" s="11"/>
      <c r="NV490" s="11"/>
      <c r="NW490" s="11"/>
      <c r="NX490" s="11"/>
      <c r="NY490" s="11"/>
      <c r="NZ490" s="11"/>
      <c r="OA490" s="11"/>
      <c r="OB490" s="11"/>
      <c r="OC490" s="11"/>
      <c r="OD490" s="11"/>
      <c r="OE490" s="11"/>
      <c r="OF490" s="11"/>
      <c r="OG490" s="11"/>
      <c r="OH490" s="11"/>
      <c r="OI490" s="11"/>
      <c r="OJ490" s="11"/>
      <c r="OK490" s="11"/>
      <c r="OL490" s="11"/>
      <c r="OM490" s="11"/>
      <c r="ON490" s="11"/>
      <c r="OO490" s="11"/>
      <c r="OP490" s="11"/>
      <c r="OQ490" s="11"/>
      <c r="OR490" s="11"/>
      <c r="OS490" s="11"/>
      <c r="OT490" s="11"/>
      <c r="OU490" s="11"/>
      <c r="OV490" s="11"/>
      <c r="OW490" s="11"/>
      <c r="OX490" s="11"/>
      <c r="OY490" s="11"/>
      <c r="OZ490" s="11"/>
      <c r="PA490" s="11"/>
      <c r="PB490" s="11"/>
      <c r="PC490" s="11"/>
      <c r="PD490" s="11"/>
      <c r="PE490" s="11"/>
      <c r="PF490" s="11"/>
      <c r="PG490" s="11"/>
      <c r="PH490" s="11"/>
      <c r="PI490" s="11"/>
      <c r="PJ490" s="11"/>
      <c r="PK490" s="11"/>
      <c r="PL490" s="11"/>
      <c r="PM490" s="11"/>
      <c r="PN490" s="11"/>
      <c r="PO490" s="11"/>
      <c r="PP490" s="11"/>
      <c r="PQ490" s="11"/>
      <c r="PR490" s="11"/>
      <c r="PS490" s="11"/>
      <c r="PT490" s="11"/>
      <c r="PU490" s="11"/>
      <c r="PV490" s="11"/>
      <c r="PW490" s="11"/>
      <c r="PX490" s="11"/>
      <c r="PY490" s="11"/>
      <c r="PZ490" s="11"/>
      <c r="QA490" s="11"/>
      <c r="QB490" s="11"/>
      <c r="QC490" s="11"/>
      <c r="QD490" s="11"/>
      <c r="QE490" s="11"/>
      <c r="QF490" s="11"/>
      <c r="QG490" s="11"/>
      <c r="QH490" s="11"/>
      <c r="QI490" s="11"/>
      <c r="QJ490" s="11"/>
      <c r="QK490" s="11"/>
      <c r="QL490" s="11"/>
      <c r="QM490" s="11"/>
      <c r="QN490" s="11"/>
      <c r="QO490" s="11"/>
      <c r="QP490" s="11"/>
      <c r="QQ490" s="11"/>
      <c r="QR490" s="11"/>
      <c r="QS490" s="11"/>
      <c r="QT490" s="11"/>
      <c r="QU490" s="11"/>
      <c r="QV490" s="11"/>
      <c r="QW490" s="11"/>
      <c r="QX490" s="11"/>
      <c r="QY490" s="11"/>
      <c r="QZ490" s="11"/>
      <c r="RA490" s="11"/>
      <c r="RB490" s="11"/>
      <c r="RC490" s="11"/>
      <c r="RD490" s="11"/>
      <c r="RE490" s="11"/>
      <c r="RF490" s="11"/>
      <c r="RG490" s="11"/>
      <c r="RH490" s="11"/>
      <c r="RI490" s="11"/>
      <c r="RJ490" s="11"/>
      <c r="RK490" s="11"/>
      <c r="RL490" s="11"/>
      <c r="RM490" s="11"/>
      <c r="RN490" s="11"/>
      <c r="RO490" s="11"/>
      <c r="RP490" s="11"/>
      <c r="RQ490" s="11"/>
      <c r="RR490" s="11"/>
      <c r="RS490" s="11"/>
      <c r="RT490" s="11"/>
      <c r="RU490" s="11"/>
      <c r="RV490" s="11"/>
      <c r="RW490" s="11"/>
      <c r="RX490" s="11"/>
      <c r="RY490" s="11"/>
      <c r="RZ490" s="11"/>
      <c r="SA490" s="11"/>
      <c r="SB490" s="11"/>
      <c r="SC490" s="11"/>
      <c r="SD490" s="11"/>
      <c r="SE490" s="11"/>
      <c r="SF490" s="11"/>
      <c r="SG490" s="11"/>
      <c r="SH490" s="11">
        <v>1</v>
      </c>
    </row>
    <row r="491" spans="1:502" x14ac:dyDescent="0.2">
      <c r="A491" s="10">
        <v>7.0310621410178339E-2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  <c r="GP491" s="11"/>
      <c r="GQ491" s="11"/>
      <c r="GR491" s="11"/>
      <c r="GS491" s="11"/>
      <c r="GT491" s="11"/>
      <c r="GU491" s="11"/>
      <c r="GV491" s="11"/>
      <c r="GW491" s="11"/>
      <c r="GX491" s="11"/>
      <c r="GY491" s="11"/>
      <c r="GZ491" s="11"/>
      <c r="HA491" s="11"/>
      <c r="HB491" s="11"/>
      <c r="HC491" s="11">
        <v>1</v>
      </c>
      <c r="HD491" s="11"/>
      <c r="HE491" s="11"/>
      <c r="HF491" s="11"/>
      <c r="HG491" s="11"/>
      <c r="HH491" s="11"/>
      <c r="HI491" s="11"/>
      <c r="HJ491" s="11"/>
      <c r="HK491" s="11"/>
      <c r="HL491" s="11"/>
      <c r="HM491" s="11"/>
      <c r="HN491" s="11"/>
      <c r="HO491" s="11"/>
      <c r="HP491" s="11"/>
      <c r="HQ491" s="11"/>
      <c r="HR491" s="11"/>
      <c r="HS491" s="11"/>
      <c r="HT491" s="11"/>
      <c r="HU491" s="11"/>
      <c r="HV491" s="11"/>
      <c r="HW491" s="11"/>
      <c r="HX491" s="11"/>
      <c r="HY491" s="11"/>
      <c r="HZ491" s="11"/>
      <c r="IA491" s="11"/>
      <c r="IB491" s="11"/>
      <c r="IC491" s="11"/>
      <c r="ID491" s="11"/>
      <c r="IE491" s="11"/>
      <c r="IF491" s="11"/>
      <c r="IG491" s="11"/>
      <c r="IH491" s="11"/>
      <c r="II491" s="11"/>
      <c r="IJ491" s="11"/>
      <c r="IK491" s="11"/>
      <c r="IL491" s="11"/>
      <c r="IM491" s="11"/>
      <c r="IN491" s="11"/>
      <c r="IO491" s="11"/>
      <c r="IP491" s="11"/>
      <c r="IQ491" s="11"/>
      <c r="IR491" s="11"/>
      <c r="IS491" s="11"/>
      <c r="IT491" s="11"/>
      <c r="IU491" s="11"/>
      <c r="IV491" s="11"/>
      <c r="IW491" s="11"/>
      <c r="IX491" s="11"/>
      <c r="IY491" s="11"/>
      <c r="IZ491" s="11"/>
      <c r="JA491" s="11"/>
      <c r="JB491" s="11"/>
      <c r="JC491" s="11"/>
      <c r="JD491" s="11"/>
      <c r="JE491" s="11"/>
      <c r="JF491" s="11"/>
      <c r="JG491" s="11"/>
      <c r="JH491" s="11"/>
      <c r="JI491" s="11"/>
      <c r="JJ491" s="11"/>
      <c r="JK491" s="11"/>
      <c r="JL491" s="11"/>
      <c r="JM491" s="11"/>
      <c r="JN491" s="11"/>
      <c r="JO491" s="11"/>
      <c r="JP491" s="11"/>
      <c r="JQ491" s="11"/>
      <c r="JR491" s="11"/>
      <c r="JS491" s="11"/>
      <c r="JT491" s="11"/>
      <c r="JU491" s="11"/>
      <c r="JV491" s="11"/>
      <c r="JW491" s="11"/>
      <c r="JX491" s="11"/>
      <c r="JY491" s="11"/>
      <c r="JZ491" s="11"/>
      <c r="KA491" s="11"/>
      <c r="KB491" s="11"/>
      <c r="KC491" s="11"/>
      <c r="KD491" s="11"/>
      <c r="KE491" s="11"/>
      <c r="KF491" s="11"/>
      <c r="KG491" s="11"/>
      <c r="KH491" s="11"/>
      <c r="KI491" s="11"/>
      <c r="KJ491" s="11"/>
      <c r="KK491" s="11"/>
      <c r="KL491" s="11"/>
      <c r="KM491" s="11"/>
      <c r="KN491" s="11"/>
      <c r="KO491" s="11"/>
      <c r="KP491" s="11"/>
      <c r="KQ491" s="11"/>
      <c r="KR491" s="11"/>
      <c r="KS491" s="11"/>
      <c r="KT491" s="11"/>
      <c r="KU491" s="11"/>
      <c r="KV491" s="11"/>
      <c r="KW491" s="11"/>
      <c r="KX491" s="11"/>
      <c r="KY491" s="11"/>
      <c r="KZ491" s="11"/>
      <c r="LA491" s="11"/>
      <c r="LB491" s="11"/>
      <c r="LC491" s="11"/>
      <c r="LD491" s="11"/>
      <c r="LE491" s="11"/>
      <c r="LF491" s="11"/>
      <c r="LG491" s="11"/>
      <c r="LH491" s="11"/>
      <c r="LI491" s="11"/>
      <c r="LJ491" s="11"/>
      <c r="LK491" s="11"/>
      <c r="LL491" s="11"/>
      <c r="LM491" s="11"/>
      <c r="LN491" s="11"/>
      <c r="LO491" s="11"/>
      <c r="LP491" s="11"/>
      <c r="LQ491" s="11"/>
      <c r="LR491" s="11"/>
      <c r="LS491" s="11"/>
      <c r="LT491" s="11"/>
      <c r="LU491" s="11"/>
      <c r="LV491" s="11"/>
      <c r="LW491" s="11"/>
      <c r="LX491" s="11"/>
      <c r="LY491" s="11"/>
      <c r="LZ491" s="11"/>
      <c r="MA491" s="11"/>
      <c r="MB491" s="11"/>
      <c r="MC491" s="11"/>
      <c r="MD491" s="11"/>
      <c r="ME491" s="11"/>
      <c r="MF491" s="11"/>
      <c r="MG491" s="11"/>
      <c r="MH491" s="11"/>
      <c r="MI491" s="11"/>
      <c r="MJ491" s="11"/>
      <c r="MK491" s="11"/>
      <c r="ML491" s="11"/>
      <c r="MM491" s="11"/>
      <c r="MN491" s="11"/>
      <c r="MO491" s="11"/>
      <c r="MP491" s="11"/>
      <c r="MQ491" s="11"/>
      <c r="MR491" s="11"/>
      <c r="MS491" s="11"/>
      <c r="MT491" s="11"/>
      <c r="MU491" s="11"/>
      <c r="MV491" s="11"/>
      <c r="MW491" s="11"/>
      <c r="MX491" s="11"/>
      <c r="MY491" s="11"/>
      <c r="MZ491" s="11"/>
      <c r="NA491" s="11"/>
      <c r="NB491" s="11"/>
      <c r="NC491" s="11"/>
      <c r="ND491" s="11"/>
      <c r="NE491" s="11"/>
      <c r="NF491" s="11"/>
      <c r="NG491" s="11"/>
      <c r="NH491" s="11"/>
      <c r="NI491" s="11"/>
      <c r="NJ491" s="11"/>
      <c r="NK491" s="11"/>
      <c r="NL491" s="11"/>
      <c r="NM491" s="11"/>
      <c r="NN491" s="11"/>
      <c r="NO491" s="11"/>
      <c r="NP491" s="11"/>
      <c r="NQ491" s="11"/>
      <c r="NR491" s="11"/>
      <c r="NS491" s="11"/>
      <c r="NT491" s="11"/>
      <c r="NU491" s="11"/>
      <c r="NV491" s="11"/>
      <c r="NW491" s="11"/>
      <c r="NX491" s="11"/>
      <c r="NY491" s="11"/>
      <c r="NZ491" s="11"/>
      <c r="OA491" s="11"/>
      <c r="OB491" s="11"/>
      <c r="OC491" s="11"/>
      <c r="OD491" s="11"/>
      <c r="OE491" s="11"/>
      <c r="OF491" s="11"/>
      <c r="OG491" s="11"/>
      <c r="OH491" s="11"/>
      <c r="OI491" s="11"/>
      <c r="OJ491" s="11"/>
      <c r="OK491" s="11"/>
      <c r="OL491" s="11"/>
      <c r="OM491" s="11"/>
      <c r="ON491" s="11"/>
      <c r="OO491" s="11"/>
      <c r="OP491" s="11"/>
      <c r="OQ491" s="11"/>
      <c r="OR491" s="11"/>
      <c r="OS491" s="11"/>
      <c r="OT491" s="11"/>
      <c r="OU491" s="11"/>
      <c r="OV491" s="11"/>
      <c r="OW491" s="11"/>
      <c r="OX491" s="11"/>
      <c r="OY491" s="11"/>
      <c r="OZ491" s="11"/>
      <c r="PA491" s="11"/>
      <c r="PB491" s="11"/>
      <c r="PC491" s="11"/>
      <c r="PD491" s="11"/>
      <c r="PE491" s="11"/>
      <c r="PF491" s="11"/>
      <c r="PG491" s="11"/>
      <c r="PH491" s="11"/>
      <c r="PI491" s="11"/>
      <c r="PJ491" s="11"/>
      <c r="PK491" s="11"/>
      <c r="PL491" s="11"/>
      <c r="PM491" s="11"/>
      <c r="PN491" s="11"/>
      <c r="PO491" s="11"/>
      <c r="PP491" s="11"/>
      <c r="PQ491" s="11"/>
      <c r="PR491" s="11"/>
      <c r="PS491" s="11"/>
      <c r="PT491" s="11"/>
      <c r="PU491" s="11"/>
      <c r="PV491" s="11"/>
      <c r="PW491" s="11"/>
      <c r="PX491" s="11"/>
      <c r="PY491" s="11"/>
      <c r="PZ491" s="11"/>
      <c r="QA491" s="11"/>
      <c r="QB491" s="11"/>
      <c r="QC491" s="11"/>
      <c r="QD491" s="11"/>
      <c r="QE491" s="11"/>
      <c r="QF491" s="11"/>
      <c r="QG491" s="11"/>
      <c r="QH491" s="11"/>
      <c r="QI491" s="11"/>
      <c r="QJ491" s="11"/>
      <c r="QK491" s="11"/>
      <c r="QL491" s="11"/>
      <c r="QM491" s="11"/>
      <c r="QN491" s="11"/>
      <c r="QO491" s="11"/>
      <c r="QP491" s="11"/>
      <c r="QQ491" s="11"/>
      <c r="QR491" s="11"/>
      <c r="QS491" s="11"/>
      <c r="QT491" s="11"/>
      <c r="QU491" s="11"/>
      <c r="QV491" s="11"/>
      <c r="QW491" s="11"/>
      <c r="QX491" s="11"/>
      <c r="QY491" s="11"/>
      <c r="QZ491" s="11"/>
      <c r="RA491" s="11"/>
      <c r="RB491" s="11"/>
      <c r="RC491" s="11"/>
      <c r="RD491" s="11"/>
      <c r="RE491" s="11"/>
      <c r="RF491" s="11"/>
      <c r="RG491" s="11"/>
      <c r="RH491" s="11"/>
      <c r="RI491" s="11"/>
      <c r="RJ491" s="11"/>
      <c r="RK491" s="11"/>
      <c r="RL491" s="11"/>
      <c r="RM491" s="11"/>
      <c r="RN491" s="11"/>
      <c r="RO491" s="11"/>
      <c r="RP491" s="11"/>
      <c r="RQ491" s="11"/>
      <c r="RR491" s="11"/>
      <c r="RS491" s="11"/>
      <c r="RT491" s="11"/>
      <c r="RU491" s="11"/>
      <c r="RV491" s="11"/>
      <c r="RW491" s="11"/>
      <c r="RX491" s="11"/>
      <c r="RY491" s="11"/>
      <c r="RZ491" s="11"/>
      <c r="SA491" s="11"/>
      <c r="SB491" s="11"/>
      <c r="SC491" s="11"/>
      <c r="SD491" s="11"/>
      <c r="SE491" s="11"/>
      <c r="SF491" s="11"/>
      <c r="SG491" s="11"/>
      <c r="SH491" s="11">
        <v>1</v>
      </c>
    </row>
    <row r="492" spans="1:502" x14ac:dyDescent="0.2">
      <c r="A492" s="10">
        <v>7.2807444311141348E-2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>
        <v>1</v>
      </c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/>
      <c r="GU492" s="11"/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/>
      <c r="HH492" s="11"/>
      <c r="HI492" s="11"/>
      <c r="HJ492" s="11"/>
      <c r="HK492" s="11"/>
      <c r="HL492" s="11"/>
      <c r="HM492" s="11"/>
      <c r="HN492" s="11"/>
      <c r="HO492" s="11"/>
      <c r="HP492" s="11"/>
      <c r="HQ492" s="11"/>
      <c r="HR492" s="11"/>
      <c r="HS492" s="11"/>
      <c r="HT492" s="11"/>
      <c r="HU492" s="11"/>
      <c r="HV492" s="11"/>
      <c r="HW492" s="11"/>
      <c r="HX492" s="11"/>
      <c r="HY492" s="11"/>
      <c r="HZ492" s="11"/>
      <c r="IA492" s="11"/>
      <c r="IB492" s="11"/>
      <c r="IC492" s="11"/>
      <c r="ID492" s="11"/>
      <c r="IE492" s="11"/>
      <c r="IF492" s="11"/>
      <c r="IG492" s="11"/>
      <c r="IH492" s="11"/>
      <c r="II492" s="11"/>
      <c r="IJ492" s="11"/>
      <c r="IK492" s="11"/>
      <c r="IL492" s="11"/>
      <c r="IM492" s="11"/>
      <c r="IN492" s="11"/>
      <c r="IO492" s="11"/>
      <c r="IP492" s="11"/>
      <c r="IQ492" s="11"/>
      <c r="IR492" s="11"/>
      <c r="IS492" s="11"/>
      <c r="IT492" s="11"/>
      <c r="IU492" s="11"/>
      <c r="IV492" s="11"/>
      <c r="IW492" s="11"/>
      <c r="IX492" s="11"/>
      <c r="IY492" s="11"/>
      <c r="IZ492" s="11"/>
      <c r="JA492" s="11"/>
      <c r="JB492" s="11"/>
      <c r="JC492" s="11"/>
      <c r="JD492" s="11"/>
      <c r="JE492" s="11"/>
      <c r="JF492" s="11"/>
      <c r="JG492" s="11"/>
      <c r="JH492" s="11"/>
      <c r="JI492" s="11"/>
      <c r="JJ492" s="11"/>
      <c r="JK492" s="11"/>
      <c r="JL492" s="11"/>
      <c r="JM492" s="11"/>
      <c r="JN492" s="11"/>
      <c r="JO492" s="11"/>
      <c r="JP492" s="11"/>
      <c r="JQ492" s="11"/>
      <c r="JR492" s="11"/>
      <c r="JS492" s="11"/>
      <c r="JT492" s="11"/>
      <c r="JU492" s="11"/>
      <c r="JV492" s="11"/>
      <c r="JW492" s="11"/>
      <c r="JX492" s="11"/>
      <c r="JY492" s="11"/>
      <c r="JZ492" s="11"/>
      <c r="KA492" s="11"/>
      <c r="KB492" s="11"/>
      <c r="KC492" s="11"/>
      <c r="KD492" s="11"/>
      <c r="KE492" s="11"/>
      <c r="KF492" s="11"/>
      <c r="KG492" s="11"/>
      <c r="KH492" s="11"/>
      <c r="KI492" s="11"/>
      <c r="KJ492" s="11"/>
      <c r="KK492" s="11"/>
      <c r="KL492" s="11"/>
      <c r="KM492" s="11"/>
      <c r="KN492" s="11"/>
      <c r="KO492" s="11"/>
      <c r="KP492" s="11"/>
      <c r="KQ492" s="11"/>
      <c r="KR492" s="11"/>
      <c r="KS492" s="11"/>
      <c r="KT492" s="11"/>
      <c r="KU492" s="11"/>
      <c r="KV492" s="11"/>
      <c r="KW492" s="11"/>
      <c r="KX492" s="11"/>
      <c r="KY492" s="11"/>
      <c r="KZ492" s="11"/>
      <c r="LA492" s="11"/>
      <c r="LB492" s="11"/>
      <c r="LC492" s="11"/>
      <c r="LD492" s="11"/>
      <c r="LE492" s="11"/>
      <c r="LF492" s="11"/>
      <c r="LG492" s="11"/>
      <c r="LH492" s="11"/>
      <c r="LI492" s="11"/>
      <c r="LJ492" s="11"/>
      <c r="LK492" s="11"/>
      <c r="LL492" s="11"/>
      <c r="LM492" s="11"/>
      <c r="LN492" s="11"/>
      <c r="LO492" s="11"/>
      <c r="LP492" s="11"/>
      <c r="LQ492" s="11"/>
      <c r="LR492" s="11"/>
      <c r="LS492" s="11"/>
      <c r="LT492" s="11"/>
      <c r="LU492" s="11"/>
      <c r="LV492" s="11"/>
      <c r="LW492" s="11"/>
      <c r="LX492" s="11"/>
      <c r="LY492" s="11"/>
      <c r="LZ492" s="11"/>
      <c r="MA492" s="11"/>
      <c r="MB492" s="11"/>
      <c r="MC492" s="11"/>
      <c r="MD492" s="11"/>
      <c r="ME492" s="11"/>
      <c r="MF492" s="11"/>
      <c r="MG492" s="11"/>
      <c r="MH492" s="11"/>
      <c r="MI492" s="11"/>
      <c r="MJ492" s="11"/>
      <c r="MK492" s="11"/>
      <c r="ML492" s="11"/>
      <c r="MM492" s="11"/>
      <c r="MN492" s="11"/>
      <c r="MO492" s="11"/>
      <c r="MP492" s="11"/>
      <c r="MQ492" s="11"/>
      <c r="MR492" s="11"/>
      <c r="MS492" s="11"/>
      <c r="MT492" s="11"/>
      <c r="MU492" s="11"/>
      <c r="MV492" s="11"/>
      <c r="MW492" s="11"/>
      <c r="MX492" s="11"/>
      <c r="MY492" s="11"/>
      <c r="MZ492" s="11"/>
      <c r="NA492" s="11"/>
      <c r="NB492" s="11"/>
      <c r="NC492" s="11"/>
      <c r="ND492" s="11"/>
      <c r="NE492" s="11"/>
      <c r="NF492" s="11"/>
      <c r="NG492" s="11"/>
      <c r="NH492" s="11"/>
      <c r="NI492" s="11"/>
      <c r="NJ492" s="11"/>
      <c r="NK492" s="11"/>
      <c r="NL492" s="11"/>
      <c r="NM492" s="11"/>
      <c r="NN492" s="11"/>
      <c r="NO492" s="11"/>
      <c r="NP492" s="11"/>
      <c r="NQ492" s="11"/>
      <c r="NR492" s="11"/>
      <c r="NS492" s="11"/>
      <c r="NT492" s="11"/>
      <c r="NU492" s="11"/>
      <c r="NV492" s="11"/>
      <c r="NW492" s="11"/>
      <c r="NX492" s="11"/>
      <c r="NY492" s="11"/>
      <c r="NZ492" s="11"/>
      <c r="OA492" s="11"/>
      <c r="OB492" s="11"/>
      <c r="OC492" s="11"/>
      <c r="OD492" s="11"/>
      <c r="OE492" s="11"/>
      <c r="OF492" s="11"/>
      <c r="OG492" s="11"/>
      <c r="OH492" s="11"/>
      <c r="OI492" s="11"/>
      <c r="OJ492" s="11"/>
      <c r="OK492" s="11"/>
      <c r="OL492" s="11"/>
      <c r="OM492" s="11"/>
      <c r="ON492" s="11"/>
      <c r="OO492" s="11"/>
      <c r="OP492" s="11"/>
      <c r="OQ492" s="11"/>
      <c r="OR492" s="11"/>
      <c r="OS492" s="11"/>
      <c r="OT492" s="11"/>
      <c r="OU492" s="11"/>
      <c r="OV492" s="11"/>
      <c r="OW492" s="11"/>
      <c r="OX492" s="11"/>
      <c r="OY492" s="11"/>
      <c r="OZ492" s="11"/>
      <c r="PA492" s="11"/>
      <c r="PB492" s="11"/>
      <c r="PC492" s="11"/>
      <c r="PD492" s="11"/>
      <c r="PE492" s="11"/>
      <c r="PF492" s="11"/>
      <c r="PG492" s="11"/>
      <c r="PH492" s="11"/>
      <c r="PI492" s="11"/>
      <c r="PJ492" s="11"/>
      <c r="PK492" s="11"/>
      <c r="PL492" s="11"/>
      <c r="PM492" s="11"/>
      <c r="PN492" s="11"/>
      <c r="PO492" s="11"/>
      <c r="PP492" s="11"/>
      <c r="PQ492" s="11"/>
      <c r="PR492" s="11"/>
      <c r="PS492" s="11"/>
      <c r="PT492" s="11"/>
      <c r="PU492" s="11"/>
      <c r="PV492" s="11"/>
      <c r="PW492" s="11"/>
      <c r="PX492" s="11"/>
      <c r="PY492" s="11"/>
      <c r="PZ492" s="11"/>
      <c r="QA492" s="11"/>
      <c r="QB492" s="11"/>
      <c r="QC492" s="11"/>
      <c r="QD492" s="11"/>
      <c r="QE492" s="11"/>
      <c r="QF492" s="11"/>
      <c r="QG492" s="11"/>
      <c r="QH492" s="11"/>
      <c r="QI492" s="11"/>
      <c r="QJ492" s="11"/>
      <c r="QK492" s="11"/>
      <c r="QL492" s="11"/>
      <c r="QM492" s="11"/>
      <c r="QN492" s="11"/>
      <c r="QO492" s="11"/>
      <c r="QP492" s="11"/>
      <c r="QQ492" s="11"/>
      <c r="QR492" s="11"/>
      <c r="QS492" s="11"/>
      <c r="QT492" s="11"/>
      <c r="QU492" s="11"/>
      <c r="QV492" s="11"/>
      <c r="QW492" s="11"/>
      <c r="QX492" s="11"/>
      <c r="QY492" s="11"/>
      <c r="QZ492" s="11"/>
      <c r="RA492" s="11"/>
      <c r="RB492" s="11"/>
      <c r="RC492" s="11"/>
      <c r="RD492" s="11"/>
      <c r="RE492" s="11"/>
      <c r="RF492" s="11"/>
      <c r="RG492" s="11"/>
      <c r="RH492" s="11"/>
      <c r="RI492" s="11"/>
      <c r="RJ492" s="11"/>
      <c r="RK492" s="11"/>
      <c r="RL492" s="11"/>
      <c r="RM492" s="11"/>
      <c r="RN492" s="11"/>
      <c r="RO492" s="11"/>
      <c r="RP492" s="11"/>
      <c r="RQ492" s="11"/>
      <c r="RR492" s="11"/>
      <c r="RS492" s="11"/>
      <c r="RT492" s="11"/>
      <c r="RU492" s="11"/>
      <c r="RV492" s="11"/>
      <c r="RW492" s="11"/>
      <c r="RX492" s="11"/>
      <c r="RY492" s="11"/>
      <c r="RZ492" s="11"/>
      <c r="SA492" s="11"/>
      <c r="SB492" s="11"/>
      <c r="SC492" s="11"/>
      <c r="SD492" s="11"/>
      <c r="SE492" s="11"/>
      <c r="SF492" s="11"/>
      <c r="SG492" s="11"/>
      <c r="SH492" s="11">
        <v>1</v>
      </c>
    </row>
    <row r="493" spans="1:502" x14ac:dyDescent="0.2">
      <c r="A493" s="10">
        <v>7.3934233940576174E-2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>
        <v>1</v>
      </c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  <c r="HO493" s="11"/>
      <c r="HP493" s="11"/>
      <c r="HQ493" s="11"/>
      <c r="HR493" s="11"/>
      <c r="HS493" s="11"/>
      <c r="HT493" s="11"/>
      <c r="HU493" s="11"/>
      <c r="HV493" s="11"/>
      <c r="HW493" s="11"/>
      <c r="HX493" s="11"/>
      <c r="HY493" s="11"/>
      <c r="HZ493" s="11"/>
      <c r="IA493" s="11"/>
      <c r="IB493" s="11"/>
      <c r="IC493" s="11"/>
      <c r="ID493" s="11"/>
      <c r="IE493" s="11"/>
      <c r="IF493" s="11"/>
      <c r="IG493" s="11"/>
      <c r="IH493" s="11"/>
      <c r="II493" s="11"/>
      <c r="IJ493" s="11"/>
      <c r="IK493" s="11"/>
      <c r="IL493" s="11"/>
      <c r="IM493" s="11"/>
      <c r="IN493" s="11"/>
      <c r="IO493" s="11"/>
      <c r="IP493" s="11"/>
      <c r="IQ493" s="11"/>
      <c r="IR493" s="11"/>
      <c r="IS493" s="11"/>
      <c r="IT493" s="11"/>
      <c r="IU493" s="11"/>
      <c r="IV493" s="11"/>
      <c r="IW493" s="11"/>
      <c r="IX493" s="11"/>
      <c r="IY493" s="11"/>
      <c r="IZ493" s="11"/>
      <c r="JA493" s="11"/>
      <c r="JB493" s="11"/>
      <c r="JC493" s="11"/>
      <c r="JD493" s="11"/>
      <c r="JE493" s="11"/>
      <c r="JF493" s="11"/>
      <c r="JG493" s="11"/>
      <c r="JH493" s="11"/>
      <c r="JI493" s="11"/>
      <c r="JJ493" s="11"/>
      <c r="JK493" s="11"/>
      <c r="JL493" s="11"/>
      <c r="JM493" s="11"/>
      <c r="JN493" s="11"/>
      <c r="JO493" s="11"/>
      <c r="JP493" s="11"/>
      <c r="JQ493" s="11"/>
      <c r="JR493" s="11"/>
      <c r="JS493" s="11"/>
      <c r="JT493" s="11"/>
      <c r="JU493" s="11"/>
      <c r="JV493" s="11"/>
      <c r="JW493" s="11"/>
      <c r="JX493" s="11"/>
      <c r="JY493" s="11"/>
      <c r="JZ493" s="11"/>
      <c r="KA493" s="11"/>
      <c r="KB493" s="11"/>
      <c r="KC493" s="11"/>
      <c r="KD493" s="11"/>
      <c r="KE493" s="11"/>
      <c r="KF493" s="11"/>
      <c r="KG493" s="11"/>
      <c r="KH493" s="11"/>
      <c r="KI493" s="11"/>
      <c r="KJ493" s="11"/>
      <c r="KK493" s="11"/>
      <c r="KL493" s="11"/>
      <c r="KM493" s="11"/>
      <c r="KN493" s="11"/>
      <c r="KO493" s="11"/>
      <c r="KP493" s="11"/>
      <c r="KQ493" s="11"/>
      <c r="KR493" s="11"/>
      <c r="KS493" s="11"/>
      <c r="KT493" s="11"/>
      <c r="KU493" s="11"/>
      <c r="KV493" s="11"/>
      <c r="KW493" s="11"/>
      <c r="KX493" s="11"/>
      <c r="KY493" s="11"/>
      <c r="KZ493" s="11"/>
      <c r="LA493" s="11"/>
      <c r="LB493" s="11"/>
      <c r="LC493" s="11"/>
      <c r="LD493" s="11"/>
      <c r="LE493" s="11"/>
      <c r="LF493" s="11"/>
      <c r="LG493" s="11"/>
      <c r="LH493" s="11"/>
      <c r="LI493" s="11"/>
      <c r="LJ493" s="11"/>
      <c r="LK493" s="11"/>
      <c r="LL493" s="11"/>
      <c r="LM493" s="11"/>
      <c r="LN493" s="11"/>
      <c r="LO493" s="11"/>
      <c r="LP493" s="11"/>
      <c r="LQ493" s="11"/>
      <c r="LR493" s="11"/>
      <c r="LS493" s="11"/>
      <c r="LT493" s="11"/>
      <c r="LU493" s="11"/>
      <c r="LV493" s="11"/>
      <c r="LW493" s="11"/>
      <c r="LX493" s="11"/>
      <c r="LY493" s="11"/>
      <c r="LZ493" s="11"/>
      <c r="MA493" s="11"/>
      <c r="MB493" s="11"/>
      <c r="MC493" s="11"/>
      <c r="MD493" s="11"/>
      <c r="ME493" s="11"/>
      <c r="MF493" s="11"/>
      <c r="MG493" s="11"/>
      <c r="MH493" s="11"/>
      <c r="MI493" s="11"/>
      <c r="MJ493" s="11"/>
      <c r="MK493" s="11"/>
      <c r="ML493" s="11"/>
      <c r="MM493" s="11"/>
      <c r="MN493" s="11"/>
      <c r="MO493" s="11"/>
      <c r="MP493" s="11"/>
      <c r="MQ493" s="11"/>
      <c r="MR493" s="11"/>
      <c r="MS493" s="11"/>
      <c r="MT493" s="11"/>
      <c r="MU493" s="11"/>
      <c r="MV493" s="11"/>
      <c r="MW493" s="11"/>
      <c r="MX493" s="11"/>
      <c r="MY493" s="11"/>
      <c r="MZ493" s="11"/>
      <c r="NA493" s="11"/>
      <c r="NB493" s="11"/>
      <c r="NC493" s="11"/>
      <c r="ND493" s="11"/>
      <c r="NE493" s="11"/>
      <c r="NF493" s="11"/>
      <c r="NG493" s="11"/>
      <c r="NH493" s="11"/>
      <c r="NI493" s="11"/>
      <c r="NJ493" s="11"/>
      <c r="NK493" s="11"/>
      <c r="NL493" s="11"/>
      <c r="NM493" s="11"/>
      <c r="NN493" s="11"/>
      <c r="NO493" s="11"/>
      <c r="NP493" s="11"/>
      <c r="NQ493" s="11"/>
      <c r="NR493" s="11"/>
      <c r="NS493" s="11"/>
      <c r="NT493" s="11"/>
      <c r="NU493" s="11"/>
      <c r="NV493" s="11"/>
      <c r="NW493" s="11"/>
      <c r="NX493" s="11"/>
      <c r="NY493" s="11"/>
      <c r="NZ493" s="11"/>
      <c r="OA493" s="11"/>
      <c r="OB493" s="11"/>
      <c r="OC493" s="11"/>
      <c r="OD493" s="11"/>
      <c r="OE493" s="11"/>
      <c r="OF493" s="11"/>
      <c r="OG493" s="11"/>
      <c r="OH493" s="11"/>
      <c r="OI493" s="11"/>
      <c r="OJ493" s="11"/>
      <c r="OK493" s="11"/>
      <c r="OL493" s="11"/>
      <c r="OM493" s="11"/>
      <c r="ON493" s="11"/>
      <c r="OO493" s="11"/>
      <c r="OP493" s="11"/>
      <c r="OQ493" s="11"/>
      <c r="OR493" s="11"/>
      <c r="OS493" s="11"/>
      <c r="OT493" s="11"/>
      <c r="OU493" s="11"/>
      <c r="OV493" s="11"/>
      <c r="OW493" s="11"/>
      <c r="OX493" s="11"/>
      <c r="OY493" s="11"/>
      <c r="OZ493" s="11"/>
      <c r="PA493" s="11"/>
      <c r="PB493" s="11"/>
      <c r="PC493" s="11"/>
      <c r="PD493" s="11"/>
      <c r="PE493" s="11"/>
      <c r="PF493" s="11"/>
      <c r="PG493" s="11"/>
      <c r="PH493" s="11"/>
      <c r="PI493" s="11"/>
      <c r="PJ493" s="11"/>
      <c r="PK493" s="11"/>
      <c r="PL493" s="11"/>
      <c r="PM493" s="11"/>
      <c r="PN493" s="11"/>
      <c r="PO493" s="11"/>
      <c r="PP493" s="11"/>
      <c r="PQ493" s="11"/>
      <c r="PR493" s="11"/>
      <c r="PS493" s="11"/>
      <c r="PT493" s="11"/>
      <c r="PU493" s="11"/>
      <c r="PV493" s="11"/>
      <c r="PW493" s="11"/>
      <c r="PX493" s="11"/>
      <c r="PY493" s="11"/>
      <c r="PZ493" s="11"/>
      <c r="QA493" s="11"/>
      <c r="QB493" s="11"/>
      <c r="QC493" s="11"/>
      <c r="QD493" s="11"/>
      <c r="QE493" s="11"/>
      <c r="QF493" s="11"/>
      <c r="QG493" s="11"/>
      <c r="QH493" s="11"/>
      <c r="QI493" s="11"/>
      <c r="QJ493" s="11"/>
      <c r="QK493" s="11"/>
      <c r="QL493" s="11"/>
      <c r="QM493" s="11"/>
      <c r="QN493" s="11"/>
      <c r="QO493" s="11"/>
      <c r="QP493" s="11"/>
      <c r="QQ493" s="11"/>
      <c r="QR493" s="11"/>
      <c r="QS493" s="11"/>
      <c r="QT493" s="11"/>
      <c r="QU493" s="11"/>
      <c r="QV493" s="11"/>
      <c r="QW493" s="11"/>
      <c r="QX493" s="11"/>
      <c r="QY493" s="11"/>
      <c r="QZ493" s="11"/>
      <c r="RA493" s="11"/>
      <c r="RB493" s="11"/>
      <c r="RC493" s="11"/>
      <c r="RD493" s="11"/>
      <c r="RE493" s="11"/>
      <c r="RF493" s="11"/>
      <c r="RG493" s="11"/>
      <c r="RH493" s="11"/>
      <c r="RI493" s="11"/>
      <c r="RJ493" s="11"/>
      <c r="RK493" s="11"/>
      <c r="RL493" s="11"/>
      <c r="RM493" s="11"/>
      <c r="RN493" s="11"/>
      <c r="RO493" s="11"/>
      <c r="RP493" s="11"/>
      <c r="RQ493" s="11"/>
      <c r="RR493" s="11"/>
      <c r="RS493" s="11"/>
      <c r="RT493" s="11"/>
      <c r="RU493" s="11"/>
      <c r="RV493" s="11"/>
      <c r="RW493" s="11"/>
      <c r="RX493" s="11"/>
      <c r="RY493" s="11"/>
      <c r="RZ493" s="11"/>
      <c r="SA493" s="11"/>
      <c r="SB493" s="11"/>
      <c r="SC493" s="11"/>
      <c r="SD493" s="11"/>
      <c r="SE493" s="11"/>
      <c r="SF493" s="11"/>
      <c r="SG493" s="11"/>
      <c r="SH493" s="11">
        <v>1</v>
      </c>
    </row>
    <row r="494" spans="1:502" x14ac:dyDescent="0.2">
      <c r="A494" s="10">
        <v>7.417095500238445E-2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>
        <v>1</v>
      </c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  <c r="GP494" s="11"/>
      <c r="GQ494" s="11"/>
      <c r="GR494" s="11"/>
      <c r="GS494" s="11"/>
      <c r="GT494" s="11"/>
      <c r="GU494" s="11"/>
      <c r="GV494" s="11"/>
      <c r="GW494" s="11"/>
      <c r="GX494" s="11"/>
      <c r="GY494" s="11"/>
      <c r="GZ494" s="11"/>
      <c r="HA494" s="11"/>
      <c r="HB494" s="11"/>
      <c r="HC494" s="11"/>
      <c r="HD494" s="11"/>
      <c r="HE494" s="11"/>
      <c r="HF494" s="11"/>
      <c r="HG494" s="11"/>
      <c r="HH494" s="11"/>
      <c r="HI494" s="11"/>
      <c r="HJ494" s="11"/>
      <c r="HK494" s="11"/>
      <c r="HL494" s="11"/>
      <c r="HM494" s="11"/>
      <c r="HN494" s="11"/>
      <c r="HO494" s="11"/>
      <c r="HP494" s="11"/>
      <c r="HQ494" s="11"/>
      <c r="HR494" s="11"/>
      <c r="HS494" s="11"/>
      <c r="HT494" s="11"/>
      <c r="HU494" s="11"/>
      <c r="HV494" s="11"/>
      <c r="HW494" s="11"/>
      <c r="HX494" s="11"/>
      <c r="HY494" s="11"/>
      <c r="HZ494" s="11"/>
      <c r="IA494" s="11"/>
      <c r="IB494" s="11"/>
      <c r="IC494" s="11"/>
      <c r="ID494" s="11"/>
      <c r="IE494" s="11"/>
      <c r="IF494" s="11"/>
      <c r="IG494" s="11"/>
      <c r="IH494" s="11"/>
      <c r="II494" s="11"/>
      <c r="IJ494" s="11"/>
      <c r="IK494" s="11"/>
      <c r="IL494" s="11"/>
      <c r="IM494" s="11"/>
      <c r="IN494" s="11"/>
      <c r="IO494" s="11"/>
      <c r="IP494" s="11"/>
      <c r="IQ494" s="11"/>
      <c r="IR494" s="11"/>
      <c r="IS494" s="11"/>
      <c r="IT494" s="11"/>
      <c r="IU494" s="11"/>
      <c r="IV494" s="11"/>
      <c r="IW494" s="11"/>
      <c r="IX494" s="11"/>
      <c r="IY494" s="11"/>
      <c r="IZ494" s="11"/>
      <c r="JA494" s="11"/>
      <c r="JB494" s="11"/>
      <c r="JC494" s="11"/>
      <c r="JD494" s="11"/>
      <c r="JE494" s="11"/>
      <c r="JF494" s="11"/>
      <c r="JG494" s="11"/>
      <c r="JH494" s="11"/>
      <c r="JI494" s="11"/>
      <c r="JJ494" s="11"/>
      <c r="JK494" s="11"/>
      <c r="JL494" s="11"/>
      <c r="JM494" s="11"/>
      <c r="JN494" s="11"/>
      <c r="JO494" s="11"/>
      <c r="JP494" s="11"/>
      <c r="JQ494" s="11"/>
      <c r="JR494" s="11"/>
      <c r="JS494" s="11"/>
      <c r="JT494" s="11"/>
      <c r="JU494" s="11"/>
      <c r="JV494" s="11"/>
      <c r="JW494" s="11"/>
      <c r="JX494" s="11"/>
      <c r="JY494" s="11"/>
      <c r="JZ494" s="11"/>
      <c r="KA494" s="11"/>
      <c r="KB494" s="11"/>
      <c r="KC494" s="11"/>
      <c r="KD494" s="11"/>
      <c r="KE494" s="11"/>
      <c r="KF494" s="11"/>
      <c r="KG494" s="11"/>
      <c r="KH494" s="11"/>
      <c r="KI494" s="11"/>
      <c r="KJ494" s="11"/>
      <c r="KK494" s="11"/>
      <c r="KL494" s="11"/>
      <c r="KM494" s="11"/>
      <c r="KN494" s="11"/>
      <c r="KO494" s="11"/>
      <c r="KP494" s="11"/>
      <c r="KQ494" s="11"/>
      <c r="KR494" s="11"/>
      <c r="KS494" s="11"/>
      <c r="KT494" s="11"/>
      <c r="KU494" s="11"/>
      <c r="KV494" s="11"/>
      <c r="KW494" s="11"/>
      <c r="KX494" s="11"/>
      <c r="KY494" s="11"/>
      <c r="KZ494" s="11"/>
      <c r="LA494" s="11"/>
      <c r="LB494" s="11"/>
      <c r="LC494" s="11"/>
      <c r="LD494" s="11"/>
      <c r="LE494" s="11"/>
      <c r="LF494" s="11"/>
      <c r="LG494" s="11"/>
      <c r="LH494" s="11"/>
      <c r="LI494" s="11"/>
      <c r="LJ494" s="11"/>
      <c r="LK494" s="11"/>
      <c r="LL494" s="11"/>
      <c r="LM494" s="11"/>
      <c r="LN494" s="11"/>
      <c r="LO494" s="11"/>
      <c r="LP494" s="11"/>
      <c r="LQ494" s="11"/>
      <c r="LR494" s="11"/>
      <c r="LS494" s="11"/>
      <c r="LT494" s="11"/>
      <c r="LU494" s="11"/>
      <c r="LV494" s="11"/>
      <c r="LW494" s="11"/>
      <c r="LX494" s="11"/>
      <c r="LY494" s="11"/>
      <c r="LZ494" s="11"/>
      <c r="MA494" s="11"/>
      <c r="MB494" s="11"/>
      <c r="MC494" s="11"/>
      <c r="MD494" s="11"/>
      <c r="ME494" s="11"/>
      <c r="MF494" s="11"/>
      <c r="MG494" s="11"/>
      <c r="MH494" s="11"/>
      <c r="MI494" s="11"/>
      <c r="MJ494" s="11"/>
      <c r="MK494" s="11"/>
      <c r="ML494" s="11"/>
      <c r="MM494" s="11"/>
      <c r="MN494" s="11"/>
      <c r="MO494" s="11"/>
      <c r="MP494" s="11"/>
      <c r="MQ494" s="11"/>
      <c r="MR494" s="11"/>
      <c r="MS494" s="11"/>
      <c r="MT494" s="11"/>
      <c r="MU494" s="11"/>
      <c r="MV494" s="11"/>
      <c r="MW494" s="11"/>
      <c r="MX494" s="11"/>
      <c r="MY494" s="11"/>
      <c r="MZ494" s="11"/>
      <c r="NA494" s="11"/>
      <c r="NB494" s="11"/>
      <c r="NC494" s="11"/>
      <c r="ND494" s="11"/>
      <c r="NE494" s="11"/>
      <c r="NF494" s="11"/>
      <c r="NG494" s="11"/>
      <c r="NH494" s="11"/>
      <c r="NI494" s="11"/>
      <c r="NJ494" s="11"/>
      <c r="NK494" s="11"/>
      <c r="NL494" s="11"/>
      <c r="NM494" s="11"/>
      <c r="NN494" s="11"/>
      <c r="NO494" s="11"/>
      <c r="NP494" s="11"/>
      <c r="NQ494" s="11"/>
      <c r="NR494" s="11"/>
      <c r="NS494" s="11"/>
      <c r="NT494" s="11"/>
      <c r="NU494" s="11"/>
      <c r="NV494" s="11"/>
      <c r="NW494" s="11"/>
      <c r="NX494" s="11"/>
      <c r="NY494" s="11"/>
      <c r="NZ494" s="11"/>
      <c r="OA494" s="11"/>
      <c r="OB494" s="11"/>
      <c r="OC494" s="11"/>
      <c r="OD494" s="11"/>
      <c r="OE494" s="11"/>
      <c r="OF494" s="11"/>
      <c r="OG494" s="11"/>
      <c r="OH494" s="11"/>
      <c r="OI494" s="11"/>
      <c r="OJ494" s="11"/>
      <c r="OK494" s="11"/>
      <c r="OL494" s="11"/>
      <c r="OM494" s="11"/>
      <c r="ON494" s="11"/>
      <c r="OO494" s="11"/>
      <c r="OP494" s="11"/>
      <c r="OQ494" s="11"/>
      <c r="OR494" s="11"/>
      <c r="OS494" s="11"/>
      <c r="OT494" s="11"/>
      <c r="OU494" s="11"/>
      <c r="OV494" s="11"/>
      <c r="OW494" s="11"/>
      <c r="OX494" s="11"/>
      <c r="OY494" s="11"/>
      <c r="OZ494" s="11"/>
      <c r="PA494" s="11"/>
      <c r="PB494" s="11"/>
      <c r="PC494" s="11"/>
      <c r="PD494" s="11"/>
      <c r="PE494" s="11"/>
      <c r="PF494" s="11"/>
      <c r="PG494" s="11"/>
      <c r="PH494" s="11"/>
      <c r="PI494" s="11"/>
      <c r="PJ494" s="11"/>
      <c r="PK494" s="11"/>
      <c r="PL494" s="11"/>
      <c r="PM494" s="11"/>
      <c r="PN494" s="11"/>
      <c r="PO494" s="11"/>
      <c r="PP494" s="11"/>
      <c r="PQ494" s="11"/>
      <c r="PR494" s="11"/>
      <c r="PS494" s="11"/>
      <c r="PT494" s="11"/>
      <c r="PU494" s="11"/>
      <c r="PV494" s="11"/>
      <c r="PW494" s="11"/>
      <c r="PX494" s="11"/>
      <c r="PY494" s="11"/>
      <c r="PZ494" s="11"/>
      <c r="QA494" s="11"/>
      <c r="QB494" s="11"/>
      <c r="QC494" s="11"/>
      <c r="QD494" s="11"/>
      <c r="QE494" s="11"/>
      <c r="QF494" s="11"/>
      <c r="QG494" s="11"/>
      <c r="QH494" s="11"/>
      <c r="QI494" s="11"/>
      <c r="QJ494" s="11"/>
      <c r="QK494" s="11"/>
      <c r="QL494" s="11"/>
      <c r="QM494" s="11"/>
      <c r="QN494" s="11"/>
      <c r="QO494" s="11"/>
      <c r="QP494" s="11"/>
      <c r="QQ494" s="11"/>
      <c r="QR494" s="11"/>
      <c r="QS494" s="11"/>
      <c r="QT494" s="11"/>
      <c r="QU494" s="11"/>
      <c r="QV494" s="11"/>
      <c r="QW494" s="11"/>
      <c r="QX494" s="11"/>
      <c r="QY494" s="11"/>
      <c r="QZ494" s="11"/>
      <c r="RA494" s="11"/>
      <c r="RB494" s="11"/>
      <c r="RC494" s="11"/>
      <c r="RD494" s="11"/>
      <c r="RE494" s="11"/>
      <c r="RF494" s="11"/>
      <c r="RG494" s="11"/>
      <c r="RH494" s="11"/>
      <c r="RI494" s="11"/>
      <c r="RJ494" s="11"/>
      <c r="RK494" s="11"/>
      <c r="RL494" s="11"/>
      <c r="RM494" s="11"/>
      <c r="RN494" s="11"/>
      <c r="RO494" s="11"/>
      <c r="RP494" s="11"/>
      <c r="RQ494" s="11"/>
      <c r="RR494" s="11"/>
      <c r="RS494" s="11"/>
      <c r="RT494" s="11"/>
      <c r="RU494" s="11"/>
      <c r="RV494" s="11"/>
      <c r="RW494" s="11"/>
      <c r="RX494" s="11"/>
      <c r="RY494" s="11"/>
      <c r="RZ494" s="11"/>
      <c r="SA494" s="11"/>
      <c r="SB494" s="11"/>
      <c r="SC494" s="11"/>
      <c r="SD494" s="11"/>
      <c r="SE494" s="11"/>
      <c r="SF494" s="11"/>
      <c r="SG494" s="11"/>
      <c r="SH494" s="11">
        <v>1</v>
      </c>
    </row>
    <row r="495" spans="1:502" x14ac:dyDescent="0.2">
      <c r="A495" s="10">
        <v>7.504254967935238E-2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>
        <v>1</v>
      </c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  <c r="HO495" s="11"/>
      <c r="HP495" s="11"/>
      <c r="HQ495" s="11"/>
      <c r="HR495" s="11"/>
      <c r="HS495" s="11"/>
      <c r="HT495" s="11"/>
      <c r="HU495" s="11"/>
      <c r="HV495" s="11"/>
      <c r="HW495" s="11"/>
      <c r="HX495" s="11"/>
      <c r="HY495" s="11"/>
      <c r="HZ495" s="11"/>
      <c r="IA495" s="11"/>
      <c r="IB495" s="11"/>
      <c r="IC495" s="11"/>
      <c r="ID495" s="11"/>
      <c r="IE495" s="11"/>
      <c r="IF495" s="11"/>
      <c r="IG495" s="11"/>
      <c r="IH495" s="11"/>
      <c r="II495" s="11"/>
      <c r="IJ495" s="11"/>
      <c r="IK495" s="11"/>
      <c r="IL495" s="11"/>
      <c r="IM495" s="11"/>
      <c r="IN495" s="11"/>
      <c r="IO495" s="11"/>
      <c r="IP495" s="11"/>
      <c r="IQ495" s="11"/>
      <c r="IR495" s="11"/>
      <c r="IS495" s="11"/>
      <c r="IT495" s="11"/>
      <c r="IU495" s="11"/>
      <c r="IV495" s="11"/>
      <c r="IW495" s="11"/>
      <c r="IX495" s="11"/>
      <c r="IY495" s="11"/>
      <c r="IZ495" s="11"/>
      <c r="JA495" s="11"/>
      <c r="JB495" s="11"/>
      <c r="JC495" s="11"/>
      <c r="JD495" s="11"/>
      <c r="JE495" s="11"/>
      <c r="JF495" s="11"/>
      <c r="JG495" s="11"/>
      <c r="JH495" s="11"/>
      <c r="JI495" s="11"/>
      <c r="JJ495" s="11"/>
      <c r="JK495" s="11"/>
      <c r="JL495" s="11"/>
      <c r="JM495" s="11"/>
      <c r="JN495" s="11"/>
      <c r="JO495" s="11"/>
      <c r="JP495" s="11"/>
      <c r="JQ495" s="11"/>
      <c r="JR495" s="11"/>
      <c r="JS495" s="11"/>
      <c r="JT495" s="11"/>
      <c r="JU495" s="11"/>
      <c r="JV495" s="11"/>
      <c r="JW495" s="11"/>
      <c r="JX495" s="11"/>
      <c r="JY495" s="11"/>
      <c r="JZ495" s="11"/>
      <c r="KA495" s="11"/>
      <c r="KB495" s="11"/>
      <c r="KC495" s="11"/>
      <c r="KD495" s="11"/>
      <c r="KE495" s="11"/>
      <c r="KF495" s="11"/>
      <c r="KG495" s="11"/>
      <c r="KH495" s="11"/>
      <c r="KI495" s="11"/>
      <c r="KJ495" s="11"/>
      <c r="KK495" s="11"/>
      <c r="KL495" s="11"/>
      <c r="KM495" s="11"/>
      <c r="KN495" s="11"/>
      <c r="KO495" s="11"/>
      <c r="KP495" s="11"/>
      <c r="KQ495" s="11"/>
      <c r="KR495" s="11"/>
      <c r="KS495" s="11"/>
      <c r="KT495" s="11"/>
      <c r="KU495" s="11"/>
      <c r="KV495" s="11"/>
      <c r="KW495" s="11"/>
      <c r="KX495" s="11"/>
      <c r="KY495" s="11"/>
      <c r="KZ495" s="11"/>
      <c r="LA495" s="11"/>
      <c r="LB495" s="11"/>
      <c r="LC495" s="11"/>
      <c r="LD495" s="11"/>
      <c r="LE495" s="11"/>
      <c r="LF495" s="11"/>
      <c r="LG495" s="11"/>
      <c r="LH495" s="11"/>
      <c r="LI495" s="11"/>
      <c r="LJ495" s="11"/>
      <c r="LK495" s="11"/>
      <c r="LL495" s="11"/>
      <c r="LM495" s="11"/>
      <c r="LN495" s="11"/>
      <c r="LO495" s="11"/>
      <c r="LP495" s="11"/>
      <c r="LQ495" s="11"/>
      <c r="LR495" s="11"/>
      <c r="LS495" s="11"/>
      <c r="LT495" s="11"/>
      <c r="LU495" s="11"/>
      <c r="LV495" s="11"/>
      <c r="LW495" s="11"/>
      <c r="LX495" s="11"/>
      <c r="LY495" s="11"/>
      <c r="LZ495" s="11"/>
      <c r="MA495" s="11"/>
      <c r="MB495" s="11"/>
      <c r="MC495" s="11"/>
      <c r="MD495" s="11"/>
      <c r="ME495" s="11"/>
      <c r="MF495" s="11"/>
      <c r="MG495" s="11"/>
      <c r="MH495" s="11"/>
      <c r="MI495" s="11"/>
      <c r="MJ495" s="11"/>
      <c r="MK495" s="11"/>
      <c r="ML495" s="11"/>
      <c r="MM495" s="11"/>
      <c r="MN495" s="11"/>
      <c r="MO495" s="11"/>
      <c r="MP495" s="11"/>
      <c r="MQ495" s="11"/>
      <c r="MR495" s="11"/>
      <c r="MS495" s="11"/>
      <c r="MT495" s="11"/>
      <c r="MU495" s="11"/>
      <c r="MV495" s="11"/>
      <c r="MW495" s="11"/>
      <c r="MX495" s="11"/>
      <c r="MY495" s="11"/>
      <c r="MZ495" s="11"/>
      <c r="NA495" s="11"/>
      <c r="NB495" s="11"/>
      <c r="NC495" s="11"/>
      <c r="ND495" s="11"/>
      <c r="NE495" s="11"/>
      <c r="NF495" s="11"/>
      <c r="NG495" s="11"/>
      <c r="NH495" s="11"/>
      <c r="NI495" s="11"/>
      <c r="NJ495" s="11"/>
      <c r="NK495" s="11"/>
      <c r="NL495" s="11"/>
      <c r="NM495" s="11"/>
      <c r="NN495" s="11"/>
      <c r="NO495" s="11"/>
      <c r="NP495" s="11"/>
      <c r="NQ495" s="11"/>
      <c r="NR495" s="11"/>
      <c r="NS495" s="11"/>
      <c r="NT495" s="11"/>
      <c r="NU495" s="11"/>
      <c r="NV495" s="11"/>
      <c r="NW495" s="11"/>
      <c r="NX495" s="11"/>
      <c r="NY495" s="11"/>
      <c r="NZ495" s="11"/>
      <c r="OA495" s="11"/>
      <c r="OB495" s="11"/>
      <c r="OC495" s="11"/>
      <c r="OD495" s="11"/>
      <c r="OE495" s="11"/>
      <c r="OF495" s="11"/>
      <c r="OG495" s="11"/>
      <c r="OH495" s="11"/>
      <c r="OI495" s="11"/>
      <c r="OJ495" s="11"/>
      <c r="OK495" s="11"/>
      <c r="OL495" s="11"/>
      <c r="OM495" s="11"/>
      <c r="ON495" s="11"/>
      <c r="OO495" s="11"/>
      <c r="OP495" s="11"/>
      <c r="OQ495" s="11"/>
      <c r="OR495" s="11"/>
      <c r="OS495" s="11"/>
      <c r="OT495" s="11"/>
      <c r="OU495" s="11"/>
      <c r="OV495" s="11"/>
      <c r="OW495" s="11"/>
      <c r="OX495" s="11"/>
      <c r="OY495" s="11"/>
      <c r="OZ495" s="11"/>
      <c r="PA495" s="11"/>
      <c r="PB495" s="11"/>
      <c r="PC495" s="11"/>
      <c r="PD495" s="11"/>
      <c r="PE495" s="11"/>
      <c r="PF495" s="11"/>
      <c r="PG495" s="11"/>
      <c r="PH495" s="11"/>
      <c r="PI495" s="11"/>
      <c r="PJ495" s="11"/>
      <c r="PK495" s="11"/>
      <c r="PL495" s="11"/>
      <c r="PM495" s="11"/>
      <c r="PN495" s="11"/>
      <c r="PO495" s="11"/>
      <c r="PP495" s="11"/>
      <c r="PQ495" s="11"/>
      <c r="PR495" s="11"/>
      <c r="PS495" s="11"/>
      <c r="PT495" s="11"/>
      <c r="PU495" s="11"/>
      <c r="PV495" s="11"/>
      <c r="PW495" s="11"/>
      <c r="PX495" s="11"/>
      <c r="PY495" s="11"/>
      <c r="PZ495" s="11"/>
      <c r="QA495" s="11"/>
      <c r="QB495" s="11"/>
      <c r="QC495" s="11"/>
      <c r="QD495" s="11"/>
      <c r="QE495" s="11"/>
      <c r="QF495" s="11"/>
      <c r="QG495" s="11"/>
      <c r="QH495" s="11"/>
      <c r="QI495" s="11"/>
      <c r="QJ495" s="11"/>
      <c r="QK495" s="11"/>
      <c r="QL495" s="11"/>
      <c r="QM495" s="11"/>
      <c r="QN495" s="11"/>
      <c r="QO495" s="11"/>
      <c r="QP495" s="11"/>
      <c r="QQ495" s="11"/>
      <c r="QR495" s="11"/>
      <c r="QS495" s="11"/>
      <c r="QT495" s="11"/>
      <c r="QU495" s="11"/>
      <c r="QV495" s="11"/>
      <c r="QW495" s="11"/>
      <c r="QX495" s="11"/>
      <c r="QY495" s="11"/>
      <c r="QZ495" s="11"/>
      <c r="RA495" s="11"/>
      <c r="RB495" s="11"/>
      <c r="RC495" s="11"/>
      <c r="RD495" s="11"/>
      <c r="RE495" s="11"/>
      <c r="RF495" s="11"/>
      <c r="RG495" s="11"/>
      <c r="RH495" s="11"/>
      <c r="RI495" s="11"/>
      <c r="RJ495" s="11"/>
      <c r="RK495" s="11"/>
      <c r="RL495" s="11"/>
      <c r="RM495" s="11"/>
      <c r="RN495" s="11"/>
      <c r="RO495" s="11"/>
      <c r="RP495" s="11"/>
      <c r="RQ495" s="11"/>
      <c r="RR495" s="11"/>
      <c r="RS495" s="11"/>
      <c r="RT495" s="11"/>
      <c r="RU495" s="11"/>
      <c r="RV495" s="11"/>
      <c r="RW495" s="11"/>
      <c r="RX495" s="11"/>
      <c r="RY495" s="11"/>
      <c r="RZ495" s="11"/>
      <c r="SA495" s="11"/>
      <c r="SB495" s="11"/>
      <c r="SC495" s="11"/>
      <c r="SD495" s="11"/>
      <c r="SE495" s="11"/>
      <c r="SF495" s="11"/>
      <c r="SG495" s="11"/>
      <c r="SH495" s="11">
        <v>1</v>
      </c>
    </row>
    <row r="496" spans="1:502" x14ac:dyDescent="0.2">
      <c r="A496" s="10">
        <v>7.6331342357781454E-2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>
        <v>1</v>
      </c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  <c r="MN496" s="11"/>
      <c r="MO496" s="11"/>
      <c r="MP496" s="11"/>
      <c r="MQ496" s="11"/>
      <c r="MR496" s="11"/>
      <c r="MS496" s="11"/>
      <c r="MT496" s="11"/>
      <c r="MU496" s="11"/>
      <c r="MV496" s="11"/>
      <c r="MW496" s="11"/>
      <c r="MX496" s="11"/>
      <c r="MY496" s="11"/>
      <c r="MZ496" s="11"/>
      <c r="NA496" s="11"/>
      <c r="NB496" s="11"/>
      <c r="NC496" s="11"/>
      <c r="ND496" s="11"/>
      <c r="NE496" s="11"/>
      <c r="NF496" s="11"/>
      <c r="NG496" s="11"/>
      <c r="NH496" s="11"/>
      <c r="NI496" s="11"/>
      <c r="NJ496" s="11"/>
      <c r="NK496" s="11"/>
      <c r="NL496" s="11"/>
      <c r="NM496" s="11"/>
      <c r="NN496" s="11"/>
      <c r="NO496" s="11"/>
      <c r="NP496" s="11"/>
      <c r="NQ496" s="11"/>
      <c r="NR496" s="11"/>
      <c r="NS496" s="11"/>
      <c r="NT496" s="11"/>
      <c r="NU496" s="11"/>
      <c r="NV496" s="11"/>
      <c r="NW496" s="11"/>
      <c r="NX496" s="11"/>
      <c r="NY496" s="11"/>
      <c r="NZ496" s="11"/>
      <c r="OA496" s="11"/>
      <c r="OB496" s="11"/>
      <c r="OC496" s="11"/>
      <c r="OD496" s="11"/>
      <c r="OE496" s="11"/>
      <c r="OF496" s="11"/>
      <c r="OG496" s="11"/>
      <c r="OH496" s="11"/>
      <c r="OI496" s="11"/>
      <c r="OJ496" s="11"/>
      <c r="OK496" s="11"/>
      <c r="OL496" s="11"/>
      <c r="OM496" s="11"/>
      <c r="ON496" s="11"/>
      <c r="OO496" s="11"/>
      <c r="OP496" s="11"/>
      <c r="OQ496" s="11"/>
      <c r="OR496" s="11"/>
      <c r="OS496" s="11"/>
      <c r="OT496" s="11"/>
      <c r="OU496" s="11"/>
      <c r="OV496" s="11"/>
      <c r="OW496" s="11"/>
      <c r="OX496" s="11"/>
      <c r="OY496" s="11"/>
      <c r="OZ496" s="11"/>
      <c r="PA496" s="11"/>
      <c r="PB496" s="11"/>
      <c r="PC496" s="11"/>
      <c r="PD496" s="11"/>
      <c r="PE496" s="11"/>
      <c r="PF496" s="11"/>
      <c r="PG496" s="11"/>
      <c r="PH496" s="11"/>
      <c r="PI496" s="11"/>
      <c r="PJ496" s="11"/>
      <c r="PK496" s="11"/>
      <c r="PL496" s="11"/>
      <c r="PM496" s="11"/>
      <c r="PN496" s="11"/>
      <c r="PO496" s="11"/>
      <c r="PP496" s="11"/>
      <c r="PQ496" s="11"/>
      <c r="PR496" s="11"/>
      <c r="PS496" s="11"/>
      <c r="PT496" s="11"/>
      <c r="PU496" s="11"/>
      <c r="PV496" s="11"/>
      <c r="PW496" s="11"/>
      <c r="PX496" s="11"/>
      <c r="PY496" s="11"/>
      <c r="PZ496" s="11"/>
      <c r="QA496" s="11"/>
      <c r="QB496" s="11"/>
      <c r="QC496" s="11"/>
      <c r="QD496" s="11"/>
      <c r="QE496" s="11"/>
      <c r="QF496" s="11"/>
      <c r="QG496" s="11"/>
      <c r="QH496" s="11"/>
      <c r="QI496" s="11"/>
      <c r="QJ496" s="11"/>
      <c r="QK496" s="11"/>
      <c r="QL496" s="11"/>
      <c r="QM496" s="11"/>
      <c r="QN496" s="11"/>
      <c r="QO496" s="11"/>
      <c r="QP496" s="11"/>
      <c r="QQ496" s="11"/>
      <c r="QR496" s="11"/>
      <c r="QS496" s="11"/>
      <c r="QT496" s="11"/>
      <c r="QU496" s="11"/>
      <c r="QV496" s="11"/>
      <c r="QW496" s="11"/>
      <c r="QX496" s="11"/>
      <c r="QY496" s="11"/>
      <c r="QZ496" s="11"/>
      <c r="RA496" s="11"/>
      <c r="RB496" s="11"/>
      <c r="RC496" s="11"/>
      <c r="RD496" s="11"/>
      <c r="RE496" s="11"/>
      <c r="RF496" s="11"/>
      <c r="RG496" s="11"/>
      <c r="RH496" s="11"/>
      <c r="RI496" s="11"/>
      <c r="RJ496" s="11"/>
      <c r="RK496" s="11"/>
      <c r="RL496" s="11"/>
      <c r="RM496" s="11"/>
      <c r="RN496" s="11"/>
      <c r="RO496" s="11"/>
      <c r="RP496" s="11"/>
      <c r="RQ496" s="11"/>
      <c r="RR496" s="11"/>
      <c r="RS496" s="11"/>
      <c r="RT496" s="11"/>
      <c r="RU496" s="11"/>
      <c r="RV496" s="11"/>
      <c r="RW496" s="11"/>
      <c r="RX496" s="11"/>
      <c r="RY496" s="11"/>
      <c r="RZ496" s="11"/>
      <c r="SA496" s="11"/>
      <c r="SB496" s="11"/>
      <c r="SC496" s="11"/>
      <c r="SD496" s="11"/>
      <c r="SE496" s="11"/>
      <c r="SF496" s="11"/>
      <c r="SG496" s="11"/>
      <c r="SH496" s="11">
        <v>1</v>
      </c>
    </row>
    <row r="497" spans="1:502" x14ac:dyDescent="0.2">
      <c r="A497" s="10">
        <v>8.0645611356269742E-2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  <c r="HO497" s="11"/>
      <c r="HP497" s="11"/>
      <c r="HQ497" s="11"/>
      <c r="HR497" s="11"/>
      <c r="HS497" s="11"/>
      <c r="HT497" s="11"/>
      <c r="HU497" s="11"/>
      <c r="HV497" s="11"/>
      <c r="HW497" s="11"/>
      <c r="HX497" s="11"/>
      <c r="HY497" s="11"/>
      <c r="HZ497" s="11"/>
      <c r="IA497" s="11"/>
      <c r="IB497" s="11"/>
      <c r="IC497" s="11"/>
      <c r="ID497" s="11"/>
      <c r="IE497" s="11"/>
      <c r="IF497" s="11"/>
      <c r="IG497" s="11"/>
      <c r="IH497" s="11"/>
      <c r="II497" s="11"/>
      <c r="IJ497" s="11"/>
      <c r="IK497" s="11"/>
      <c r="IL497" s="11"/>
      <c r="IM497" s="11"/>
      <c r="IN497" s="11"/>
      <c r="IO497" s="11"/>
      <c r="IP497" s="11"/>
      <c r="IQ497" s="11"/>
      <c r="IR497" s="11"/>
      <c r="IS497" s="11"/>
      <c r="IT497" s="11"/>
      <c r="IU497" s="11"/>
      <c r="IV497" s="11"/>
      <c r="IW497" s="11"/>
      <c r="IX497" s="11"/>
      <c r="IY497" s="11"/>
      <c r="IZ497" s="11"/>
      <c r="JA497" s="11"/>
      <c r="JB497" s="11"/>
      <c r="JC497" s="11"/>
      <c r="JD497" s="11"/>
      <c r="JE497" s="11"/>
      <c r="JF497" s="11"/>
      <c r="JG497" s="11"/>
      <c r="JH497" s="11"/>
      <c r="JI497" s="11"/>
      <c r="JJ497" s="11"/>
      <c r="JK497" s="11"/>
      <c r="JL497" s="11"/>
      <c r="JM497" s="11"/>
      <c r="JN497" s="11"/>
      <c r="JO497" s="11"/>
      <c r="JP497" s="11"/>
      <c r="JQ497" s="11"/>
      <c r="JR497" s="11"/>
      <c r="JS497" s="11"/>
      <c r="JT497" s="11"/>
      <c r="JU497" s="11"/>
      <c r="JV497" s="11"/>
      <c r="JW497" s="11"/>
      <c r="JX497" s="11"/>
      <c r="JY497" s="11"/>
      <c r="JZ497" s="11"/>
      <c r="KA497" s="11"/>
      <c r="KB497" s="11">
        <v>1</v>
      </c>
      <c r="KC497" s="11"/>
      <c r="KD497" s="11"/>
      <c r="KE497" s="11"/>
      <c r="KF497" s="11"/>
      <c r="KG497" s="11"/>
      <c r="KH497" s="11"/>
      <c r="KI497" s="11"/>
      <c r="KJ497" s="11"/>
      <c r="KK497" s="11"/>
      <c r="KL497" s="11"/>
      <c r="KM497" s="11"/>
      <c r="KN497" s="11"/>
      <c r="KO497" s="11"/>
      <c r="KP497" s="11"/>
      <c r="KQ497" s="11"/>
      <c r="KR497" s="11"/>
      <c r="KS497" s="11"/>
      <c r="KT497" s="11"/>
      <c r="KU497" s="11"/>
      <c r="KV497" s="11"/>
      <c r="KW497" s="11"/>
      <c r="KX497" s="11"/>
      <c r="KY497" s="11"/>
      <c r="KZ497" s="11"/>
      <c r="LA497" s="11"/>
      <c r="LB497" s="11"/>
      <c r="LC497" s="11"/>
      <c r="LD497" s="11"/>
      <c r="LE497" s="11"/>
      <c r="LF497" s="11"/>
      <c r="LG497" s="11"/>
      <c r="LH497" s="11"/>
      <c r="LI497" s="11"/>
      <c r="LJ497" s="11"/>
      <c r="LK497" s="11"/>
      <c r="LL497" s="11"/>
      <c r="LM497" s="11"/>
      <c r="LN497" s="11"/>
      <c r="LO497" s="11"/>
      <c r="LP497" s="11"/>
      <c r="LQ497" s="11"/>
      <c r="LR497" s="11"/>
      <c r="LS497" s="11"/>
      <c r="LT497" s="11"/>
      <c r="LU497" s="11"/>
      <c r="LV497" s="11"/>
      <c r="LW497" s="11"/>
      <c r="LX497" s="11"/>
      <c r="LY497" s="11"/>
      <c r="LZ497" s="11"/>
      <c r="MA497" s="11"/>
      <c r="MB497" s="11"/>
      <c r="MC497" s="11"/>
      <c r="MD497" s="11"/>
      <c r="ME497" s="11"/>
      <c r="MF497" s="11"/>
      <c r="MG497" s="11"/>
      <c r="MH497" s="11"/>
      <c r="MI497" s="11"/>
      <c r="MJ497" s="11"/>
      <c r="MK497" s="11"/>
      <c r="ML497" s="11"/>
      <c r="MM497" s="11"/>
      <c r="MN497" s="11"/>
      <c r="MO497" s="11"/>
      <c r="MP497" s="11"/>
      <c r="MQ497" s="11"/>
      <c r="MR497" s="11"/>
      <c r="MS497" s="11"/>
      <c r="MT497" s="11"/>
      <c r="MU497" s="11"/>
      <c r="MV497" s="11"/>
      <c r="MW497" s="11"/>
      <c r="MX497" s="11"/>
      <c r="MY497" s="11"/>
      <c r="MZ497" s="11"/>
      <c r="NA497" s="11"/>
      <c r="NB497" s="11"/>
      <c r="NC497" s="11"/>
      <c r="ND497" s="11"/>
      <c r="NE497" s="11"/>
      <c r="NF497" s="11"/>
      <c r="NG497" s="11"/>
      <c r="NH497" s="11"/>
      <c r="NI497" s="11"/>
      <c r="NJ497" s="11"/>
      <c r="NK497" s="11"/>
      <c r="NL497" s="11"/>
      <c r="NM497" s="11"/>
      <c r="NN497" s="11"/>
      <c r="NO497" s="11"/>
      <c r="NP497" s="11"/>
      <c r="NQ497" s="11"/>
      <c r="NR497" s="11"/>
      <c r="NS497" s="11"/>
      <c r="NT497" s="11"/>
      <c r="NU497" s="11"/>
      <c r="NV497" s="11"/>
      <c r="NW497" s="11"/>
      <c r="NX497" s="11"/>
      <c r="NY497" s="11"/>
      <c r="NZ497" s="11"/>
      <c r="OA497" s="11"/>
      <c r="OB497" s="11"/>
      <c r="OC497" s="11"/>
      <c r="OD497" s="11"/>
      <c r="OE497" s="11"/>
      <c r="OF497" s="11"/>
      <c r="OG497" s="11"/>
      <c r="OH497" s="11"/>
      <c r="OI497" s="11"/>
      <c r="OJ497" s="11"/>
      <c r="OK497" s="11"/>
      <c r="OL497" s="11"/>
      <c r="OM497" s="11"/>
      <c r="ON497" s="11"/>
      <c r="OO497" s="11"/>
      <c r="OP497" s="11"/>
      <c r="OQ497" s="11"/>
      <c r="OR497" s="11"/>
      <c r="OS497" s="11"/>
      <c r="OT497" s="11"/>
      <c r="OU497" s="11"/>
      <c r="OV497" s="11"/>
      <c r="OW497" s="11"/>
      <c r="OX497" s="11"/>
      <c r="OY497" s="11"/>
      <c r="OZ497" s="11"/>
      <c r="PA497" s="11"/>
      <c r="PB497" s="11"/>
      <c r="PC497" s="11"/>
      <c r="PD497" s="11"/>
      <c r="PE497" s="11"/>
      <c r="PF497" s="11"/>
      <c r="PG497" s="11"/>
      <c r="PH497" s="11"/>
      <c r="PI497" s="11"/>
      <c r="PJ497" s="11"/>
      <c r="PK497" s="11"/>
      <c r="PL497" s="11"/>
      <c r="PM497" s="11"/>
      <c r="PN497" s="11"/>
      <c r="PO497" s="11"/>
      <c r="PP497" s="11"/>
      <c r="PQ497" s="11"/>
      <c r="PR497" s="11"/>
      <c r="PS497" s="11"/>
      <c r="PT497" s="11"/>
      <c r="PU497" s="11"/>
      <c r="PV497" s="11"/>
      <c r="PW497" s="11"/>
      <c r="PX497" s="11"/>
      <c r="PY497" s="11"/>
      <c r="PZ497" s="11"/>
      <c r="QA497" s="11"/>
      <c r="QB497" s="11"/>
      <c r="QC497" s="11"/>
      <c r="QD497" s="11"/>
      <c r="QE497" s="11"/>
      <c r="QF497" s="11"/>
      <c r="QG497" s="11"/>
      <c r="QH497" s="11"/>
      <c r="QI497" s="11"/>
      <c r="QJ497" s="11"/>
      <c r="QK497" s="11"/>
      <c r="QL497" s="11"/>
      <c r="QM497" s="11"/>
      <c r="QN497" s="11"/>
      <c r="QO497" s="11"/>
      <c r="QP497" s="11"/>
      <c r="QQ497" s="11"/>
      <c r="QR497" s="11"/>
      <c r="QS497" s="11"/>
      <c r="QT497" s="11"/>
      <c r="QU497" s="11"/>
      <c r="QV497" s="11"/>
      <c r="QW497" s="11"/>
      <c r="QX497" s="11"/>
      <c r="QY497" s="11"/>
      <c r="QZ497" s="11"/>
      <c r="RA497" s="11"/>
      <c r="RB497" s="11"/>
      <c r="RC497" s="11"/>
      <c r="RD497" s="11"/>
      <c r="RE497" s="11"/>
      <c r="RF497" s="11"/>
      <c r="RG497" s="11"/>
      <c r="RH497" s="11"/>
      <c r="RI497" s="11"/>
      <c r="RJ497" s="11"/>
      <c r="RK497" s="11"/>
      <c r="RL497" s="11"/>
      <c r="RM497" s="11"/>
      <c r="RN497" s="11"/>
      <c r="RO497" s="11"/>
      <c r="RP497" s="11"/>
      <c r="RQ497" s="11"/>
      <c r="RR497" s="11"/>
      <c r="RS497" s="11"/>
      <c r="RT497" s="11"/>
      <c r="RU497" s="11"/>
      <c r="RV497" s="11"/>
      <c r="RW497" s="11"/>
      <c r="RX497" s="11"/>
      <c r="RY497" s="11"/>
      <c r="RZ497" s="11"/>
      <c r="SA497" s="11"/>
      <c r="SB497" s="11"/>
      <c r="SC497" s="11"/>
      <c r="SD497" s="11"/>
      <c r="SE497" s="11"/>
      <c r="SF497" s="11"/>
      <c r="SG497" s="11"/>
      <c r="SH497" s="11">
        <v>1</v>
      </c>
    </row>
    <row r="498" spans="1:502" x14ac:dyDescent="0.2">
      <c r="A498" s="10">
        <v>8.5259700531661098E-2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>
        <v>1</v>
      </c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  <c r="GP498" s="11"/>
      <c r="GQ498" s="11"/>
      <c r="GR498" s="11"/>
      <c r="GS498" s="11"/>
      <c r="GT498" s="11"/>
      <c r="GU498" s="11"/>
      <c r="GV498" s="11"/>
      <c r="GW498" s="11"/>
      <c r="GX498" s="11"/>
      <c r="GY498" s="11"/>
      <c r="GZ498" s="11"/>
      <c r="HA498" s="11"/>
      <c r="HB498" s="11"/>
      <c r="HC498" s="11"/>
      <c r="HD498" s="11"/>
      <c r="HE498" s="11"/>
      <c r="HF498" s="11"/>
      <c r="HG498" s="11"/>
      <c r="HH498" s="11"/>
      <c r="HI498" s="11"/>
      <c r="HJ498" s="11"/>
      <c r="HK498" s="11"/>
      <c r="HL498" s="11"/>
      <c r="HM498" s="11"/>
      <c r="HN498" s="11"/>
      <c r="HO498" s="11"/>
      <c r="HP498" s="11"/>
      <c r="HQ498" s="11"/>
      <c r="HR498" s="11"/>
      <c r="HS498" s="11"/>
      <c r="HT498" s="11"/>
      <c r="HU498" s="11"/>
      <c r="HV498" s="11"/>
      <c r="HW498" s="11"/>
      <c r="HX498" s="11"/>
      <c r="HY498" s="11"/>
      <c r="HZ498" s="11"/>
      <c r="IA498" s="11"/>
      <c r="IB498" s="11"/>
      <c r="IC498" s="11"/>
      <c r="ID498" s="11"/>
      <c r="IE498" s="11"/>
      <c r="IF498" s="11"/>
      <c r="IG498" s="11"/>
      <c r="IH498" s="11"/>
      <c r="II498" s="11"/>
      <c r="IJ498" s="11"/>
      <c r="IK498" s="11"/>
      <c r="IL498" s="11"/>
      <c r="IM498" s="11"/>
      <c r="IN498" s="11"/>
      <c r="IO498" s="11"/>
      <c r="IP498" s="11"/>
      <c r="IQ498" s="11"/>
      <c r="IR498" s="11"/>
      <c r="IS498" s="11"/>
      <c r="IT498" s="11"/>
      <c r="IU498" s="11"/>
      <c r="IV498" s="11"/>
      <c r="IW498" s="11"/>
      <c r="IX498" s="11"/>
      <c r="IY498" s="11"/>
      <c r="IZ498" s="11"/>
      <c r="JA498" s="11"/>
      <c r="JB498" s="11"/>
      <c r="JC498" s="11"/>
      <c r="JD498" s="11"/>
      <c r="JE498" s="11"/>
      <c r="JF498" s="11"/>
      <c r="JG498" s="11"/>
      <c r="JH498" s="11"/>
      <c r="JI498" s="11"/>
      <c r="JJ498" s="11"/>
      <c r="JK498" s="11"/>
      <c r="JL498" s="11"/>
      <c r="JM498" s="11"/>
      <c r="JN498" s="11"/>
      <c r="JO498" s="11"/>
      <c r="JP498" s="11"/>
      <c r="JQ498" s="11"/>
      <c r="JR498" s="11"/>
      <c r="JS498" s="11"/>
      <c r="JT498" s="11"/>
      <c r="JU498" s="11"/>
      <c r="JV498" s="11"/>
      <c r="JW498" s="11"/>
      <c r="JX498" s="11"/>
      <c r="JY498" s="11"/>
      <c r="JZ498" s="11"/>
      <c r="KA498" s="11"/>
      <c r="KB498" s="11"/>
      <c r="KC498" s="11"/>
      <c r="KD498" s="11"/>
      <c r="KE498" s="11"/>
      <c r="KF498" s="11"/>
      <c r="KG498" s="11"/>
      <c r="KH498" s="11"/>
      <c r="KI498" s="11"/>
      <c r="KJ498" s="11"/>
      <c r="KK498" s="11"/>
      <c r="KL498" s="11"/>
      <c r="KM498" s="11"/>
      <c r="KN498" s="11"/>
      <c r="KO498" s="11"/>
      <c r="KP498" s="11"/>
      <c r="KQ498" s="11"/>
      <c r="KR498" s="11"/>
      <c r="KS498" s="11"/>
      <c r="KT498" s="11"/>
      <c r="KU498" s="11"/>
      <c r="KV498" s="11"/>
      <c r="KW498" s="11"/>
      <c r="KX498" s="11"/>
      <c r="KY498" s="11"/>
      <c r="KZ498" s="11"/>
      <c r="LA498" s="11"/>
      <c r="LB498" s="11"/>
      <c r="LC498" s="11"/>
      <c r="LD498" s="11"/>
      <c r="LE498" s="11"/>
      <c r="LF498" s="11"/>
      <c r="LG498" s="11"/>
      <c r="LH498" s="11"/>
      <c r="LI498" s="11"/>
      <c r="LJ498" s="11"/>
      <c r="LK498" s="11"/>
      <c r="LL498" s="11"/>
      <c r="LM498" s="11"/>
      <c r="LN498" s="11"/>
      <c r="LO498" s="11"/>
      <c r="LP498" s="11"/>
      <c r="LQ498" s="11"/>
      <c r="LR498" s="11"/>
      <c r="LS498" s="11"/>
      <c r="LT498" s="11"/>
      <c r="LU498" s="11"/>
      <c r="LV498" s="11"/>
      <c r="LW498" s="11"/>
      <c r="LX498" s="11"/>
      <c r="LY498" s="11"/>
      <c r="LZ498" s="11"/>
      <c r="MA498" s="11"/>
      <c r="MB498" s="11"/>
      <c r="MC498" s="11"/>
      <c r="MD498" s="11"/>
      <c r="ME498" s="11"/>
      <c r="MF498" s="11"/>
      <c r="MG498" s="11"/>
      <c r="MH498" s="11"/>
      <c r="MI498" s="11"/>
      <c r="MJ498" s="11"/>
      <c r="MK498" s="11"/>
      <c r="ML498" s="11"/>
      <c r="MM498" s="11"/>
      <c r="MN498" s="11"/>
      <c r="MO498" s="11"/>
      <c r="MP498" s="11"/>
      <c r="MQ498" s="11"/>
      <c r="MR498" s="11"/>
      <c r="MS498" s="11"/>
      <c r="MT498" s="11"/>
      <c r="MU498" s="11"/>
      <c r="MV498" s="11"/>
      <c r="MW498" s="11"/>
      <c r="MX498" s="11"/>
      <c r="MY498" s="11"/>
      <c r="MZ498" s="11"/>
      <c r="NA498" s="11"/>
      <c r="NB498" s="11"/>
      <c r="NC498" s="11"/>
      <c r="ND498" s="11"/>
      <c r="NE498" s="11"/>
      <c r="NF498" s="11"/>
      <c r="NG498" s="11"/>
      <c r="NH498" s="11"/>
      <c r="NI498" s="11"/>
      <c r="NJ498" s="11"/>
      <c r="NK498" s="11"/>
      <c r="NL498" s="11"/>
      <c r="NM498" s="11"/>
      <c r="NN498" s="11"/>
      <c r="NO498" s="11"/>
      <c r="NP498" s="11"/>
      <c r="NQ498" s="11"/>
      <c r="NR498" s="11"/>
      <c r="NS498" s="11"/>
      <c r="NT498" s="11"/>
      <c r="NU498" s="11"/>
      <c r="NV498" s="11"/>
      <c r="NW498" s="11"/>
      <c r="NX498" s="11"/>
      <c r="NY498" s="11"/>
      <c r="NZ498" s="11"/>
      <c r="OA498" s="11"/>
      <c r="OB498" s="11"/>
      <c r="OC498" s="11"/>
      <c r="OD498" s="11"/>
      <c r="OE498" s="11"/>
      <c r="OF498" s="11"/>
      <c r="OG498" s="11"/>
      <c r="OH498" s="11"/>
      <c r="OI498" s="11"/>
      <c r="OJ498" s="11"/>
      <c r="OK498" s="11"/>
      <c r="OL498" s="11"/>
      <c r="OM498" s="11"/>
      <c r="ON498" s="11"/>
      <c r="OO498" s="11"/>
      <c r="OP498" s="11"/>
      <c r="OQ498" s="11"/>
      <c r="OR498" s="11"/>
      <c r="OS498" s="11"/>
      <c r="OT498" s="11"/>
      <c r="OU498" s="11"/>
      <c r="OV498" s="11"/>
      <c r="OW498" s="11"/>
      <c r="OX498" s="11"/>
      <c r="OY498" s="11"/>
      <c r="OZ498" s="11"/>
      <c r="PA498" s="11"/>
      <c r="PB498" s="11"/>
      <c r="PC498" s="11"/>
      <c r="PD498" s="11"/>
      <c r="PE498" s="11"/>
      <c r="PF498" s="11"/>
      <c r="PG498" s="11"/>
      <c r="PH498" s="11"/>
      <c r="PI498" s="11"/>
      <c r="PJ498" s="11"/>
      <c r="PK498" s="11"/>
      <c r="PL498" s="11"/>
      <c r="PM498" s="11"/>
      <c r="PN498" s="11"/>
      <c r="PO498" s="11"/>
      <c r="PP498" s="11"/>
      <c r="PQ498" s="11"/>
      <c r="PR498" s="11"/>
      <c r="PS498" s="11"/>
      <c r="PT498" s="11"/>
      <c r="PU498" s="11"/>
      <c r="PV498" s="11"/>
      <c r="PW498" s="11"/>
      <c r="PX498" s="11"/>
      <c r="PY498" s="11"/>
      <c r="PZ498" s="11"/>
      <c r="QA498" s="11"/>
      <c r="QB498" s="11"/>
      <c r="QC498" s="11"/>
      <c r="QD498" s="11"/>
      <c r="QE498" s="11"/>
      <c r="QF498" s="11"/>
      <c r="QG498" s="11"/>
      <c r="QH498" s="11"/>
      <c r="QI498" s="11"/>
      <c r="QJ498" s="11"/>
      <c r="QK498" s="11"/>
      <c r="QL498" s="11"/>
      <c r="QM498" s="11"/>
      <c r="QN498" s="11"/>
      <c r="QO498" s="11"/>
      <c r="QP498" s="11"/>
      <c r="QQ498" s="11"/>
      <c r="QR498" s="11"/>
      <c r="QS498" s="11"/>
      <c r="QT498" s="11"/>
      <c r="QU498" s="11"/>
      <c r="QV498" s="11"/>
      <c r="QW498" s="11"/>
      <c r="QX498" s="11"/>
      <c r="QY498" s="11"/>
      <c r="QZ498" s="11"/>
      <c r="RA498" s="11"/>
      <c r="RB498" s="11"/>
      <c r="RC498" s="11"/>
      <c r="RD498" s="11"/>
      <c r="RE498" s="11"/>
      <c r="RF498" s="11"/>
      <c r="RG498" s="11"/>
      <c r="RH498" s="11"/>
      <c r="RI498" s="11"/>
      <c r="RJ498" s="11"/>
      <c r="RK498" s="11"/>
      <c r="RL498" s="11"/>
      <c r="RM498" s="11"/>
      <c r="RN498" s="11"/>
      <c r="RO498" s="11"/>
      <c r="RP498" s="11"/>
      <c r="RQ498" s="11"/>
      <c r="RR498" s="11"/>
      <c r="RS498" s="11"/>
      <c r="RT498" s="11"/>
      <c r="RU498" s="11"/>
      <c r="RV498" s="11"/>
      <c r="RW498" s="11"/>
      <c r="RX498" s="11"/>
      <c r="RY498" s="11"/>
      <c r="RZ498" s="11"/>
      <c r="SA498" s="11"/>
      <c r="SB498" s="11"/>
      <c r="SC498" s="11"/>
      <c r="SD498" s="11"/>
      <c r="SE498" s="11"/>
      <c r="SF498" s="11"/>
      <c r="SG498" s="11"/>
      <c r="SH498" s="11">
        <v>1</v>
      </c>
    </row>
    <row r="499" spans="1:502" x14ac:dyDescent="0.2">
      <c r="A499" s="10">
        <v>9.10309702264053E-2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  <c r="HO499" s="11"/>
      <c r="HP499" s="11"/>
      <c r="HQ499" s="11"/>
      <c r="HR499" s="11"/>
      <c r="HS499" s="11"/>
      <c r="HT499" s="11"/>
      <c r="HU499" s="11"/>
      <c r="HV499" s="11"/>
      <c r="HW499" s="11"/>
      <c r="HX499" s="11"/>
      <c r="HY499" s="11"/>
      <c r="HZ499" s="11"/>
      <c r="IA499" s="11"/>
      <c r="IB499" s="11"/>
      <c r="IC499" s="11"/>
      <c r="ID499" s="11"/>
      <c r="IE499" s="11"/>
      <c r="IF499" s="11"/>
      <c r="IG499" s="11"/>
      <c r="IH499" s="11"/>
      <c r="II499" s="11"/>
      <c r="IJ499" s="11"/>
      <c r="IK499" s="11"/>
      <c r="IL499" s="11"/>
      <c r="IM499" s="11"/>
      <c r="IN499" s="11"/>
      <c r="IO499" s="11"/>
      <c r="IP499" s="11"/>
      <c r="IQ499" s="11"/>
      <c r="IR499" s="11"/>
      <c r="IS499" s="11"/>
      <c r="IT499" s="11"/>
      <c r="IU499" s="11"/>
      <c r="IV499" s="11"/>
      <c r="IW499" s="11"/>
      <c r="IX499" s="11"/>
      <c r="IY499" s="11"/>
      <c r="IZ499" s="11"/>
      <c r="JA499" s="11"/>
      <c r="JB499" s="11"/>
      <c r="JC499" s="11"/>
      <c r="JD499" s="11"/>
      <c r="JE499" s="11"/>
      <c r="JF499" s="11"/>
      <c r="JG499" s="11"/>
      <c r="JH499" s="11"/>
      <c r="JI499" s="11"/>
      <c r="JJ499" s="11"/>
      <c r="JK499" s="11"/>
      <c r="JL499" s="11"/>
      <c r="JM499" s="11"/>
      <c r="JN499" s="11"/>
      <c r="JO499" s="11"/>
      <c r="JP499" s="11"/>
      <c r="JQ499" s="11"/>
      <c r="JR499" s="11"/>
      <c r="JS499" s="11"/>
      <c r="JT499" s="11"/>
      <c r="JU499" s="11"/>
      <c r="JV499" s="11"/>
      <c r="JW499" s="11"/>
      <c r="JX499" s="11"/>
      <c r="JY499" s="11"/>
      <c r="JZ499" s="11"/>
      <c r="KA499" s="11"/>
      <c r="KB499" s="11"/>
      <c r="KC499" s="11"/>
      <c r="KD499" s="11"/>
      <c r="KE499" s="11"/>
      <c r="KF499" s="11"/>
      <c r="KG499" s="11"/>
      <c r="KH499" s="11"/>
      <c r="KI499" s="11"/>
      <c r="KJ499" s="11"/>
      <c r="KK499" s="11"/>
      <c r="KL499" s="11"/>
      <c r="KM499" s="11"/>
      <c r="KN499" s="11"/>
      <c r="KO499" s="11"/>
      <c r="KP499" s="11"/>
      <c r="KQ499" s="11"/>
      <c r="KR499" s="11"/>
      <c r="KS499" s="11"/>
      <c r="KT499" s="11"/>
      <c r="KU499" s="11"/>
      <c r="KV499" s="11"/>
      <c r="KW499" s="11"/>
      <c r="KX499" s="11"/>
      <c r="KY499" s="11"/>
      <c r="KZ499" s="11"/>
      <c r="LA499" s="11"/>
      <c r="LB499" s="11"/>
      <c r="LC499" s="11"/>
      <c r="LD499" s="11"/>
      <c r="LE499" s="11"/>
      <c r="LF499" s="11"/>
      <c r="LG499" s="11"/>
      <c r="LH499" s="11"/>
      <c r="LI499" s="11"/>
      <c r="LJ499" s="11"/>
      <c r="LK499" s="11"/>
      <c r="LL499" s="11"/>
      <c r="LM499" s="11"/>
      <c r="LN499" s="11"/>
      <c r="LO499" s="11"/>
      <c r="LP499" s="11"/>
      <c r="LQ499" s="11"/>
      <c r="LR499" s="11"/>
      <c r="LS499" s="11"/>
      <c r="LT499" s="11"/>
      <c r="LU499" s="11"/>
      <c r="LV499" s="11"/>
      <c r="LW499" s="11"/>
      <c r="LX499" s="11"/>
      <c r="LY499" s="11"/>
      <c r="LZ499" s="11"/>
      <c r="MA499" s="11"/>
      <c r="MB499" s="11"/>
      <c r="MC499" s="11"/>
      <c r="MD499" s="11"/>
      <c r="ME499" s="11"/>
      <c r="MF499" s="11"/>
      <c r="MG499" s="11"/>
      <c r="MH499" s="11"/>
      <c r="MI499" s="11"/>
      <c r="MJ499" s="11"/>
      <c r="MK499" s="11"/>
      <c r="ML499" s="11"/>
      <c r="MM499" s="11"/>
      <c r="MN499" s="11"/>
      <c r="MO499" s="11"/>
      <c r="MP499" s="11"/>
      <c r="MQ499" s="11"/>
      <c r="MR499" s="11"/>
      <c r="MS499" s="11"/>
      <c r="MT499" s="11"/>
      <c r="MU499" s="11"/>
      <c r="MV499" s="11"/>
      <c r="MW499" s="11"/>
      <c r="MX499" s="11"/>
      <c r="MY499" s="11"/>
      <c r="MZ499" s="11"/>
      <c r="NA499" s="11"/>
      <c r="NB499" s="11"/>
      <c r="NC499" s="11"/>
      <c r="ND499" s="11"/>
      <c r="NE499" s="11"/>
      <c r="NF499" s="11"/>
      <c r="NG499" s="11"/>
      <c r="NH499" s="11"/>
      <c r="NI499" s="11"/>
      <c r="NJ499" s="11"/>
      <c r="NK499" s="11"/>
      <c r="NL499" s="11"/>
      <c r="NM499" s="11"/>
      <c r="NN499" s="11"/>
      <c r="NO499" s="11"/>
      <c r="NP499" s="11"/>
      <c r="NQ499" s="11"/>
      <c r="NR499" s="11"/>
      <c r="NS499" s="11"/>
      <c r="NT499" s="11"/>
      <c r="NU499" s="11"/>
      <c r="NV499" s="11"/>
      <c r="NW499" s="11"/>
      <c r="NX499" s="11"/>
      <c r="NY499" s="11"/>
      <c r="NZ499" s="11"/>
      <c r="OA499" s="11"/>
      <c r="OB499" s="11"/>
      <c r="OC499" s="11"/>
      <c r="OD499" s="11"/>
      <c r="OE499" s="11"/>
      <c r="OF499" s="11"/>
      <c r="OG499" s="11"/>
      <c r="OH499" s="11"/>
      <c r="OI499" s="11"/>
      <c r="OJ499" s="11"/>
      <c r="OK499" s="11"/>
      <c r="OL499" s="11"/>
      <c r="OM499" s="11"/>
      <c r="ON499" s="11"/>
      <c r="OO499" s="11"/>
      <c r="OP499" s="11"/>
      <c r="OQ499" s="11"/>
      <c r="OR499" s="11"/>
      <c r="OS499" s="11"/>
      <c r="OT499" s="11"/>
      <c r="OU499" s="11"/>
      <c r="OV499" s="11"/>
      <c r="OW499" s="11"/>
      <c r="OX499" s="11"/>
      <c r="OY499" s="11"/>
      <c r="OZ499" s="11"/>
      <c r="PA499" s="11"/>
      <c r="PB499" s="11"/>
      <c r="PC499" s="11"/>
      <c r="PD499" s="11"/>
      <c r="PE499" s="11"/>
      <c r="PF499" s="11"/>
      <c r="PG499" s="11"/>
      <c r="PH499" s="11"/>
      <c r="PI499" s="11"/>
      <c r="PJ499" s="11"/>
      <c r="PK499" s="11"/>
      <c r="PL499" s="11"/>
      <c r="PM499" s="11"/>
      <c r="PN499" s="11"/>
      <c r="PO499" s="11"/>
      <c r="PP499" s="11"/>
      <c r="PQ499" s="11"/>
      <c r="PR499" s="11"/>
      <c r="PS499" s="11"/>
      <c r="PT499" s="11"/>
      <c r="PU499" s="11"/>
      <c r="PV499" s="11"/>
      <c r="PW499" s="11"/>
      <c r="PX499" s="11"/>
      <c r="PY499" s="11"/>
      <c r="PZ499" s="11"/>
      <c r="QA499" s="11"/>
      <c r="QB499" s="11"/>
      <c r="QC499" s="11"/>
      <c r="QD499" s="11"/>
      <c r="QE499" s="11"/>
      <c r="QF499" s="11"/>
      <c r="QG499" s="11"/>
      <c r="QH499" s="11"/>
      <c r="QI499" s="11"/>
      <c r="QJ499" s="11"/>
      <c r="QK499" s="11"/>
      <c r="QL499" s="11"/>
      <c r="QM499" s="11"/>
      <c r="QN499" s="11"/>
      <c r="QO499" s="11"/>
      <c r="QP499" s="11"/>
      <c r="QQ499" s="11"/>
      <c r="QR499" s="11">
        <v>1</v>
      </c>
      <c r="QS499" s="11"/>
      <c r="QT499" s="11"/>
      <c r="QU499" s="11"/>
      <c r="QV499" s="11"/>
      <c r="QW499" s="11"/>
      <c r="QX499" s="11"/>
      <c r="QY499" s="11"/>
      <c r="QZ499" s="11"/>
      <c r="RA499" s="11"/>
      <c r="RB499" s="11"/>
      <c r="RC499" s="11"/>
      <c r="RD499" s="11"/>
      <c r="RE499" s="11"/>
      <c r="RF499" s="11"/>
      <c r="RG499" s="11"/>
      <c r="RH499" s="11"/>
      <c r="RI499" s="11"/>
      <c r="RJ499" s="11"/>
      <c r="RK499" s="11"/>
      <c r="RL499" s="11"/>
      <c r="RM499" s="11"/>
      <c r="RN499" s="11"/>
      <c r="RO499" s="11"/>
      <c r="RP499" s="11"/>
      <c r="RQ499" s="11"/>
      <c r="RR499" s="11"/>
      <c r="RS499" s="11"/>
      <c r="RT499" s="11"/>
      <c r="RU499" s="11"/>
      <c r="RV499" s="11"/>
      <c r="RW499" s="11"/>
      <c r="RX499" s="11"/>
      <c r="RY499" s="11"/>
      <c r="RZ499" s="11"/>
      <c r="SA499" s="11"/>
      <c r="SB499" s="11"/>
      <c r="SC499" s="11"/>
      <c r="SD499" s="11"/>
      <c r="SE499" s="11"/>
      <c r="SF499" s="11"/>
      <c r="SG499" s="11"/>
      <c r="SH499" s="11">
        <v>1</v>
      </c>
    </row>
    <row r="500" spans="1:502" x14ac:dyDescent="0.2">
      <c r="A500" s="10">
        <v>0.1009017279878006</v>
      </c>
      <c r="B500" s="11">
        <v>1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  <c r="GP500" s="11"/>
      <c r="GQ500" s="11"/>
      <c r="GR500" s="11"/>
      <c r="GS500" s="11"/>
      <c r="GT500" s="11"/>
      <c r="GU500" s="11"/>
      <c r="GV500" s="11"/>
      <c r="GW500" s="11"/>
      <c r="GX500" s="11"/>
      <c r="GY500" s="11"/>
      <c r="GZ500" s="11"/>
      <c r="HA500" s="11"/>
      <c r="HB500" s="11"/>
      <c r="HC500" s="11"/>
      <c r="HD500" s="11"/>
      <c r="HE500" s="11"/>
      <c r="HF500" s="11"/>
      <c r="HG500" s="11"/>
      <c r="HH500" s="11"/>
      <c r="HI500" s="11"/>
      <c r="HJ500" s="11"/>
      <c r="HK500" s="11"/>
      <c r="HL500" s="11"/>
      <c r="HM500" s="11"/>
      <c r="HN500" s="11"/>
      <c r="HO500" s="11"/>
      <c r="HP500" s="11"/>
      <c r="HQ500" s="11"/>
      <c r="HR500" s="11"/>
      <c r="HS500" s="11"/>
      <c r="HT500" s="11"/>
      <c r="HU500" s="11"/>
      <c r="HV500" s="11"/>
      <c r="HW500" s="11"/>
      <c r="HX500" s="11"/>
      <c r="HY500" s="11"/>
      <c r="HZ500" s="11"/>
      <c r="IA500" s="11"/>
      <c r="IB500" s="11"/>
      <c r="IC500" s="11"/>
      <c r="ID500" s="11"/>
      <c r="IE500" s="11"/>
      <c r="IF500" s="11"/>
      <c r="IG500" s="11"/>
      <c r="IH500" s="11"/>
      <c r="II500" s="11"/>
      <c r="IJ500" s="11"/>
      <c r="IK500" s="11"/>
      <c r="IL500" s="11"/>
      <c r="IM500" s="11"/>
      <c r="IN500" s="11"/>
      <c r="IO500" s="11"/>
      <c r="IP500" s="11"/>
      <c r="IQ500" s="11"/>
      <c r="IR500" s="11"/>
      <c r="IS500" s="11"/>
      <c r="IT500" s="11"/>
      <c r="IU500" s="11"/>
      <c r="IV500" s="11"/>
      <c r="IW500" s="11"/>
      <c r="IX500" s="11"/>
      <c r="IY500" s="11"/>
      <c r="IZ500" s="11"/>
      <c r="JA500" s="11"/>
      <c r="JB500" s="11"/>
      <c r="JC500" s="11"/>
      <c r="JD500" s="11"/>
      <c r="JE500" s="11"/>
      <c r="JF500" s="11"/>
      <c r="JG500" s="11"/>
      <c r="JH500" s="11"/>
      <c r="JI500" s="11"/>
      <c r="JJ500" s="11"/>
      <c r="JK500" s="11"/>
      <c r="JL500" s="11"/>
      <c r="JM500" s="11"/>
      <c r="JN500" s="11"/>
      <c r="JO500" s="11"/>
      <c r="JP500" s="11"/>
      <c r="JQ500" s="11"/>
      <c r="JR500" s="11"/>
      <c r="JS500" s="11"/>
      <c r="JT500" s="11"/>
      <c r="JU500" s="11"/>
      <c r="JV500" s="11"/>
      <c r="JW500" s="11"/>
      <c r="JX500" s="11"/>
      <c r="JY500" s="11"/>
      <c r="JZ500" s="11"/>
      <c r="KA500" s="11"/>
      <c r="KB500" s="11"/>
      <c r="KC500" s="11"/>
      <c r="KD500" s="11"/>
      <c r="KE500" s="11"/>
      <c r="KF500" s="11"/>
      <c r="KG500" s="11"/>
      <c r="KH500" s="11"/>
      <c r="KI500" s="11"/>
      <c r="KJ500" s="11"/>
      <c r="KK500" s="11"/>
      <c r="KL500" s="11"/>
      <c r="KM500" s="11"/>
      <c r="KN500" s="11"/>
      <c r="KO500" s="11"/>
      <c r="KP500" s="11"/>
      <c r="KQ500" s="11"/>
      <c r="KR500" s="11"/>
      <c r="KS500" s="11"/>
      <c r="KT500" s="11"/>
      <c r="KU500" s="11"/>
      <c r="KV500" s="11"/>
      <c r="KW500" s="11"/>
      <c r="KX500" s="11"/>
      <c r="KY500" s="11"/>
      <c r="KZ500" s="11"/>
      <c r="LA500" s="11"/>
      <c r="LB500" s="11"/>
      <c r="LC500" s="11"/>
      <c r="LD500" s="11"/>
      <c r="LE500" s="11"/>
      <c r="LF500" s="11"/>
      <c r="LG500" s="11"/>
      <c r="LH500" s="11"/>
      <c r="LI500" s="11"/>
      <c r="LJ500" s="11"/>
      <c r="LK500" s="11"/>
      <c r="LL500" s="11"/>
      <c r="LM500" s="11"/>
      <c r="LN500" s="11"/>
      <c r="LO500" s="11"/>
      <c r="LP500" s="11"/>
      <c r="LQ500" s="11"/>
      <c r="LR500" s="11"/>
      <c r="LS500" s="11"/>
      <c r="LT500" s="11"/>
      <c r="LU500" s="11"/>
      <c r="LV500" s="11"/>
      <c r="LW500" s="11"/>
      <c r="LX500" s="11"/>
      <c r="LY500" s="11"/>
      <c r="LZ500" s="11"/>
      <c r="MA500" s="11"/>
      <c r="MB500" s="11"/>
      <c r="MC500" s="11"/>
      <c r="MD500" s="11"/>
      <c r="ME500" s="11"/>
      <c r="MF500" s="11"/>
      <c r="MG500" s="11"/>
      <c r="MH500" s="11"/>
      <c r="MI500" s="11"/>
      <c r="MJ500" s="11"/>
      <c r="MK500" s="11"/>
      <c r="ML500" s="11"/>
      <c r="MM500" s="11"/>
      <c r="MN500" s="11"/>
      <c r="MO500" s="11"/>
      <c r="MP500" s="11"/>
      <c r="MQ500" s="11"/>
      <c r="MR500" s="11"/>
      <c r="MS500" s="11"/>
      <c r="MT500" s="11"/>
      <c r="MU500" s="11"/>
      <c r="MV500" s="11"/>
      <c r="MW500" s="11"/>
      <c r="MX500" s="11"/>
      <c r="MY500" s="11"/>
      <c r="MZ500" s="11"/>
      <c r="NA500" s="11"/>
      <c r="NB500" s="11"/>
      <c r="NC500" s="11"/>
      <c r="ND500" s="11"/>
      <c r="NE500" s="11"/>
      <c r="NF500" s="11"/>
      <c r="NG500" s="11"/>
      <c r="NH500" s="11"/>
      <c r="NI500" s="11"/>
      <c r="NJ500" s="11"/>
      <c r="NK500" s="11"/>
      <c r="NL500" s="11"/>
      <c r="NM500" s="11"/>
      <c r="NN500" s="11"/>
      <c r="NO500" s="11"/>
      <c r="NP500" s="11"/>
      <c r="NQ500" s="11"/>
      <c r="NR500" s="11"/>
      <c r="NS500" s="11"/>
      <c r="NT500" s="11"/>
      <c r="NU500" s="11"/>
      <c r="NV500" s="11"/>
      <c r="NW500" s="11"/>
      <c r="NX500" s="11"/>
      <c r="NY500" s="11"/>
      <c r="NZ500" s="11"/>
      <c r="OA500" s="11"/>
      <c r="OB500" s="11"/>
      <c r="OC500" s="11"/>
      <c r="OD500" s="11"/>
      <c r="OE500" s="11"/>
      <c r="OF500" s="11"/>
      <c r="OG500" s="11"/>
      <c r="OH500" s="11"/>
      <c r="OI500" s="11"/>
      <c r="OJ500" s="11"/>
      <c r="OK500" s="11"/>
      <c r="OL500" s="11"/>
      <c r="OM500" s="11"/>
      <c r="ON500" s="11"/>
      <c r="OO500" s="11"/>
      <c r="OP500" s="11"/>
      <c r="OQ500" s="11"/>
      <c r="OR500" s="11"/>
      <c r="OS500" s="11"/>
      <c r="OT500" s="11"/>
      <c r="OU500" s="11"/>
      <c r="OV500" s="11"/>
      <c r="OW500" s="11"/>
      <c r="OX500" s="11"/>
      <c r="OY500" s="11"/>
      <c r="OZ500" s="11"/>
      <c r="PA500" s="11"/>
      <c r="PB500" s="11"/>
      <c r="PC500" s="11"/>
      <c r="PD500" s="11"/>
      <c r="PE500" s="11"/>
      <c r="PF500" s="11"/>
      <c r="PG500" s="11"/>
      <c r="PH500" s="11"/>
      <c r="PI500" s="11"/>
      <c r="PJ500" s="11"/>
      <c r="PK500" s="11"/>
      <c r="PL500" s="11"/>
      <c r="PM500" s="11"/>
      <c r="PN500" s="11"/>
      <c r="PO500" s="11"/>
      <c r="PP500" s="11"/>
      <c r="PQ500" s="11"/>
      <c r="PR500" s="11"/>
      <c r="PS500" s="11"/>
      <c r="PT500" s="11"/>
      <c r="PU500" s="11"/>
      <c r="PV500" s="11"/>
      <c r="PW500" s="11"/>
      <c r="PX500" s="11"/>
      <c r="PY500" s="11"/>
      <c r="PZ500" s="11"/>
      <c r="QA500" s="11"/>
      <c r="QB500" s="11"/>
      <c r="QC500" s="11"/>
      <c r="QD500" s="11"/>
      <c r="QE500" s="11"/>
      <c r="QF500" s="11"/>
      <c r="QG500" s="11"/>
      <c r="QH500" s="11"/>
      <c r="QI500" s="11"/>
      <c r="QJ500" s="11"/>
      <c r="QK500" s="11"/>
      <c r="QL500" s="11"/>
      <c r="QM500" s="11"/>
      <c r="QN500" s="11"/>
      <c r="QO500" s="11"/>
      <c r="QP500" s="11"/>
      <c r="QQ500" s="11"/>
      <c r="QR500" s="11"/>
      <c r="QS500" s="11"/>
      <c r="QT500" s="11"/>
      <c r="QU500" s="11"/>
      <c r="QV500" s="11"/>
      <c r="QW500" s="11"/>
      <c r="QX500" s="11"/>
      <c r="QY500" s="11"/>
      <c r="QZ500" s="11"/>
      <c r="RA500" s="11"/>
      <c r="RB500" s="11"/>
      <c r="RC500" s="11"/>
      <c r="RD500" s="11"/>
      <c r="RE500" s="11"/>
      <c r="RF500" s="11"/>
      <c r="RG500" s="11"/>
      <c r="RH500" s="11"/>
      <c r="RI500" s="11"/>
      <c r="RJ500" s="11"/>
      <c r="RK500" s="11"/>
      <c r="RL500" s="11"/>
      <c r="RM500" s="11"/>
      <c r="RN500" s="11"/>
      <c r="RO500" s="11"/>
      <c r="RP500" s="11"/>
      <c r="RQ500" s="11"/>
      <c r="RR500" s="11"/>
      <c r="RS500" s="11"/>
      <c r="RT500" s="11"/>
      <c r="RU500" s="11"/>
      <c r="RV500" s="11"/>
      <c r="RW500" s="11"/>
      <c r="RX500" s="11"/>
      <c r="RY500" s="11"/>
      <c r="RZ500" s="11"/>
      <c r="SA500" s="11"/>
      <c r="SB500" s="11"/>
      <c r="SC500" s="11"/>
      <c r="SD500" s="11"/>
      <c r="SE500" s="11"/>
      <c r="SF500" s="11"/>
      <c r="SG500" s="11"/>
      <c r="SH500" s="11">
        <v>1</v>
      </c>
    </row>
    <row r="501" spans="1:502" x14ac:dyDescent="0.2">
      <c r="A501" s="10">
        <v>0.1069753053285781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  <c r="FW501" s="11"/>
      <c r="FX501" s="11"/>
      <c r="FY501" s="11"/>
      <c r="FZ501" s="11"/>
      <c r="GA501" s="11"/>
      <c r="GB501" s="11"/>
      <c r="GC501" s="11"/>
      <c r="GD501" s="11"/>
      <c r="GE501" s="11"/>
      <c r="GF501" s="11"/>
      <c r="GG501" s="11"/>
      <c r="GH501" s="11"/>
      <c r="GI501" s="11"/>
      <c r="GJ501" s="11"/>
      <c r="GK501" s="11"/>
      <c r="GL501" s="11"/>
      <c r="GM501" s="11"/>
      <c r="GN501" s="11"/>
      <c r="GO501" s="11"/>
      <c r="GP501" s="11"/>
      <c r="GQ501" s="11"/>
      <c r="GR501" s="11"/>
      <c r="GS501" s="11"/>
      <c r="GT501" s="11"/>
      <c r="GU501" s="11"/>
      <c r="GV501" s="11"/>
      <c r="GW501" s="11"/>
      <c r="GX501" s="11"/>
      <c r="GY501" s="11"/>
      <c r="GZ501" s="11"/>
      <c r="HA501" s="11"/>
      <c r="HB501" s="11"/>
      <c r="HC501" s="11"/>
      <c r="HD501" s="11"/>
      <c r="HE501" s="11"/>
      <c r="HF501" s="11"/>
      <c r="HG501" s="11"/>
      <c r="HH501" s="11"/>
      <c r="HI501" s="11"/>
      <c r="HJ501" s="11"/>
      <c r="HK501" s="11"/>
      <c r="HL501" s="11"/>
      <c r="HM501" s="11"/>
      <c r="HN501" s="11"/>
      <c r="HO501" s="11"/>
      <c r="HP501" s="11"/>
      <c r="HQ501" s="11"/>
      <c r="HR501" s="11"/>
      <c r="HS501" s="11"/>
      <c r="HT501" s="11"/>
      <c r="HU501" s="11"/>
      <c r="HV501" s="11"/>
      <c r="HW501" s="11"/>
      <c r="HX501" s="11"/>
      <c r="HY501" s="11"/>
      <c r="HZ501" s="11"/>
      <c r="IA501" s="11"/>
      <c r="IB501" s="11"/>
      <c r="IC501" s="11"/>
      <c r="ID501" s="11"/>
      <c r="IE501" s="11"/>
      <c r="IF501" s="11"/>
      <c r="IG501" s="11"/>
      <c r="IH501" s="11"/>
      <c r="II501" s="11"/>
      <c r="IJ501" s="11"/>
      <c r="IK501" s="11"/>
      <c r="IL501" s="11"/>
      <c r="IM501" s="11"/>
      <c r="IN501" s="11"/>
      <c r="IO501" s="11"/>
      <c r="IP501" s="11"/>
      <c r="IQ501" s="11"/>
      <c r="IR501" s="11"/>
      <c r="IS501" s="11"/>
      <c r="IT501" s="11"/>
      <c r="IU501" s="11"/>
      <c r="IV501" s="11"/>
      <c r="IW501" s="11"/>
      <c r="IX501" s="11"/>
      <c r="IY501" s="11"/>
      <c r="IZ501" s="11"/>
      <c r="JA501" s="11"/>
      <c r="JB501" s="11"/>
      <c r="JC501" s="11"/>
      <c r="JD501" s="11"/>
      <c r="JE501" s="11"/>
      <c r="JF501" s="11"/>
      <c r="JG501" s="11"/>
      <c r="JH501" s="11"/>
      <c r="JI501" s="11"/>
      <c r="JJ501" s="11"/>
      <c r="JK501" s="11"/>
      <c r="JL501" s="11"/>
      <c r="JM501" s="11">
        <v>1</v>
      </c>
      <c r="JN501" s="11"/>
      <c r="JO501" s="11"/>
      <c r="JP501" s="11"/>
      <c r="JQ501" s="11"/>
      <c r="JR501" s="11"/>
      <c r="JS501" s="11"/>
      <c r="JT501" s="11"/>
      <c r="JU501" s="11"/>
      <c r="JV501" s="11"/>
      <c r="JW501" s="11"/>
      <c r="JX501" s="11"/>
      <c r="JY501" s="11"/>
      <c r="JZ501" s="11"/>
      <c r="KA501" s="11"/>
      <c r="KB501" s="11"/>
      <c r="KC501" s="11"/>
      <c r="KD501" s="11"/>
      <c r="KE501" s="11"/>
      <c r="KF501" s="11"/>
      <c r="KG501" s="11"/>
      <c r="KH501" s="11"/>
      <c r="KI501" s="11"/>
      <c r="KJ501" s="11"/>
      <c r="KK501" s="11"/>
      <c r="KL501" s="11"/>
      <c r="KM501" s="11"/>
      <c r="KN501" s="11"/>
      <c r="KO501" s="11"/>
      <c r="KP501" s="11"/>
      <c r="KQ501" s="11"/>
      <c r="KR501" s="11"/>
      <c r="KS501" s="11"/>
      <c r="KT501" s="11"/>
      <c r="KU501" s="11"/>
      <c r="KV501" s="11"/>
      <c r="KW501" s="11"/>
      <c r="KX501" s="11"/>
      <c r="KY501" s="11"/>
      <c r="KZ501" s="11"/>
      <c r="LA501" s="11"/>
      <c r="LB501" s="11"/>
      <c r="LC501" s="11"/>
      <c r="LD501" s="11"/>
      <c r="LE501" s="11"/>
      <c r="LF501" s="11"/>
      <c r="LG501" s="11"/>
      <c r="LH501" s="11"/>
      <c r="LI501" s="11"/>
      <c r="LJ501" s="11"/>
      <c r="LK501" s="11"/>
      <c r="LL501" s="11"/>
      <c r="LM501" s="11"/>
      <c r="LN501" s="11"/>
      <c r="LO501" s="11"/>
      <c r="LP501" s="11"/>
      <c r="LQ501" s="11"/>
      <c r="LR501" s="11"/>
      <c r="LS501" s="11"/>
      <c r="LT501" s="11"/>
      <c r="LU501" s="11"/>
      <c r="LV501" s="11"/>
      <c r="LW501" s="11"/>
      <c r="LX501" s="11"/>
      <c r="LY501" s="11"/>
      <c r="LZ501" s="11"/>
      <c r="MA501" s="11"/>
      <c r="MB501" s="11"/>
      <c r="MC501" s="11"/>
      <c r="MD501" s="11"/>
      <c r="ME501" s="11"/>
      <c r="MF501" s="11"/>
      <c r="MG501" s="11"/>
      <c r="MH501" s="11"/>
      <c r="MI501" s="11"/>
      <c r="MJ501" s="11"/>
      <c r="MK501" s="11"/>
      <c r="ML501" s="11"/>
      <c r="MM501" s="11"/>
      <c r="MN501" s="11"/>
      <c r="MO501" s="11"/>
      <c r="MP501" s="11"/>
      <c r="MQ501" s="11"/>
      <c r="MR501" s="11"/>
      <c r="MS501" s="11"/>
      <c r="MT501" s="11"/>
      <c r="MU501" s="11"/>
      <c r="MV501" s="11"/>
      <c r="MW501" s="11"/>
      <c r="MX501" s="11"/>
      <c r="MY501" s="11"/>
      <c r="MZ501" s="11"/>
      <c r="NA501" s="11"/>
      <c r="NB501" s="11"/>
      <c r="NC501" s="11"/>
      <c r="ND501" s="11"/>
      <c r="NE501" s="11"/>
      <c r="NF501" s="11"/>
      <c r="NG501" s="11"/>
      <c r="NH501" s="11"/>
      <c r="NI501" s="11"/>
      <c r="NJ501" s="11"/>
      <c r="NK501" s="11"/>
      <c r="NL501" s="11"/>
      <c r="NM501" s="11"/>
      <c r="NN501" s="11"/>
      <c r="NO501" s="11"/>
      <c r="NP501" s="11"/>
      <c r="NQ501" s="11"/>
      <c r="NR501" s="11"/>
      <c r="NS501" s="11"/>
      <c r="NT501" s="11"/>
      <c r="NU501" s="11"/>
      <c r="NV501" s="11"/>
      <c r="NW501" s="11"/>
      <c r="NX501" s="11"/>
      <c r="NY501" s="11"/>
      <c r="NZ501" s="11"/>
      <c r="OA501" s="11"/>
      <c r="OB501" s="11"/>
      <c r="OC501" s="11"/>
      <c r="OD501" s="11"/>
      <c r="OE501" s="11"/>
      <c r="OF501" s="11"/>
      <c r="OG501" s="11"/>
      <c r="OH501" s="11"/>
      <c r="OI501" s="11"/>
      <c r="OJ501" s="11"/>
      <c r="OK501" s="11"/>
      <c r="OL501" s="11"/>
      <c r="OM501" s="11"/>
      <c r="ON501" s="11"/>
      <c r="OO501" s="11"/>
      <c r="OP501" s="11"/>
      <c r="OQ501" s="11"/>
      <c r="OR501" s="11"/>
      <c r="OS501" s="11"/>
      <c r="OT501" s="11"/>
      <c r="OU501" s="11"/>
      <c r="OV501" s="11"/>
      <c r="OW501" s="11"/>
      <c r="OX501" s="11"/>
      <c r="OY501" s="11"/>
      <c r="OZ501" s="11"/>
      <c r="PA501" s="11"/>
      <c r="PB501" s="11"/>
      <c r="PC501" s="11"/>
      <c r="PD501" s="11"/>
      <c r="PE501" s="11"/>
      <c r="PF501" s="11"/>
      <c r="PG501" s="11"/>
      <c r="PH501" s="11"/>
      <c r="PI501" s="11"/>
      <c r="PJ501" s="11"/>
      <c r="PK501" s="11"/>
      <c r="PL501" s="11"/>
      <c r="PM501" s="11"/>
      <c r="PN501" s="11"/>
      <c r="PO501" s="11"/>
      <c r="PP501" s="11"/>
      <c r="PQ501" s="11"/>
      <c r="PR501" s="11"/>
      <c r="PS501" s="11"/>
      <c r="PT501" s="11"/>
      <c r="PU501" s="11"/>
      <c r="PV501" s="11"/>
      <c r="PW501" s="11"/>
      <c r="PX501" s="11"/>
      <c r="PY501" s="11"/>
      <c r="PZ501" s="11"/>
      <c r="QA501" s="11"/>
      <c r="QB501" s="11"/>
      <c r="QC501" s="11"/>
      <c r="QD501" s="11"/>
      <c r="QE501" s="11"/>
      <c r="QF501" s="11"/>
      <c r="QG501" s="11"/>
      <c r="QH501" s="11"/>
      <c r="QI501" s="11"/>
      <c r="QJ501" s="11"/>
      <c r="QK501" s="11"/>
      <c r="QL501" s="11"/>
      <c r="QM501" s="11"/>
      <c r="QN501" s="11"/>
      <c r="QO501" s="11"/>
      <c r="QP501" s="11"/>
      <c r="QQ501" s="11"/>
      <c r="QR501" s="11"/>
      <c r="QS501" s="11"/>
      <c r="QT501" s="11"/>
      <c r="QU501" s="11"/>
      <c r="QV501" s="11"/>
      <c r="QW501" s="11"/>
      <c r="QX501" s="11"/>
      <c r="QY501" s="11"/>
      <c r="QZ501" s="11"/>
      <c r="RA501" s="11"/>
      <c r="RB501" s="11"/>
      <c r="RC501" s="11"/>
      <c r="RD501" s="11"/>
      <c r="RE501" s="11"/>
      <c r="RF501" s="11"/>
      <c r="RG501" s="11"/>
      <c r="RH501" s="11"/>
      <c r="RI501" s="11"/>
      <c r="RJ501" s="11"/>
      <c r="RK501" s="11"/>
      <c r="RL501" s="11"/>
      <c r="RM501" s="11"/>
      <c r="RN501" s="11"/>
      <c r="RO501" s="11"/>
      <c r="RP501" s="11"/>
      <c r="RQ501" s="11"/>
      <c r="RR501" s="11"/>
      <c r="RS501" s="11"/>
      <c r="RT501" s="11"/>
      <c r="RU501" s="11"/>
      <c r="RV501" s="11"/>
      <c r="RW501" s="11"/>
      <c r="RX501" s="11"/>
      <c r="RY501" s="11"/>
      <c r="RZ501" s="11"/>
      <c r="SA501" s="11"/>
      <c r="SB501" s="11"/>
      <c r="SC501" s="11"/>
      <c r="SD501" s="11"/>
      <c r="SE501" s="11"/>
      <c r="SF501" s="11"/>
      <c r="SG501" s="11"/>
      <c r="SH501" s="11">
        <v>1</v>
      </c>
    </row>
    <row r="502" spans="1:502" x14ac:dyDescent="0.2">
      <c r="A502" s="10">
        <v>0.12330747747265201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>
        <v>1</v>
      </c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  <c r="GP502" s="11"/>
      <c r="GQ502" s="11"/>
      <c r="GR502" s="11"/>
      <c r="GS502" s="11"/>
      <c r="GT502" s="11"/>
      <c r="GU502" s="11"/>
      <c r="GV502" s="11"/>
      <c r="GW502" s="11"/>
      <c r="GX502" s="11"/>
      <c r="GY502" s="11"/>
      <c r="GZ502" s="11"/>
      <c r="HA502" s="11"/>
      <c r="HB502" s="11"/>
      <c r="HC502" s="11"/>
      <c r="HD502" s="11"/>
      <c r="HE502" s="11"/>
      <c r="HF502" s="11"/>
      <c r="HG502" s="11"/>
      <c r="HH502" s="11"/>
      <c r="HI502" s="11"/>
      <c r="HJ502" s="11"/>
      <c r="HK502" s="11"/>
      <c r="HL502" s="11"/>
      <c r="HM502" s="11"/>
      <c r="HN502" s="11"/>
      <c r="HO502" s="11"/>
      <c r="HP502" s="11"/>
      <c r="HQ502" s="11"/>
      <c r="HR502" s="11"/>
      <c r="HS502" s="11"/>
      <c r="HT502" s="11"/>
      <c r="HU502" s="11"/>
      <c r="HV502" s="11"/>
      <c r="HW502" s="11"/>
      <c r="HX502" s="11"/>
      <c r="HY502" s="11"/>
      <c r="HZ502" s="11"/>
      <c r="IA502" s="11"/>
      <c r="IB502" s="11"/>
      <c r="IC502" s="11"/>
      <c r="ID502" s="11"/>
      <c r="IE502" s="11"/>
      <c r="IF502" s="11"/>
      <c r="IG502" s="11"/>
      <c r="IH502" s="11"/>
      <c r="II502" s="11"/>
      <c r="IJ502" s="11"/>
      <c r="IK502" s="11"/>
      <c r="IL502" s="11"/>
      <c r="IM502" s="11"/>
      <c r="IN502" s="11"/>
      <c r="IO502" s="11"/>
      <c r="IP502" s="11"/>
      <c r="IQ502" s="11"/>
      <c r="IR502" s="11"/>
      <c r="IS502" s="11"/>
      <c r="IT502" s="11"/>
      <c r="IU502" s="11"/>
      <c r="IV502" s="11"/>
      <c r="IW502" s="11"/>
      <c r="IX502" s="11"/>
      <c r="IY502" s="11"/>
      <c r="IZ502" s="11"/>
      <c r="JA502" s="11"/>
      <c r="JB502" s="11"/>
      <c r="JC502" s="11"/>
      <c r="JD502" s="11"/>
      <c r="JE502" s="11"/>
      <c r="JF502" s="11"/>
      <c r="JG502" s="11"/>
      <c r="JH502" s="11"/>
      <c r="JI502" s="11"/>
      <c r="JJ502" s="11"/>
      <c r="JK502" s="11"/>
      <c r="JL502" s="11"/>
      <c r="JM502" s="11"/>
      <c r="JN502" s="11"/>
      <c r="JO502" s="11"/>
      <c r="JP502" s="11"/>
      <c r="JQ502" s="11"/>
      <c r="JR502" s="11"/>
      <c r="JS502" s="11"/>
      <c r="JT502" s="11"/>
      <c r="JU502" s="11"/>
      <c r="JV502" s="11"/>
      <c r="JW502" s="11"/>
      <c r="JX502" s="11"/>
      <c r="JY502" s="11"/>
      <c r="JZ502" s="11"/>
      <c r="KA502" s="11"/>
      <c r="KB502" s="11"/>
      <c r="KC502" s="11"/>
      <c r="KD502" s="11"/>
      <c r="KE502" s="11"/>
      <c r="KF502" s="11"/>
      <c r="KG502" s="11"/>
      <c r="KH502" s="11"/>
      <c r="KI502" s="11"/>
      <c r="KJ502" s="11"/>
      <c r="KK502" s="11"/>
      <c r="KL502" s="11"/>
      <c r="KM502" s="11"/>
      <c r="KN502" s="11"/>
      <c r="KO502" s="11"/>
      <c r="KP502" s="11"/>
      <c r="KQ502" s="11"/>
      <c r="KR502" s="11"/>
      <c r="KS502" s="11"/>
      <c r="KT502" s="11"/>
      <c r="KU502" s="11"/>
      <c r="KV502" s="11"/>
      <c r="KW502" s="11"/>
      <c r="KX502" s="11"/>
      <c r="KY502" s="11"/>
      <c r="KZ502" s="11"/>
      <c r="LA502" s="11"/>
      <c r="LB502" s="11"/>
      <c r="LC502" s="11"/>
      <c r="LD502" s="11"/>
      <c r="LE502" s="11"/>
      <c r="LF502" s="11"/>
      <c r="LG502" s="11"/>
      <c r="LH502" s="11"/>
      <c r="LI502" s="11"/>
      <c r="LJ502" s="11"/>
      <c r="LK502" s="11"/>
      <c r="LL502" s="11"/>
      <c r="LM502" s="11"/>
      <c r="LN502" s="11"/>
      <c r="LO502" s="11"/>
      <c r="LP502" s="11"/>
      <c r="LQ502" s="11"/>
      <c r="LR502" s="11"/>
      <c r="LS502" s="11"/>
      <c r="LT502" s="11"/>
      <c r="LU502" s="11"/>
      <c r="LV502" s="11"/>
      <c r="LW502" s="11"/>
      <c r="LX502" s="11"/>
      <c r="LY502" s="11"/>
      <c r="LZ502" s="11"/>
      <c r="MA502" s="11"/>
      <c r="MB502" s="11"/>
      <c r="MC502" s="11"/>
      <c r="MD502" s="11"/>
      <c r="ME502" s="11"/>
      <c r="MF502" s="11"/>
      <c r="MG502" s="11"/>
      <c r="MH502" s="11"/>
      <c r="MI502" s="11"/>
      <c r="MJ502" s="11"/>
      <c r="MK502" s="11"/>
      <c r="ML502" s="11"/>
      <c r="MM502" s="11"/>
      <c r="MN502" s="11"/>
      <c r="MO502" s="11"/>
      <c r="MP502" s="11"/>
      <c r="MQ502" s="11"/>
      <c r="MR502" s="11"/>
      <c r="MS502" s="11"/>
      <c r="MT502" s="11"/>
      <c r="MU502" s="11"/>
      <c r="MV502" s="11"/>
      <c r="MW502" s="11"/>
      <c r="MX502" s="11"/>
      <c r="MY502" s="11"/>
      <c r="MZ502" s="11"/>
      <c r="NA502" s="11"/>
      <c r="NB502" s="11"/>
      <c r="NC502" s="11"/>
      <c r="ND502" s="11"/>
      <c r="NE502" s="11"/>
      <c r="NF502" s="11"/>
      <c r="NG502" s="11"/>
      <c r="NH502" s="11"/>
      <c r="NI502" s="11"/>
      <c r="NJ502" s="11"/>
      <c r="NK502" s="11"/>
      <c r="NL502" s="11"/>
      <c r="NM502" s="11"/>
      <c r="NN502" s="11"/>
      <c r="NO502" s="11"/>
      <c r="NP502" s="11"/>
      <c r="NQ502" s="11"/>
      <c r="NR502" s="11"/>
      <c r="NS502" s="11"/>
      <c r="NT502" s="11"/>
      <c r="NU502" s="11"/>
      <c r="NV502" s="11"/>
      <c r="NW502" s="11"/>
      <c r="NX502" s="11"/>
      <c r="NY502" s="11"/>
      <c r="NZ502" s="11"/>
      <c r="OA502" s="11"/>
      <c r="OB502" s="11"/>
      <c r="OC502" s="11"/>
      <c r="OD502" s="11"/>
      <c r="OE502" s="11"/>
      <c r="OF502" s="11"/>
      <c r="OG502" s="11"/>
      <c r="OH502" s="11"/>
      <c r="OI502" s="11"/>
      <c r="OJ502" s="11"/>
      <c r="OK502" s="11"/>
      <c r="OL502" s="11"/>
      <c r="OM502" s="11"/>
      <c r="ON502" s="11"/>
      <c r="OO502" s="11"/>
      <c r="OP502" s="11"/>
      <c r="OQ502" s="11"/>
      <c r="OR502" s="11"/>
      <c r="OS502" s="11"/>
      <c r="OT502" s="11"/>
      <c r="OU502" s="11"/>
      <c r="OV502" s="11"/>
      <c r="OW502" s="11"/>
      <c r="OX502" s="11"/>
      <c r="OY502" s="11"/>
      <c r="OZ502" s="11"/>
      <c r="PA502" s="11"/>
      <c r="PB502" s="11"/>
      <c r="PC502" s="11"/>
      <c r="PD502" s="11"/>
      <c r="PE502" s="11"/>
      <c r="PF502" s="11"/>
      <c r="PG502" s="11"/>
      <c r="PH502" s="11"/>
      <c r="PI502" s="11"/>
      <c r="PJ502" s="11"/>
      <c r="PK502" s="11"/>
      <c r="PL502" s="11"/>
      <c r="PM502" s="11"/>
      <c r="PN502" s="11"/>
      <c r="PO502" s="11"/>
      <c r="PP502" s="11"/>
      <c r="PQ502" s="11"/>
      <c r="PR502" s="11"/>
      <c r="PS502" s="11"/>
      <c r="PT502" s="11"/>
      <c r="PU502" s="11"/>
      <c r="PV502" s="11"/>
      <c r="PW502" s="11"/>
      <c r="PX502" s="11"/>
      <c r="PY502" s="11"/>
      <c r="PZ502" s="11"/>
      <c r="QA502" s="11"/>
      <c r="QB502" s="11"/>
      <c r="QC502" s="11"/>
      <c r="QD502" s="11"/>
      <c r="QE502" s="11"/>
      <c r="QF502" s="11"/>
      <c r="QG502" s="11"/>
      <c r="QH502" s="11"/>
      <c r="QI502" s="11"/>
      <c r="QJ502" s="11"/>
      <c r="QK502" s="11"/>
      <c r="QL502" s="11"/>
      <c r="QM502" s="11"/>
      <c r="QN502" s="11"/>
      <c r="QO502" s="11"/>
      <c r="QP502" s="11"/>
      <c r="QQ502" s="11"/>
      <c r="QR502" s="11"/>
      <c r="QS502" s="11"/>
      <c r="QT502" s="11"/>
      <c r="QU502" s="11"/>
      <c r="QV502" s="11"/>
      <c r="QW502" s="11"/>
      <c r="QX502" s="11"/>
      <c r="QY502" s="11"/>
      <c r="QZ502" s="11"/>
      <c r="RA502" s="11"/>
      <c r="RB502" s="11"/>
      <c r="RC502" s="11"/>
      <c r="RD502" s="11"/>
      <c r="RE502" s="11"/>
      <c r="RF502" s="11"/>
      <c r="RG502" s="11"/>
      <c r="RH502" s="11"/>
      <c r="RI502" s="11"/>
      <c r="RJ502" s="11"/>
      <c r="RK502" s="11"/>
      <c r="RL502" s="11"/>
      <c r="RM502" s="11"/>
      <c r="RN502" s="11"/>
      <c r="RO502" s="11"/>
      <c r="RP502" s="11"/>
      <c r="RQ502" s="11"/>
      <c r="RR502" s="11"/>
      <c r="RS502" s="11"/>
      <c r="RT502" s="11"/>
      <c r="RU502" s="11"/>
      <c r="RV502" s="11"/>
      <c r="RW502" s="11"/>
      <c r="RX502" s="11"/>
      <c r="RY502" s="11"/>
      <c r="RZ502" s="11"/>
      <c r="SA502" s="11"/>
      <c r="SB502" s="11"/>
      <c r="SC502" s="11"/>
      <c r="SD502" s="11"/>
      <c r="SE502" s="11"/>
      <c r="SF502" s="11"/>
      <c r="SG502" s="11"/>
      <c r="SH502" s="11">
        <v>1</v>
      </c>
    </row>
    <row r="503" spans="1:502" x14ac:dyDescent="0.2">
      <c r="A503" s="10">
        <v>0.13329704257863723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>
        <v>1</v>
      </c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  <c r="GM503" s="11"/>
      <c r="GN503" s="11"/>
      <c r="GO503" s="11"/>
      <c r="GP503" s="11"/>
      <c r="GQ503" s="11"/>
      <c r="GR503" s="11"/>
      <c r="GS503" s="11"/>
      <c r="GT503" s="11"/>
      <c r="GU503" s="11"/>
      <c r="GV503" s="11"/>
      <c r="GW503" s="11"/>
      <c r="GX503" s="11"/>
      <c r="GY503" s="11"/>
      <c r="GZ503" s="11"/>
      <c r="HA503" s="11"/>
      <c r="HB503" s="11"/>
      <c r="HC503" s="11"/>
      <c r="HD503" s="11"/>
      <c r="HE503" s="11"/>
      <c r="HF503" s="11"/>
      <c r="HG503" s="11"/>
      <c r="HH503" s="11"/>
      <c r="HI503" s="11"/>
      <c r="HJ503" s="11"/>
      <c r="HK503" s="11"/>
      <c r="HL503" s="11"/>
      <c r="HM503" s="11"/>
      <c r="HN503" s="11"/>
      <c r="HO503" s="11"/>
      <c r="HP503" s="11"/>
      <c r="HQ503" s="11"/>
      <c r="HR503" s="11"/>
      <c r="HS503" s="11"/>
      <c r="HT503" s="11"/>
      <c r="HU503" s="11"/>
      <c r="HV503" s="11"/>
      <c r="HW503" s="11"/>
      <c r="HX503" s="11"/>
      <c r="HY503" s="11"/>
      <c r="HZ503" s="11"/>
      <c r="IA503" s="11"/>
      <c r="IB503" s="11"/>
      <c r="IC503" s="11"/>
      <c r="ID503" s="11"/>
      <c r="IE503" s="11"/>
      <c r="IF503" s="11"/>
      <c r="IG503" s="11"/>
      <c r="IH503" s="11"/>
      <c r="II503" s="11"/>
      <c r="IJ503" s="11"/>
      <c r="IK503" s="11"/>
      <c r="IL503" s="11"/>
      <c r="IM503" s="11"/>
      <c r="IN503" s="11"/>
      <c r="IO503" s="11"/>
      <c r="IP503" s="11"/>
      <c r="IQ503" s="11"/>
      <c r="IR503" s="11"/>
      <c r="IS503" s="11"/>
      <c r="IT503" s="11"/>
      <c r="IU503" s="11"/>
      <c r="IV503" s="11"/>
      <c r="IW503" s="11"/>
      <c r="IX503" s="11"/>
      <c r="IY503" s="11"/>
      <c r="IZ503" s="11"/>
      <c r="JA503" s="11"/>
      <c r="JB503" s="11"/>
      <c r="JC503" s="11"/>
      <c r="JD503" s="11"/>
      <c r="JE503" s="11"/>
      <c r="JF503" s="11"/>
      <c r="JG503" s="11"/>
      <c r="JH503" s="11"/>
      <c r="JI503" s="11"/>
      <c r="JJ503" s="11"/>
      <c r="JK503" s="11"/>
      <c r="JL503" s="11"/>
      <c r="JM503" s="11"/>
      <c r="JN503" s="11"/>
      <c r="JO503" s="11"/>
      <c r="JP503" s="11"/>
      <c r="JQ503" s="11"/>
      <c r="JR503" s="11"/>
      <c r="JS503" s="11"/>
      <c r="JT503" s="11"/>
      <c r="JU503" s="11"/>
      <c r="JV503" s="11"/>
      <c r="JW503" s="11"/>
      <c r="JX503" s="11"/>
      <c r="JY503" s="11"/>
      <c r="JZ503" s="11"/>
      <c r="KA503" s="11"/>
      <c r="KB503" s="11"/>
      <c r="KC503" s="11"/>
      <c r="KD503" s="11"/>
      <c r="KE503" s="11"/>
      <c r="KF503" s="11"/>
      <c r="KG503" s="11"/>
      <c r="KH503" s="11"/>
      <c r="KI503" s="11"/>
      <c r="KJ503" s="11"/>
      <c r="KK503" s="11"/>
      <c r="KL503" s="11"/>
      <c r="KM503" s="11"/>
      <c r="KN503" s="11"/>
      <c r="KO503" s="11"/>
      <c r="KP503" s="11"/>
      <c r="KQ503" s="11"/>
      <c r="KR503" s="11"/>
      <c r="KS503" s="11"/>
      <c r="KT503" s="11"/>
      <c r="KU503" s="11"/>
      <c r="KV503" s="11"/>
      <c r="KW503" s="11"/>
      <c r="KX503" s="11"/>
      <c r="KY503" s="11"/>
      <c r="KZ503" s="11"/>
      <c r="LA503" s="11"/>
      <c r="LB503" s="11"/>
      <c r="LC503" s="11"/>
      <c r="LD503" s="11"/>
      <c r="LE503" s="11"/>
      <c r="LF503" s="11"/>
      <c r="LG503" s="11"/>
      <c r="LH503" s="11"/>
      <c r="LI503" s="11"/>
      <c r="LJ503" s="11"/>
      <c r="LK503" s="11"/>
      <c r="LL503" s="11"/>
      <c r="LM503" s="11"/>
      <c r="LN503" s="11"/>
      <c r="LO503" s="11"/>
      <c r="LP503" s="11"/>
      <c r="LQ503" s="11"/>
      <c r="LR503" s="11"/>
      <c r="LS503" s="11"/>
      <c r="LT503" s="11"/>
      <c r="LU503" s="11"/>
      <c r="LV503" s="11"/>
      <c r="LW503" s="11"/>
      <c r="LX503" s="11"/>
      <c r="LY503" s="11"/>
      <c r="LZ503" s="11"/>
      <c r="MA503" s="11"/>
      <c r="MB503" s="11"/>
      <c r="MC503" s="11"/>
      <c r="MD503" s="11"/>
      <c r="ME503" s="11"/>
      <c r="MF503" s="11"/>
      <c r="MG503" s="11"/>
      <c r="MH503" s="11"/>
      <c r="MI503" s="11"/>
      <c r="MJ503" s="11"/>
      <c r="MK503" s="11"/>
      <c r="ML503" s="11"/>
      <c r="MM503" s="11"/>
      <c r="MN503" s="11"/>
      <c r="MO503" s="11"/>
      <c r="MP503" s="11"/>
      <c r="MQ503" s="11"/>
      <c r="MR503" s="11"/>
      <c r="MS503" s="11"/>
      <c r="MT503" s="11"/>
      <c r="MU503" s="11"/>
      <c r="MV503" s="11"/>
      <c r="MW503" s="11"/>
      <c r="MX503" s="11"/>
      <c r="MY503" s="11"/>
      <c r="MZ503" s="11"/>
      <c r="NA503" s="11"/>
      <c r="NB503" s="11"/>
      <c r="NC503" s="11"/>
      <c r="ND503" s="11"/>
      <c r="NE503" s="11"/>
      <c r="NF503" s="11"/>
      <c r="NG503" s="11"/>
      <c r="NH503" s="11"/>
      <c r="NI503" s="11"/>
      <c r="NJ503" s="11"/>
      <c r="NK503" s="11"/>
      <c r="NL503" s="11"/>
      <c r="NM503" s="11"/>
      <c r="NN503" s="11"/>
      <c r="NO503" s="11"/>
      <c r="NP503" s="11"/>
      <c r="NQ503" s="11"/>
      <c r="NR503" s="11"/>
      <c r="NS503" s="11"/>
      <c r="NT503" s="11"/>
      <c r="NU503" s="11"/>
      <c r="NV503" s="11"/>
      <c r="NW503" s="11"/>
      <c r="NX503" s="11"/>
      <c r="NY503" s="11"/>
      <c r="NZ503" s="11"/>
      <c r="OA503" s="11"/>
      <c r="OB503" s="11"/>
      <c r="OC503" s="11"/>
      <c r="OD503" s="11"/>
      <c r="OE503" s="11"/>
      <c r="OF503" s="11"/>
      <c r="OG503" s="11"/>
      <c r="OH503" s="11"/>
      <c r="OI503" s="11"/>
      <c r="OJ503" s="11"/>
      <c r="OK503" s="11"/>
      <c r="OL503" s="11"/>
      <c r="OM503" s="11"/>
      <c r="ON503" s="11"/>
      <c r="OO503" s="11"/>
      <c r="OP503" s="11"/>
      <c r="OQ503" s="11"/>
      <c r="OR503" s="11"/>
      <c r="OS503" s="11"/>
      <c r="OT503" s="11"/>
      <c r="OU503" s="11"/>
      <c r="OV503" s="11"/>
      <c r="OW503" s="11"/>
      <c r="OX503" s="11"/>
      <c r="OY503" s="11"/>
      <c r="OZ503" s="11"/>
      <c r="PA503" s="11"/>
      <c r="PB503" s="11"/>
      <c r="PC503" s="11"/>
      <c r="PD503" s="11"/>
      <c r="PE503" s="11"/>
      <c r="PF503" s="11"/>
      <c r="PG503" s="11"/>
      <c r="PH503" s="11"/>
      <c r="PI503" s="11"/>
      <c r="PJ503" s="11"/>
      <c r="PK503" s="11"/>
      <c r="PL503" s="11"/>
      <c r="PM503" s="11"/>
      <c r="PN503" s="11"/>
      <c r="PO503" s="11"/>
      <c r="PP503" s="11"/>
      <c r="PQ503" s="11"/>
      <c r="PR503" s="11"/>
      <c r="PS503" s="11"/>
      <c r="PT503" s="11"/>
      <c r="PU503" s="11"/>
      <c r="PV503" s="11"/>
      <c r="PW503" s="11"/>
      <c r="PX503" s="11"/>
      <c r="PY503" s="11"/>
      <c r="PZ503" s="11"/>
      <c r="QA503" s="11"/>
      <c r="QB503" s="11"/>
      <c r="QC503" s="11"/>
      <c r="QD503" s="11"/>
      <c r="QE503" s="11"/>
      <c r="QF503" s="11"/>
      <c r="QG503" s="11"/>
      <c r="QH503" s="11"/>
      <c r="QI503" s="11"/>
      <c r="QJ503" s="11"/>
      <c r="QK503" s="11"/>
      <c r="QL503" s="11"/>
      <c r="QM503" s="11"/>
      <c r="QN503" s="11"/>
      <c r="QO503" s="11"/>
      <c r="QP503" s="11"/>
      <c r="QQ503" s="11"/>
      <c r="QR503" s="11"/>
      <c r="QS503" s="11"/>
      <c r="QT503" s="11"/>
      <c r="QU503" s="11"/>
      <c r="QV503" s="11"/>
      <c r="QW503" s="11"/>
      <c r="QX503" s="11"/>
      <c r="QY503" s="11"/>
      <c r="QZ503" s="11"/>
      <c r="RA503" s="11"/>
      <c r="RB503" s="11"/>
      <c r="RC503" s="11"/>
      <c r="RD503" s="11"/>
      <c r="RE503" s="11"/>
      <c r="RF503" s="11"/>
      <c r="RG503" s="11"/>
      <c r="RH503" s="11"/>
      <c r="RI503" s="11"/>
      <c r="RJ503" s="11"/>
      <c r="RK503" s="11"/>
      <c r="RL503" s="11"/>
      <c r="RM503" s="11"/>
      <c r="RN503" s="11"/>
      <c r="RO503" s="11"/>
      <c r="RP503" s="11"/>
      <c r="RQ503" s="11"/>
      <c r="RR503" s="11"/>
      <c r="RS503" s="11"/>
      <c r="RT503" s="11"/>
      <c r="RU503" s="11"/>
      <c r="RV503" s="11"/>
      <c r="RW503" s="11"/>
      <c r="RX503" s="11"/>
      <c r="RY503" s="11"/>
      <c r="RZ503" s="11"/>
      <c r="SA503" s="11"/>
      <c r="SB503" s="11"/>
      <c r="SC503" s="11"/>
      <c r="SD503" s="11"/>
      <c r="SE503" s="11"/>
      <c r="SF503" s="11"/>
      <c r="SG503" s="11"/>
      <c r="SH503" s="11">
        <v>1</v>
      </c>
    </row>
    <row r="504" spans="1:502" x14ac:dyDescent="0.2">
      <c r="A504" s="10">
        <v>0.14771715989138479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>
        <v>1</v>
      </c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  <c r="FW504" s="11"/>
      <c r="FX504" s="11"/>
      <c r="FY504" s="11"/>
      <c r="FZ504" s="11"/>
      <c r="GA504" s="11"/>
      <c r="GB504" s="11"/>
      <c r="GC504" s="11"/>
      <c r="GD504" s="11"/>
      <c r="GE504" s="11"/>
      <c r="GF504" s="11"/>
      <c r="GG504" s="11"/>
      <c r="GH504" s="11"/>
      <c r="GI504" s="11"/>
      <c r="GJ504" s="11"/>
      <c r="GK504" s="11"/>
      <c r="GL504" s="11"/>
      <c r="GM504" s="11"/>
      <c r="GN504" s="11"/>
      <c r="GO504" s="11"/>
      <c r="GP504" s="11"/>
      <c r="GQ504" s="11"/>
      <c r="GR504" s="11"/>
      <c r="GS504" s="11"/>
      <c r="GT504" s="11"/>
      <c r="GU504" s="11"/>
      <c r="GV504" s="11"/>
      <c r="GW504" s="11"/>
      <c r="GX504" s="11"/>
      <c r="GY504" s="11"/>
      <c r="GZ504" s="11"/>
      <c r="HA504" s="11"/>
      <c r="HB504" s="11"/>
      <c r="HC504" s="11"/>
      <c r="HD504" s="11"/>
      <c r="HE504" s="11"/>
      <c r="HF504" s="11"/>
      <c r="HG504" s="11"/>
      <c r="HH504" s="11"/>
      <c r="HI504" s="11"/>
      <c r="HJ504" s="11"/>
      <c r="HK504" s="11"/>
      <c r="HL504" s="11"/>
      <c r="HM504" s="11"/>
      <c r="HN504" s="11"/>
      <c r="HO504" s="11"/>
      <c r="HP504" s="11"/>
      <c r="HQ504" s="11"/>
      <c r="HR504" s="11"/>
      <c r="HS504" s="11"/>
      <c r="HT504" s="11"/>
      <c r="HU504" s="11"/>
      <c r="HV504" s="11"/>
      <c r="HW504" s="11"/>
      <c r="HX504" s="11"/>
      <c r="HY504" s="11"/>
      <c r="HZ504" s="11"/>
      <c r="IA504" s="11"/>
      <c r="IB504" s="11"/>
      <c r="IC504" s="11"/>
      <c r="ID504" s="11"/>
      <c r="IE504" s="11"/>
      <c r="IF504" s="11"/>
      <c r="IG504" s="11"/>
      <c r="IH504" s="11"/>
      <c r="II504" s="11"/>
      <c r="IJ504" s="11"/>
      <c r="IK504" s="11"/>
      <c r="IL504" s="11"/>
      <c r="IM504" s="11"/>
      <c r="IN504" s="11"/>
      <c r="IO504" s="11"/>
      <c r="IP504" s="11"/>
      <c r="IQ504" s="11"/>
      <c r="IR504" s="11"/>
      <c r="IS504" s="11"/>
      <c r="IT504" s="11"/>
      <c r="IU504" s="11"/>
      <c r="IV504" s="11"/>
      <c r="IW504" s="11"/>
      <c r="IX504" s="11"/>
      <c r="IY504" s="11"/>
      <c r="IZ504" s="11"/>
      <c r="JA504" s="11"/>
      <c r="JB504" s="11"/>
      <c r="JC504" s="11"/>
      <c r="JD504" s="11"/>
      <c r="JE504" s="11"/>
      <c r="JF504" s="11"/>
      <c r="JG504" s="11"/>
      <c r="JH504" s="11"/>
      <c r="JI504" s="11"/>
      <c r="JJ504" s="11"/>
      <c r="JK504" s="11"/>
      <c r="JL504" s="11"/>
      <c r="JM504" s="11"/>
      <c r="JN504" s="11"/>
      <c r="JO504" s="11"/>
      <c r="JP504" s="11"/>
      <c r="JQ504" s="11"/>
      <c r="JR504" s="11"/>
      <c r="JS504" s="11"/>
      <c r="JT504" s="11"/>
      <c r="JU504" s="11"/>
      <c r="JV504" s="11"/>
      <c r="JW504" s="11"/>
      <c r="JX504" s="11"/>
      <c r="JY504" s="11"/>
      <c r="JZ504" s="11"/>
      <c r="KA504" s="11"/>
      <c r="KB504" s="11"/>
      <c r="KC504" s="11"/>
      <c r="KD504" s="11"/>
      <c r="KE504" s="11"/>
      <c r="KF504" s="11"/>
      <c r="KG504" s="11"/>
      <c r="KH504" s="11"/>
      <c r="KI504" s="11"/>
      <c r="KJ504" s="11"/>
      <c r="KK504" s="11"/>
      <c r="KL504" s="11"/>
      <c r="KM504" s="11"/>
      <c r="KN504" s="11"/>
      <c r="KO504" s="11"/>
      <c r="KP504" s="11"/>
      <c r="KQ504" s="11"/>
      <c r="KR504" s="11"/>
      <c r="KS504" s="11"/>
      <c r="KT504" s="11"/>
      <c r="KU504" s="11"/>
      <c r="KV504" s="11"/>
      <c r="KW504" s="11"/>
      <c r="KX504" s="11"/>
      <c r="KY504" s="11"/>
      <c r="KZ504" s="11"/>
      <c r="LA504" s="11"/>
      <c r="LB504" s="11"/>
      <c r="LC504" s="11"/>
      <c r="LD504" s="11"/>
      <c r="LE504" s="11"/>
      <c r="LF504" s="11"/>
      <c r="LG504" s="11"/>
      <c r="LH504" s="11"/>
      <c r="LI504" s="11"/>
      <c r="LJ504" s="11"/>
      <c r="LK504" s="11"/>
      <c r="LL504" s="11"/>
      <c r="LM504" s="11"/>
      <c r="LN504" s="11"/>
      <c r="LO504" s="11"/>
      <c r="LP504" s="11"/>
      <c r="LQ504" s="11"/>
      <c r="LR504" s="11"/>
      <c r="LS504" s="11"/>
      <c r="LT504" s="11"/>
      <c r="LU504" s="11"/>
      <c r="LV504" s="11"/>
      <c r="LW504" s="11"/>
      <c r="LX504" s="11"/>
      <c r="LY504" s="11"/>
      <c r="LZ504" s="11"/>
      <c r="MA504" s="11"/>
      <c r="MB504" s="11"/>
      <c r="MC504" s="11"/>
      <c r="MD504" s="11"/>
      <c r="ME504" s="11"/>
      <c r="MF504" s="11"/>
      <c r="MG504" s="11"/>
      <c r="MH504" s="11"/>
      <c r="MI504" s="11"/>
      <c r="MJ504" s="11"/>
      <c r="MK504" s="11"/>
      <c r="ML504" s="11"/>
      <c r="MM504" s="11"/>
      <c r="MN504" s="11"/>
      <c r="MO504" s="11"/>
      <c r="MP504" s="11"/>
      <c r="MQ504" s="11"/>
      <c r="MR504" s="11"/>
      <c r="MS504" s="11"/>
      <c r="MT504" s="11"/>
      <c r="MU504" s="11"/>
      <c r="MV504" s="11"/>
      <c r="MW504" s="11"/>
      <c r="MX504" s="11"/>
      <c r="MY504" s="11"/>
      <c r="MZ504" s="11"/>
      <c r="NA504" s="11"/>
      <c r="NB504" s="11"/>
      <c r="NC504" s="11"/>
      <c r="ND504" s="11"/>
      <c r="NE504" s="11"/>
      <c r="NF504" s="11"/>
      <c r="NG504" s="11"/>
      <c r="NH504" s="11"/>
      <c r="NI504" s="11"/>
      <c r="NJ504" s="11"/>
      <c r="NK504" s="11"/>
      <c r="NL504" s="11"/>
      <c r="NM504" s="11"/>
      <c r="NN504" s="11"/>
      <c r="NO504" s="11"/>
      <c r="NP504" s="11"/>
      <c r="NQ504" s="11"/>
      <c r="NR504" s="11"/>
      <c r="NS504" s="11"/>
      <c r="NT504" s="11"/>
      <c r="NU504" s="11"/>
      <c r="NV504" s="11"/>
      <c r="NW504" s="11"/>
      <c r="NX504" s="11"/>
      <c r="NY504" s="11"/>
      <c r="NZ504" s="11"/>
      <c r="OA504" s="11"/>
      <c r="OB504" s="11"/>
      <c r="OC504" s="11"/>
      <c r="OD504" s="11"/>
      <c r="OE504" s="11"/>
      <c r="OF504" s="11"/>
      <c r="OG504" s="11"/>
      <c r="OH504" s="11"/>
      <c r="OI504" s="11"/>
      <c r="OJ504" s="11"/>
      <c r="OK504" s="11"/>
      <c r="OL504" s="11"/>
      <c r="OM504" s="11"/>
      <c r="ON504" s="11"/>
      <c r="OO504" s="11"/>
      <c r="OP504" s="11"/>
      <c r="OQ504" s="11"/>
      <c r="OR504" s="11"/>
      <c r="OS504" s="11"/>
      <c r="OT504" s="11"/>
      <c r="OU504" s="11"/>
      <c r="OV504" s="11"/>
      <c r="OW504" s="11"/>
      <c r="OX504" s="11"/>
      <c r="OY504" s="11"/>
      <c r="OZ504" s="11"/>
      <c r="PA504" s="11"/>
      <c r="PB504" s="11"/>
      <c r="PC504" s="11"/>
      <c r="PD504" s="11"/>
      <c r="PE504" s="11"/>
      <c r="PF504" s="11"/>
      <c r="PG504" s="11"/>
      <c r="PH504" s="11"/>
      <c r="PI504" s="11"/>
      <c r="PJ504" s="11"/>
      <c r="PK504" s="11"/>
      <c r="PL504" s="11"/>
      <c r="PM504" s="11"/>
      <c r="PN504" s="11"/>
      <c r="PO504" s="11"/>
      <c r="PP504" s="11"/>
      <c r="PQ504" s="11"/>
      <c r="PR504" s="11"/>
      <c r="PS504" s="11"/>
      <c r="PT504" s="11"/>
      <c r="PU504" s="11"/>
      <c r="PV504" s="11"/>
      <c r="PW504" s="11"/>
      <c r="PX504" s="11"/>
      <c r="PY504" s="11"/>
      <c r="PZ504" s="11"/>
      <c r="QA504" s="11"/>
      <c r="QB504" s="11"/>
      <c r="QC504" s="11"/>
      <c r="QD504" s="11"/>
      <c r="QE504" s="11"/>
      <c r="QF504" s="11"/>
      <c r="QG504" s="11"/>
      <c r="QH504" s="11"/>
      <c r="QI504" s="11"/>
      <c r="QJ504" s="11"/>
      <c r="QK504" s="11"/>
      <c r="QL504" s="11"/>
      <c r="QM504" s="11"/>
      <c r="QN504" s="11"/>
      <c r="QO504" s="11"/>
      <c r="QP504" s="11"/>
      <c r="QQ504" s="11"/>
      <c r="QR504" s="11"/>
      <c r="QS504" s="11"/>
      <c r="QT504" s="11"/>
      <c r="QU504" s="11"/>
      <c r="QV504" s="11"/>
      <c r="QW504" s="11"/>
      <c r="QX504" s="11"/>
      <c r="QY504" s="11"/>
      <c r="QZ504" s="11"/>
      <c r="RA504" s="11"/>
      <c r="RB504" s="11"/>
      <c r="RC504" s="11"/>
      <c r="RD504" s="11"/>
      <c r="RE504" s="11"/>
      <c r="RF504" s="11"/>
      <c r="RG504" s="11"/>
      <c r="RH504" s="11"/>
      <c r="RI504" s="11"/>
      <c r="RJ504" s="11"/>
      <c r="RK504" s="11"/>
      <c r="RL504" s="11"/>
      <c r="RM504" s="11"/>
      <c r="RN504" s="11"/>
      <c r="RO504" s="11"/>
      <c r="RP504" s="11"/>
      <c r="RQ504" s="11"/>
      <c r="RR504" s="11"/>
      <c r="RS504" s="11"/>
      <c r="RT504" s="11"/>
      <c r="RU504" s="11"/>
      <c r="RV504" s="11"/>
      <c r="RW504" s="11"/>
      <c r="RX504" s="11"/>
      <c r="RY504" s="11"/>
      <c r="RZ504" s="11"/>
      <c r="SA504" s="11"/>
      <c r="SB504" s="11"/>
      <c r="SC504" s="11"/>
      <c r="SD504" s="11"/>
      <c r="SE504" s="11"/>
      <c r="SF504" s="11"/>
      <c r="SG504" s="11"/>
      <c r="SH504" s="11">
        <v>1</v>
      </c>
    </row>
    <row r="505" spans="1:502" x14ac:dyDescent="0.2">
      <c r="A505" s="10" t="s">
        <v>574</v>
      </c>
      <c r="B505" s="11">
        <v>1</v>
      </c>
      <c r="C505" s="11">
        <v>1</v>
      </c>
      <c r="D505" s="11">
        <v>1</v>
      </c>
      <c r="E505" s="11">
        <v>1</v>
      </c>
      <c r="F505" s="11">
        <v>1</v>
      </c>
      <c r="G505" s="11">
        <v>1</v>
      </c>
      <c r="H505" s="11">
        <v>1</v>
      </c>
      <c r="I505" s="11">
        <v>1</v>
      </c>
      <c r="J505" s="11">
        <v>1</v>
      </c>
      <c r="K505" s="11">
        <v>1</v>
      </c>
      <c r="L505" s="11">
        <v>1</v>
      </c>
      <c r="M505" s="11">
        <v>1</v>
      </c>
      <c r="N505" s="11">
        <v>1</v>
      </c>
      <c r="O505" s="11">
        <v>1</v>
      </c>
      <c r="P505" s="11">
        <v>1</v>
      </c>
      <c r="Q505" s="11">
        <v>1</v>
      </c>
      <c r="R505" s="11">
        <v>1</v>
      </c>
      <c r="S505" s="11">
        <v>1</v>
      </c>
      <c r="T505" s="11">
        <v>1</v>
      </c>
      <c r="U505" s="11">
        <v>1</v>
      </c>
      <c r="V505" s="11">
        <v>1</v>
      </c>
      <c r="W505" s="11">
        <v>1</v>
      </c>
      <c r="X505" s="11">
        <v>1</v>
      </c>
      <c r="Y505" s="11">
        <v>1</v>
      </c>
      <c r="Z505" s="11">
        <v>1</v>
      </c>
      <c r="AA505" s="11">
        <v>1</v>
      </c>
      <c r="AB505" s="11">
        <v>1</v>
      </c>
      <c r="AC505" s="11">
        <v>1</v>
      </c>
      <c r="AD505" s="11">
        <v>1</v>
      </c>
      <c r="AE505" s="11">
        <v>1</v>
      </c>
      <c r="AF505" s="11">
        <v>1</v>
      </c>
      <c r="AG505" s="11">
        <v>1</v>
      </c>
      <c r="AH505" s="11">
        <v>1</v>
      </c>
      <c r="AI505" s="11">
        <v>1</v>
      </c>
      <c r="AJ505" s="11">
        <v>1</v>
      </c>
      <c r="AK505" s="11">
        <v>1</v>
      </c>
      <c r="AL505" s="11">
        <v>1</v>
      </c>
      <c r="AM505" s="11">
        <v>1</v>
      </c>
      <c r="AN505" s="11">
        <v>1</v>
      </c>
      <c r="AO505" s="11">
        <v>1</v>
      </c>
      <c r="AP505" s="11">
        <v>1</v>
      </c>
      <c r="AQ505" s="11">
        <v>1</v>
      </c>
      <c r="AR505" s="11">
        <v>1</v>
      </c>
      <c r="AS505" s="11">
        <v>1</v>
      </c>
      <c r="AT505" s="11">
        <v>1</v>
      </c>
      <c r="AU505" s="11">
        <v>1</v>
      </c>
      <c r="AV505" s="11">
        <v>1</v>
      </c>
      <c r="AW505" s="11">
        <v>1</v>
      </c>
      <c r="AX505" s="11">
        <v>1</v>
      </c>
      <c r="AY505" s="11">
        <v>1</v>
      </c>
      <c r="AZ505" s="11">
        <v>1</v>
      </c>
      <c r="BA505" s="11">
        <v>1</v>
      </c>
      <c r="BB505" s="11">
        <v>1</v>
      </c>
      <c r="BC505" s="11">
        <v>1</v>
      </c>
      <c r="BD505" s="11">
        <v>1</v>
      </c>
      <c r="BE505" s="11">
        <v>1</v>
      </c>
      <c r="BF505" s="11">
        <v>1</v>
      </c>
      <c r="BG505" s="11">
        <v>1</v>
      </c>
      <c r="BH505" s="11">
        <v>1</v>
      </c>
      <c r="BI505" s="11">
        <v>1</v>
      </c>
      <c r="BJ505" s="11">
        <v>1</v>
      </c>
      <c r="BK505" s="11">
        <v>1</v>
      </c>
      <c r="BL505" s="11">
        <v>1</v>
      </c>
      <c r="BM505" s="11">
        <v>1</v>
      </c>
      <c r="BN505" s="11">
        <v>1</v>
      </c>
      <c r="BO505" s="11">
        <v>1</v>
      </c>
      <c r="BP505" s="11">
        <v>1</v>
      </c>
      <c r="BQ505" s="11">
        <v>1</v>
      </c>
      <c r="BR505" s="11">
        <v>1</v>
      </c>
      <c r="BS505" s="11">
        <v>1</v>
      </c>
      <c r="BT505" s="11">
        <v>1</v>
      </c>
      <c r="BU505" s="11">
        <v>1</v>
      </c>
      <c r="BV505" s="11">
        <v>1</v>
      </c>
      <c r="BW505" s="11">
        <v>1</v>
      </c>
      <c r="BX505" s="11">
        <v>1</v>
      </c>
      <c r="BY505" s="11">
        <v>1</v>
      </c>
      <c r="BZ505" s="11">
        <v>1</v>
      </c>
      <c r="CA505" s="11">
        <v>1</v>
      </c>
      <c r="CB505" s="11">
        <v>1</v>
      </c>
      <c r="CC505" s="11">
        <v>1</v>
      </c>
      <c r="CD505" s="11">
        <v>1</v>
      </c>
      <c r="CE505" s="11">
        <v>1</v>
      </c>
      <c r="CF505" s="11">
        <v>1</v>
      </c>
      <c r="CG505" s="11">
        <v>1</v>
      </c>
      <c r="CH505" s="11">
        <v>1</v>
      </c>
      <c r="CI505" s="11">
        <v>1</v>
      </c>
      <c r="CJ505" s="11">
        <v>1</v>
      </c>
      <c r="CK505" s="11">
        <v>1</v>
      </c>
      <c r="CL505" s="11">
        <v>1</v>
      </c>
      <c r="CM505" s="11">
        <v>1</v>
      </c>
      <c r="CN505" s="11">
        <v>1</v>
      </c>
      <c r="CO505" s="11">
        <v>1</v>
      </c>
      <c r="CP505" s="11">
        <v>1</v>
      </c>
      <c r="CQ505" s="11">
        <v>1</v>
      </c>
      <c r="CR505" s="11">
        <v>1</v>
      </c>
      <c r="CS505" s="11">
        <v>1</v>
      </c>
      <c r="CT505" s="11">
        <v>1</v>
      </c>
      <c r="CU505" s="11">
        <v>1</v>
      </c>
      <c r="CV505" s="11">
        <v>1</v>
      </c>
      <c r="CW505" s="11">
        <v>1</v>
      </c>
      <c r="CX505" s="11">
        <v>1</v>
      </c>
      <c r="CY505" s="11">
        <v>1</v>
      </c>
      <c r="CZ505" s="11">
        <v>1</v>
      </c>
      <c r="DA505" s="11">
        <v>1</v>
      </c>
      <c r="DB505" s="11">
        <v>1</v>
      </c>
      <c r="DC505" s="11">
        <v>1</v>
      </c>
      <c r="DD505" s="11">
        <v>1</v>
      </c>
      <c r="DE505" s="11">
        <v>1</v>
      </c>
      <c r="DF505" s="11">
        <v>1</v>
      </c>
      <c r="DG505" s="11">
        <v>1</v>
      </c>
      <c r="DH505" s="11">
        <v>1</v>
      </c>
      <c r="DI505" s="11">
        <v>1</v>
      </c>
      <c r="DJ505" s="11">
        <v>1</v>
      </c>
      <c r="DK505" s="11">
        <v>1</v>
      </c>
      <c r="DL505" s="11">
        <v>1</v>
      </c>
      <c r="DM505" s="11">
        <v>1</v>
      </c>
      <c r="DN505" s="11">
        <v>1</v>
      </c>
      <c r="DO505" s="11">
        <v>1</v>
      </c>
      <c r="DP505" s="11">
        <v>1</v>
      </c>
      <c r="DQ505" s="11">
        <v>1</v>
      </c>
      <c r="DR505" s="11">
        <v>1</v>
      </c>
      <c r="DS505" s="11">
        <v>1</v>
      </c>
      <c r="DT505" s="11">
        <v>1</v>
      </c>
      <c r="DU505" s="11">
        <v>1</v>
      </c>
      <c r="DV505" s="11">
        <v>1</v>
      </c>
      <c r="DW505" s="11">
        <v>1</v>
      </c>
      <c r="DX505" s="11">
        <v>1</v>
      </c>
      <c r="DY505" s="11">
        <v>1</v>
      </c>
      <c r="DZ505" s="11">
        <v>1</v>
      </c>
      <c r="EA505" s="11">
        <v>1</v>
      </c>
      <c r="EB505" s="11">
        <v>1</v>
      </c>
      <c r="EC505" s="11">
        <v>1</v>
      </c>
      <c r="ED505" s="11">
        <v>1</v>
      </c>
      <c r="EE505" s="11">
        <v>1</v>
      </c>
      <c r="EF505" s="11">
        <v>1</v>
      </c>
      <c r="EG505" s="11">
        <v>1</v>
      </c>
      <c r="EH505" s="11">
        <v>1</v>
      </c>
      <c r="EI505" s="11">
        <v>1</v>
      </c>
      <c r="EJ505" s="11">
        <v>1</v>
      </c>
      <c r="EK505" s="11">
        <v>1</v>
      </c>
      <c r="EL505" s="11">
        <v>1</v>
      </c>
      <c r="EM505" s="11">
        <v>1</v>
      </c>
      <c r="EN505" s="11">
        <v>1</v>
      </c>
      <c r="EO505" s="11">
        <v>1</v>
      </c>
      <c r="EP505" s="11">
        <v>1</v>
      </c>
      <c r="EQ505" s="11">
        <v>1</v>
      </c>
      <c r="ER505" s="11">
        <v>1</v>
      </c>
      <c r="ES505" s="11">
        <v>1</v>
      </c>
      <c r="ET505" s="11">
        <v>1</v>
      </c>
      <c r="EU505" s="11">
        <v>1</v>
      </c>
      <c r="EV505" s="11">
        <v>1</v>
      </c>
      <c r="EW505" s="11">
        <v>1</v>
      </c>
      <c r="EX505" s="11">
        <v>1</v>
      </c>
      <c r="EY505" s="11">
        <v>1</v>
      </c>
      <c r="EZ505" s="11">
        <v>1</v>
      </c>
      <c r="FA505" s="11">
        <v>1</v>
      </c>
      <c r="FB505" s="11">
        <v>1</v>
      </c>
      <c r="FC505" s="11">
        <v>1</v>
      </c>
      <c r="FD505" s="11">
        <v>1</v>
      </c>
      <c r="FE505" s="11">
        <v>1</v>
      </c>
      <c r="FF505" s="11">
        <v>1</v>
      </c>
      <c r="FG505" s="11">
        <v>1</v>
      </c>
      <c r="FH505" s="11">
        <v>1</v>
      </c>
      <c r="FI505" s="11">
        <v>1</v>
      </c>
      <c r="FJ505" s="11">
        <v>1</v>
      </c>
      <c r="FK505" s="11">
        <v>1</v>
      </c>
      <c r="FL505" s="11">
        <v>1</v>
      </c>
      <c r="FM505" s="11">
        <v>1</v>
      </c>
      <c r="FN505" s="11">
        <v>1</v>
      </c>
      <c r="FO505" s="11">
        <v>1</v>
      </c>
      <c r="FP505" s="11">
        <v>1</v>
      </c>
      <c r="FQ505" s="11">
        <v>1</v>
      </c>
      <c r="FR505" s="11">
        <v>1</v>
      </c>
      <c r="FS505" s="11">
        <v>1</v>
      </c>
      <c r="FT505" s="11">
        <v>1</v>
      </c>
      <c r="FU505" s="11">
        <v>1</v>
      </c>
      <c r="FV505" s="11">
        <v>1</v>
      </c>
      <c r="FW505" s="11">
        <v>1</v>
      </c>
      <c r="FX505" s="11">
        <v>1</v>
      </c>
      <c r="FY505" s="11">
        <v>1</v>
      </c>
      <c r="FZ505" s="11">
        <v>1</v>
      </c>
      <c r="GA505" s="11">
        <v>1</v>
      </c>
      <c r="GB505" s="11">
        <v>1</v>
      </c>
      <c r="GC505" s="11">
        <v>1</v>
      </c>
      <c r="GD505" s="11">
        <v>1</v>
      </c>
      <c r="GE505" s="11">
        <v>1</v>
      </c>
      <c r="GF505" s="11">
        <v>1</v>
      </c>
      <c r="GG505" s="11">
        <v>1</v>
      </c>
      <c r="GH505" s="11">
        <v>1</v>
      </c>
      <c r="GI505" s="11">
        <v>1</v>
      </c>
      <c r="GJ505" s="11">
        <v>1</v>
      </c>
      <c r="GK505" s="11">
        <v>1</v>
      </c>
      <c r="GL505" s="11">
        <v>1</v>
      </c>
      <c r="GM505" s="11">
        <v>1</v>
      </c>
      <c r="GN505" s="11">
        <v>1</v>
      </c>
      <c r="GO505" s="11">
        <v>1</v>
      </c>
      <c r="GP505" s="11">
        <v>1</v>
      </c>
      <c r="GQ505" s="11">
        <v>1</v>
      </c>
      <c r="GR505" s="11">
        <v>1</v>
      </c>
      <c r="GS505" s="11">
        <v>1</v>
      </c>
      <c r="GT505" s="11">
        <v>1</v>
      </c>
      <c r="GU505" s="11">
        <v>1</v>
      </c>
      <c r="GV505" s="11">
        <v>1</v>
      </c>
      <c r="GW505" s="11">
        <v>1</v>
      </c>
      <c r="GX505" s="11">
        <v>1</v>
      </c>
      <c r="GY505" s="11">
        <v>1</v>
      </c>
      <c r="GZ505" s="11">
        <v>1</v>
      </c>
      <c r="HA505" s="11">
        <v>1</v>
      </c>
      <c r="HB505" s="11">
        <v>1</v>
      </c>
      <c r="HC505" s="11">
        <v>1</v>
      </c>
      <c r="HD505" s="11">
        <v>1</v>
      </c>
      <c r="HE505" s="11">
        <v>1</v>
      </c>
      <c r="HF505" s="11">
        <v>1</v>
      </c>
      <c r="HG505" s="11">
        <v>1</v>
      </c>
      <c r="HH505" s="11">
        <v>1</v>
      </c>
      <c r="HI505" s="11">
        <v>1</v>
      </c>
      <c r="HJ505" s="11">
        <v>1</v>
      </c>
      <c r="HK505" s="11">
        <v>1</v>
      </c>
      <c r="HL505" s="11">
        <v>1</v>
      </c>
      <c r="HM505" s="11">
        <v>1</v>
      </c>
      <c r="HN505" s="11">
        <v>1</v>
      </c>
      <c r="HO505" s="11">
        <v>1</v>
      </c>
      <c r="HP505" s="11">
        <v>1</v>
      </c>
      <c r="HQ505" s="11">
        <v>1</v>
      </c>
      <c r="HR505" s="11">
        <v>1</v>
      </c>
      <c r="HS505" s="11">
        <v>1</v>
      </c>
      <c r="HT505" s="11">
        <v>1</v>
      </c>
      <c r="HU505" s="11">
        <v>1</v>
      </c>
      <c r="HV505" s="11">
        <v>1</v>
      </c>
      <c r="HW505" s="11">
        <v>1</v>
      </c>
      <c r="HX505" s="11">
        <v>1</v>
      </c>
      <c r="HY505" s="11">
        <v>1</v>
      </c>
      <c r="HZ505" s="11">
        <v>1</v>
      </c>
      <c r="IA505" s="11">
        <v>1</v>
      </c>
      <c r="IB505" s="11">
        <v>1</v>
      </c>
      <c r="IC505" s="11">
        <v>1</v>
      </c>
      <c r="ID505" s="11">
        <v>1</v>
      </c>
      <c r="IE505" s="11">
        <v>1</v>
      </c>
      <c r="IF505" s="11">
        <v>1</v>
      </c>
      <c r="IG505" s="11">
        <v>1</v>
      </c>
      <c r="IH505" s="11">
        <v>1</v>
      </c>
      <c r="II505" s="11">
        <v>1</v>
      </c>
      <c r="IJ505" s="11">
        <v>1</v>
      </c>
      <c r="IK505" s="11">
        <v>1</v>
      </c>
      <c r="IL505" s="11">
        <v>1</v>
      </c>
      <c r="IM505" s="11">
        <v>1</v>
      </c>
      <c r="IN505" s="11">
        <v>1</v>
      </c>
      <c r="IO505" s="11">
        <v>1</v>
      </c>
      <c r="IP505" s="11">
        <v>1</v>
      </c>
      <c r="IQ505" s="11">
        <v>1</v>
      </c>
      <c r="IR505" s="11">
        <v>1</v>
      </c>
      <c r="IS505" s="11">
        <v>1</v>
      </c>
      <c r="IT505" s="11">
        <v>1</v>
      </c>
      <c r="IU505" s="11">
        <v>1</v>
      </c>
      <c r="IV505" s="11">
        <v>1</v>
      </c>
      <c r="IW505" s="11">
        <v>1</v>
      </c>
      <c r="IX505" s="11">
        <v>1</v>
      </c>
      <c r="IY505" s="11">
        <v>1</v>
      </c>
      <c r="IZ505" s="11">
        <v>1</v>
      </c>
      <c r="JA505" s="11">
        <v>1</v>
      </c>
      <c r="JB505" s="11">
        <v>1</v>
      </c>
      <c r="JC505" s="11">
        <v>1</v>
      </c>
      <c r="JD505" s="11">
        <v>1</v>
      </c>
      <c r="JE505" s="11">
        <v>1</v>
      </c>
      <c r="JF505" s="11">
        <v>1</v>
      </c>
      <c r="JG505" s="11">
        <v>1</v>
      </c>
      <c r="JH505" s="11">
        <v>1</v>
      </c>
      <c r="JI505" s="11">
        <v>1</v>
      </c>
      <c r="JJ505" s="11">
        <v>1</v>
      </c>
      <c r="JK505" s="11">
        <v>1</v>
      </c>
      <c r="JL505" s="11">
        <v>1</v>
      </c>
      <c r="JM505" s="11">
        <v>1</v>
      </c>
      <c r="JN505" s="11">
        <v>1</v>
      </c>
      <c r="JO505" s="11">
        <v>1</v>
      </c>
      <c r="JP505" s="11">
        <v>1</v>
      </c>
      <c r="JQ505" s="11">
        <v>1</v>
      </c>
      <c r="JR505" s="11">
        <v>1</v>
      </c>
      <c r="JS505" s="11">
        <v>1</v>
      </c>
      <c r="JT505" s="11">
        <v>1</v>
      </c>
      <c r="JU505" s="11">
        <v>1</v>
      </c>
      <c r="JV505" s="11">
        <v>1</v>
      </c>
      <c r="JW505" s="11">
        <v>1</v>
      </c>
      <c r="JX505" s="11">
        <v>1</v>
      </c>
      <c r="JY505" s="11">
        <v>1</v>
      </c>
      <c r="JZ505" s="11">
        <v>1</v>
      </c>
      <c r="KA505" s="11">
        <v>1</v>
      </c>
      <c r="KB505" s="11">
        <v>1</v>
      </c>
      <c r="KC505" s="11">
        <v>1</v>
      </c>
      <c r="KD505" s="11">
        <v>1</v>
      </c>
      <c r="KE505" s="11">
        <v>1</v>
      </c>
      <c r="KF505" s="11">
        <v>1</v>
      </c>
      <c r="KG505" s="11">
        <v>1</v>
      </c>
      <c r="KH505" s="11">
        <v>1</v>
      </c>
      <c r="KI505" s="11">
        <v>1</v>
      </c>
      <c r="KJ505" s="11">
        <v>1</v>
      </c>
      <c r="KK505" s="11">
        <v>1</v>
      </c>
      <c r="KL505" s="11">
        <v>1</v>
      </c>
      <c r="KM505" s="11">
        <v>1</v>
      </c>
      <c r="KN505" s="11">
        <v>1</v>
      </c>
      <c r="KO505" s="11">
        <v>1</v>
      </c>
      <c r="KP505" s="11">
        <v>1</v>
      </c>
      <c r="KQ505" s="11">
        <v>1</v>
      </c>
      <c r="KR505" s="11">
        <v>1</v>
      </c>
      <c r="KS505" s="11">
        <v>1</v>
      </c>
      <c r="KT505" s="11">
        <v>1</v>
      </c>
      <c r="KU505" s="11">
        <v>1</v>
      </c>
      <c r="KV505" s="11">
        <v>1</v>
      </c>
      <c r="KW505" s="11">
        <v>1</v>
      </c>
      <c r="KX505" s="11">
        <v>1</v>
      </c>
      <c r="KY505" s="11">
        <v>1</v>
      </c>
      <c r="KZ505" s="11">
        <v>1</v>
      </c>
      <c r="LA505" s="11">
        <v>1</v>
      </c>
      <c r="LB505" s="11">
        <v>1</v>
      </c>
      <c r="LC505" s="11">
        <v>1</v>
      </c>
      <c r="LD505" s="11">
        <v>1</v>
      </c>
      <c r="LE505" s="11">
        <v>1</v>
      </c>
      <c r="LF505" s="11">
        <v>1</v>
      </c>
      <c r="LG505" s="11">
        <v>1</v>
      </c>
      <c r="LH505" s="11">
        <v>1</v>
      </c>
      <c r="LI505" s="11">
        <v>1</v>
      </c>
      <c r="LJ505" s="11">
        <v>1</v>
      </c>
      <c r="LK505" s="11">
        <v>1</v>
      </c>
      <c r="LL505" s="11">
        <v>1</v>
      </c>
      <c r="LM505" s="11">
        <v>1</v>
      </c>
      <c r="LN505" s="11">
        <v>1</v>
      </c>
      <c r="LO505" s="11">
        <v>1</v>
      </c>
      <c r="LP505" s="11">
        <v>1</v>
      </c>
      <c r="LQ505" s="11">
        <v>1</v>
      </c>
      <c r="LR505" s="11">
        <v>1</v>
      </c>
      <c r="LS505" s="11">
        <v>1</v>
      </c>
      <c r="LT505" s="11">
        <v>1</v>
      </c>
      <c r="LU505" s="11">
        <v>1</v>
      </c>
      <c r="LV505" s="11">
        <v>1</v>
      </c>
      <c r="LW505" s="11">
        <v>1</v>
      </c>
      <c r="LX505" s="11">
        <v>1</v>
      </c>
      <c r="LY505" s="11">
        <v>1</v>
      </c>
      <c r="LZ505" s="11">
        <v>1</v>
      </c>
      <c r="MA505" s="11">
        <v>1</v>
      </c>
      <c r="MB505" s="11">
        <v>1</v>
      </c>
      <c r="MC505" s="11">
        <v>1</v>
      </c>
      <c r="MD505" s="11">
        <v>1</v>
      </c>
      <c r="ME505" s="11">
        <v>1</v>
      </c>
      <c r="MF505" s="11">
        <v>1</v>
      </c>
      <c r="MG505" s="11">
        <v>1</v>
      </c>
      <c r="MH505" s="11">
        <v>1</v>
      </c>
      <c r="MI505" s="11">
        <v>1</v>
      </c>
      <c r="MJ505" s="11">
        <v>1</v>
      </c>
      <c r="MK505" s="11">
        <v>1</v>
      </c>
      <c r="ML505" s="11">
        <v>1</v>
      </c>
      <c r="MM505" s="11">
        <v>1</v>
      </c>
      <c r="MN505" s="11">
        <v>1</v>
      </c>
      <c r="MO505" s="11">
        <v>1</v>
      </c>
      <c r="MP505" s="11">
        <v>1</v>
      </c>
      <c r="MQ505" s="11">
        <v>1</v>
      </c>
      <c r="MR505" s="11">
        <v>1</v>
      </c>
      <c r="MS505" s="11">
        <v>1</v>
      </c>
      <c r="MT505" s="11">
        <v>1</v>
      </c>
      <c r="MU505" s="11">
        <v>1</v>
      </c>
      <c r="MV505" s="11">
        <v>1</v>
      </c>
      <c r="MW505" s="11">
        <v>1</v>
      </c>
      <c r="MX505" s="11">
        <v>1</v>
      </c>
      <c r="MY505" s="11">
        <v>1</v>
      </c>
      <c r="MZ505" s="11">
        <v>1</v>
      </c>
      <c r="NA505" s="11">
        <v>1</v>
      </c>
      <c r="NB505" s="11">
        <v>1</v>
      </c>
      <c r="NC505" s="11">
        <v>1</v>
      </c>
      <c r="ND505" s="11">
        <v>1</v>
      </c>
      <c r="NE505" s="11">
        <v>1</v>
      </c>
      <c r="NF505" s="11">
        <v>1</v>
      </c>
      <c r="NG505" s="11">
        <v>1</v>
      </c>
      <c r="NH505" s="11">
        <v>1</v>
      </c>
      <c r="NI505" s="11">
        <v>1</v>
      </c>
      <c r="NJ505" s="11">
        <v>1</v>
      </c>
      <c r="NK505" s="11">
        <v>1</v>
      </c>
      <c r="NL505" s="11">
        <v>1</v>
      </c>
      <c r="NM505" s="11">
        <v>1</v>
      </c>
      <c r="NN505" s="11">
        <v>1</v>
      </c>
      <c r="NO505" s="11">
        <v>1</v>
      </c>
      <c r="NP505" s="11">
        <v>1</v>
      </c>
      <c r="NQ505" s="11">
        <v>1</v>
      </c>
      <c r="NR505" s="11">
        <v>1</v>
      </c>
      <c r="NS505" s="11">
        <v>1</v>
      </c>
      <c r="NT505" s="11">
        <v>1</v>
      </c>
      <c r="NU505" s="11">
        <v>1</v>
      </c>
      <c r="NV505" s="11">
        <v>1</v>
      </c>
      <c r="NW505" s="11">
        <v>1</v>
      </c>
      <c r="NX505" s="11">
        <v>1</v>
      </c>
      <c r="NY505" s="11">
        <v>1</v>
      </c>
      <c r="NZ505" s="11">
        <v>1</v>
      </c>
      <c r="OA505" s="11">
        <v>1</v>
      </c>
      <c r="OB505" s="11">
        <v>1</v>
      </c>
      <c r="OC505" s="11">
        <v>1</v>
      </c>
      <c r="OD505" s="11">
        <v>1</v>
      </c>
      <c r="OE505" s="11">
        <v>1</v>
      </c>
      <c r="OF505" s="11">
        <v>1</v>
      </c>
      <c r="OG505" s="11">
        <v>1</v>
      </c>
      <c r="OH505" s="11">
        <v>1</v>
      </c>
      <c r="OI505" s="11">
        <v>1</v>
      </c>
      <c r="OJ505" s="11">
        <v>1</v>
      </c>
      <c r="OK505" s="11">
        <v>1</v>
      </c>
      <c r="OL505" s="11">
        <v>1</v>
      </c>
      <c r="OM505" s="11">
        <v>1</v>
      </c>
      <c r="ON505" s="11">
        <v>1</v>
      </c>
      <c r="OO505" s="11">
        <v>1</v>
      </c>
      <c r="OP505" s="11">
        <v>1</v>
      </c>
      <c r="OQ505" s="11">
        <v>1</v>
      </c>
      <c r="OR505" s="11">
        <v>1</v>
      </c>
      <c r="OS505" s="11">
        <v>1</v>
      </c>
      <c r="OT505" s="11">
        <v>1</v>
      </c>
      <c r="OU505" s="11">
        <v>1</v>
      </c>
      <c r="OV505" s="11">
        <v>1</v>
      </c>
      <c r="OW505" s="11">
        <v>1</v>
      </c>
      <c r="OX505" s="11">
        <v>1</v>
      </c>
      <c r="OY505" s="11">
        <v>1</v>
      </c>
      <c r="OZ505" s="11">
        <v>1</v>
      </c>
      <c r="PA505" s="11">
        <v>1</v>
      </c>
      <c r="PB505" s="11">
        <v>1</v>
      </c>
      <c r="PC505" s="11">
        <v>1</v>
      </c>
      <c r="PD505" s="11">
        <v>1</v>
      </c>
      <c r="PE505" s="11">
        <v>1</v>
      </c>
      <c r="PF505" s="11">
        <v>1</v>
      </c>
      <c r="PG505" s="11">
        <v>1</v>
      </c>
      <c r="PH505" s="11">
        <v>1</v>
      </c>
      <c r="PI505" s="11">
        <v>1</v>
      </c>
      <c r="PJ505" s="11">
        <v>1</v>
      </c>
      <c r="PK505" s="11">
        <v>1</v>
      </c>
      <c r="PL505" s="11">
        <v>1</v>
      </c>
      <c r="PM505" s="11">
        <v>1</v>
      </c>
      <c r="PN505" s="11">
        <v>1</v>
      </c>
      <c r="PO505" s="11">
        <v>1</v>
      </c>
      <c r="PP505" s="11">
        <v>1</v>
      </c>
      <c r="PQ505" s="11">
        <v>1</v>
      </c>
      <c r="PR505" s="11">
        <v>1</v>
      </c>
      <c r="PS505" s="11">
        <v>1</v>
      </c>
      <c r="PT505" s="11">
        <v>1</v>
      </c>
      <c r="PU505" s="11">
        <v>1</v>
      </c>
      <c r="PV505" s="11">
        <v>1</v>
      </c>
      <c r="PW505" s="11">
        <v>1</v>
      </c>
      <c r="PX505" s="11">
        <v>1</v>
      </c>
      <c r="PY505" s="11">
        <v>1</v>
      </c>
      <c r="PZ505" s="11">
        <v>1</v>
      </c>
      <c r="QA505" s="11">
        <v>1</v>
      </c>
      <c r="QB505" s="11">
        <v>1</v>
      </c>
      <c r="QC505" s="11">
        <v>1</v>
      </c>
      <c r="QD505" s="11">
        <v>1</v>
      </c>
      <c r="QE505" s="11">
        <v>1</v>
      </c>
      <c r="QF505" s="11">
        <v>1</v>
      </c>
      <c r="QG505" s="11">
        <v>1</v>
      </c>
      <c r="QH505" s="11">
        <v>1</v>
      </c>
      <c r="QI505" s="11">
        <v>1</v>
      </c>
      <c r="QJ505" s="11">
        <v>1</v>
      </c>
      <c r="QK505" s="11">
        <v>1</v>
      </c>
      <c r="QL505" s="11">
        <v>1</v>
      </c>
      <c r="QM505" s="11">
        <v>1</v>
      </c>
      <c r="QN505" s="11">
        <v>1</v>
      </c>
      <c r="QO505" s="11">
        <v>1</v>
      </c>
      <c r="QP505" s="11">
        <v>1</v>
      </c>
      <c r="QQ505" s="11">
        <v>1</v>
      </c>
      <c r="QR505" s="11">
        <v>1</v>
      </c>
      <c r="QS505" s="11">
        <v>1</v>
      </c>
      <c r="QT505" s="11">
        <v>1</v>
      </c>
      <c r="QU505" s="11">
        <v>1</v>
      </c>
      <c r="QV505" s="11">
        <v>1</v>
      </c>
      <c r="QW505" s="11">
        <v>1</v>
      </c>
      <c r="QX505" s="11">
        <v>1</v>
      </c>
      <c r="QY505" s="11">
        <v>1</v>
      </c>
      <c r="QZ505" s="11">
        <v>1</v>
      </c>
      <c r="RA505" s="11">
        <v>1</v>
      </c>
      <c r="RB505" s="11">
        <v>1</v>
      </c>
      <c r="RC505" s="11">
        <v>1</v>
      </c>
      <c r="RD505" s="11">
        <v>1</v>
      </c>
      <c r="RE505" s="11">
        <v>1</v>
      </c>
      <c r="RF505" s="11">
        <v>1</v>
      </c>
      <c r="RG505" s="11">
        <v>1</v>
      </c>
      <c r="RH505" s="11">
        <v>1</v>
      </c>
      <c r="RI505" s="11">
        <v>1</v>
      </c>
      <c r="RJ505" s="11">
        <v>1</v>
      </c>
      <c r="RK505" s="11">
        <v>1</v>
      </c>
      <c r="RL505" s="11">
        <v>1</v>
      </c>
      <c r="RM505" s="11">
        <v>1</v>
      </c>
      <c r="RN505" s="11">
        <v>1</v>
      </c>
      <c r="RO505" s="11">
        <v>1</v>
      </c>
      <c r="RP505" s="11">
        <v>1</v>
      </c>
      <c r="RQ505" s="11">
        <v>1</v>
      </c>
      <c r="RR505" s="11">
        <v>1</v>
      </c>
      <c r="RS505" s="11">
        <v>1</v>
      </c>
      <c r="RT505" s="11">
        <v>1</v>
      </c>
      <c r="RU505" s="11">
        <v>1</v>
      </c>
      <c r="RV505" s="11">
        <v>1</v>
      </c>
      <c r="RW505" s="11">
        <v>1</v>
      </c>
      <c r="RX505" s="11">
        <v>1</v>
      </c>
      <c r="RY505" s="11">
        <v>1</v>
      </c>
      <c r="RZ505" s="11">
        <v>1</v>
      </c>
      <c r="SA505" s="11">
        <v>1</v>
      </c>
      <c r="SB505" s="11">
        <v>1</v>
      </c>
      <c r="SC505" s="11">
        <v>1</v>
      </c>
      <c r="SD505" s="11">
        <v>1</v>
      </c>
      <c r="SE505" s="11">
        <v>1</v>
      </c>
      <c r="SF505" s="11">
        <v>1</v>
      </c>
      <c r="SG505" s="11">
        <v>1</v>
      </c>
      <c r="SH505" s="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8E55-41CC-1B4D-AF7A-BD4524C442D8}">
  <dimension ref="A1:F501"/>
  <sheetViews>
    <sheetView tabSelected="1" workbookViewId="0">
      <selection activeCell="G30" sqref="G30"/>
    </sheetView>
  </sheetViews>
  <sheetFormatPr baseColWidth="10" defaultRowHeight="16" x14ac:dyDescent="0.2"/>
  <cols>
    <col min="1" max="1" width="23.33203125" style="3" bestFit="1" customWidth="1"/>
    <col min="2" max="2" width="12.33203125" style="3" bestFit="1" customWidth="1"/>
    <col min="3" max="3" width="12.6640625" style="4" bestFit="1" customWidth="1"/>
    <col min="5" max="5" width="15.5" customWidth="1"/>
    <col min="6" max="6" width="12.6640625" style="4" customWidth="1"/>
  </cols>
  <sheetData>
    <row r="1" spans="1:6" ht="53" x14ac:dyDescent="0.2">
      <c r="A1" s="1" t="s">
        <v>0</v>
      </c>
      <c r="B1" s="1" t="s">
        <v>1</v>
      </c>
      <c r="C1" s="2" t="s">
        <v>2</v>
      </c>
      <c r="D1" s="5" t="s">
        <v>570</v>
      </c>
      <c r="E1" s="2" t="s">
        <v>571</v>
      </c>
      <c r="F1"/>
    </row>
    <row r="2" spans="1:6" x14ac:dyDescent="0.2">
      <c r="A2" s="3" t="s">
        <v>59</v>
      </c>
      <c r="B2" s="3" t="s">
        <v>60</v>
      </c>
      <c r="C2" s="4">
        <v>3986474.7</v>
      </c>
      <c r="D2" s="6">
        <v>26987214.640000001</v>
      </c>
      <c r="E2" s="7">
        <f>TuitionRates[[#This Row],[2022-23
Cyber Charter School Expenditures]]/D2</f>
        <v>0.14771715989138479</v>
      </c>
      <c r="F2"/>
    </row>
    <row r="3" spans="1:6" x14ac:dyDescent="0.2">
      <c r="A3" s="3" t="s">
        <v>474</v>
      </c>
      <c r="B3" s="3" t="s">
        <v>463</v>
      </c>
      <c r="C3" s="4">
        <v>2504825.48</v>
      </c>
      <c r="D3" s="6">
        <v>18791305.73</v>
      </c>
      <c r="E3" s="7">
        <f>TuitionRates[[#This Row],[2022-23
Cyber Charter School Expenditures]]/D3</f>
        <v>0.13329704257863723</v>
      </c>
      <c r="F3"/>
    </row>
    <row r="4" spans="1:6" x14ac:dyDescent="0.2">
      <c r="A4" s="3" t="s">
        <v>223</v>
      </c>
      <c r="B4" s="3" t="s">
        <v>216</v>
      </c>
      <c r="C4" s="4">
        <v>3982068</v>
      </c>
      <c r="D4" s="6">
        <v>32293807.98</v>
      </c>
      <c r="E4" s="7">
        <f>TuitionRates[[#This Row],[2022-23
Cyber Charter School Expenditures]]/D4</f>
        <v>0.12330747747265201</v>
      </c>
      <c r="F4"/>
    </row>
    <row r="5" spans="1:6" x14ac:dyDescent="0.2">
      <c r="A5" s="3" t="s">
        <v>450</v>
      </c>
      <c r="B5" s="3" t="s">
        <v>447</v>
      </c>
      <c r="C5" s="4">
        <v>4851741.59</v>
      </c>
      <c r="D5" s="6">
        <v>45353846.619999997</v>
      </c>
      <c r="E5" s="7">
        <f>TuitionRates[[#This Row],[2022-23
Cyber Charter School Expenditures]]/D5</f>
        <v>0.1069753053285781</v>
      </c>
      <c r="F5"/>
    </row>
    <row r="6" spans="1:6" x14ac:dyDescent="0.2">
      <c r="A6" s="3" t="s">
        <v>407</v>
      </c>
      <c r="B6" s="3" t="s">
        <v>406</v>
      </c>
      <c r="C6" s="4">
        <v>25938</v>
      </c>
      <c r="D6" s="6">
        <v>257062</v>
      </c>
      <c r="E6" s="7">
        <f>TuitionRates[[#This Row],[2022-23
Cyber Charter School Expenditures]]/D6</f>
        <v>0.1009017279878006</v>
      </c>
      <c r="F6"/>
    </row>
    <row r="7" spans="1:6" x14ac:dyDescent="0.2">
      <c r="A7" s="3" t="s">
        <v>226</v>
      </c>
      <c r="B7" s="3" t="s">
        <v>227</v>
      </c>
      <c r="C7" s="4">
        <v>13523422.07</v>
      </c>
      <c r="D7" s="6">
        <v>148558474.50999999</v>
      </c>
      <c r="E7" s="7">
        <f>TuitionRates[[#This Row],[2022-23
Cyber Charter School Expenditures]]/D7</f>
        <v>9.10309702264053E-2</v>
      </c>
      <c r="F7"/>
    </row>
    <row r="8" spans="1:6" x14ac:dyDescent="0.2">
      <c r="A8" s="3" t="s">
        <v>222</v>
      </c>
      <c r="B8" s="3" t="s">
        <v>216</v>
      </c>
      <c r="C8" s="4">
        <v>1491441.72</v>
      </c>
      <c r="D8" s="6">
        <v>17492927.030000001</v>
      </c>
      <c r="E8" s="7">
        <f>TuitionRates[[#This Row],[2022-23
Cyber Charter School Expenditures]]/D8</f>
        <v>8.5259700531661098E-2</v>
      </c>
      <c r="F8"/>
    </row>
    <row r="9" spans="1:6" x14ac:dyDescent="0.2">
      <c r="A9" s="3" t="s">
        <v>152</v>
      </c>
      <c r="B9" s="3" t="s">
        <v>153</v>
      </c>
      <c r="C9" s="4">
        <v>3823169</v>
      </c>
      <c r="D9" s="6">
        <v>47407031.030000001</v>
      </c>
      <c r="E9" s="7">
        <f>TuitionRates[[#This Row],[2022-23
Cyber Charter School Expenditures]]/D9</f>
        <v>8.0645611356269742E-2</v>
      </c>
      <c r="F9"/>
    </row>
    <row r="10" spans="1:6" x14ac:dyDescent="0.2">
      <c r="A10" s="3" t="s">
        <v>156</v>
      </c>
      <c r="B10" s="3" t="s">
        <v>153</v>
      </c>
      <c r="C10" s="4">
        <v>2491729.5699999998</v>
      </c>
      <c r="D10" s="6">
        <v>32643596.890000001</v>
      </c>
      <c r="E10" s="7">
        <f>TuitionRates[[#This Row],[2022-23
Cyber Charter School Expenditures]]/D10</f>
        <v>7.6331342357781454E-2</v>
      </c>
      <c r="F10"/>
    </row>
    <row r="11" spans="1:6" x14ac:dyDescent="0.2">
      <c r="A11" s="3" t="s">
        <v>306</v>
      </c>
      <c r="B11" s="3" t="s">
        <v>305</v>
      </c>
      <c r="C11" s="4">
        <v>2375242.46</v>
      </c>
      <c r="D11" s="6">
        <v>31651942.399999999</v>
      </c>
      <c r="E11" s="7">
        <f>TuitionRates[[#This Row],[2022-23
Cyber Charter School Expenditures]]/D11</f>
        <v>7.504254967935238E-2</v>
      </c>
      <c r="F11"/>
    </row>
    <row r="12" spans="1:6" x14ac:dyDescent="0.2">
      <c r="A12" s="3" t="s">
        <v>387</v>
      </c>
      <c r="B12" s="3" t="s">
        <v>386</v>
      </c>
      <c r="C12" s="4">
        <v>1718719.95</v>
      </c>
      <c r="D12" s="6">
        <v>23172412.300000001</v>
      </c>
      <c r="E12" s="7">
        <f>TuitionRates[[#This Row],[2022-23
Cyber Charter School Expenditures]]/D12</f>
        <v>7.417095500238445E-2</v>
      </c>
      <c r="F12"/>
    </row>
    <row r="13" spans="1:6" x14ac:dyDescent="0.2">
      <c r="A13" s="3" t="s">
        <v>271</v>
      </c>
      <c r="B13" s="3" t="s">
        <v>270</v>
      </c>
      <c r="C13" s="4">
        <v>728991.54</v>
      </c>
      <c r="D13" s="6">
        <v>9859999.9100000001</v>
      </c>
      <c r="E13" s="7">
        <f>TuitionRates[[#This Row],[2022-23
Cyber Charter School Expenditures]]/D13</f>
        <v>7.3934233940576174E-2</v>
      </c>
      <c r="F13"/>
    </row>
    <row r="14" spans="1:6" x14ac:dyDescent="0.2">
      <c r="A14" s="3" t="s">
        <v>543</v>
      </c>
      <c r="B14" s="3" t="s">
        <v>533</v>
      </c>
      <c r="C14" s="4">
        <v>1272442.6200000001</v>
      </c>
      <c r="D14" s="6">
        <v>17476820.289999999</v>
      </c>
      <c r="E14" s="7">
        <f>TuitionRates[[#This Row],[2022-23
Cyber Charter School Expenditures]]/D14</f>
        <v>7.2807444311141348E-2</v>
      </c>
      <c r="F14"/>
    </row>
    <row r="15" spans="1:6" x14ac:dyDescent="0.2">
      <c r="A15" s="3" t="s">
        <v>449</v>
      </c>
      <c r="B15" s="3" t="s">
        <v>447</v>
      </c>
      <c r="C15" s="4">
        <v>2549337</v>
      </c>
      <c r="D15" s="6">
        <v>36258206.07</v>
      </c>
      <c r="E15" s="7">
        <f>TuitionRates[[#This Row],[2022-23
Cyber Charter School Expenditures]]/D15</f>
        <v>7.0310621410178339E-2</v>
      </c>
      <c r="F15"/>
    </row>
    <row r="16" spans="1:6" x14ac:dyDescent="0.2">
      <c r="A16" s="3" t="s">
        <v>68</v>
      </c>
      <c r="B16" s="3" t="s">
        <v>60</v>
      </c>
      <c r="C16" s="4">
        <v>507661.75</v>
      </c>
      <c r="D16" s="6">
        <v>7296848.3799999999</v>
      </c>
      <c r="E16" s="7">
        <f>TuitionRates[[#This Row],[2022-23
Cyber Charter School Expenditures]]/D16</f>
        <v>6.9572742033595605E-2</v>
      </c>
      <c r="F16"/>
    </row>
    <row r="17" spans="1:6" x14ac:dyDescent="0.2">
      <c r="A17" s="3" t="s">
        <v>443</v>
      </c>
      <c r="B17" s="3" t="s">
        <v>440</v>
      </c>
      <c r="C17" s="4">
        <v>2777028.03</v>
      </c>
      <c r="D17" s="6">
        <v>40031538.880000003</v>
      </c>
      <c r="E17" s="7">
        <f>TuitionRates[[#This Row],[2022-23
Cyber Charter School Expenditures]]/D17</f>
        <v>6.9371003656005334E-2</v>
      </c>
      <c r="F17"/>
    </row>
    <row r="18" spans="1:6" x14ac:dyDescent="0.2">
      <c r="A18" s="3" t="s">
        <v>288</v>
      </c>
      <c r="B18" s="3" t="s">
        <v>286</v>
      </c>
      <c r="C18" s="4">
        <v>1649903.77</v>
      </c>
      <c r="D18" s="6">
        <v>24204461.739999998</v>
      </c>
      <c r="E18" s="7">
        <f>TuitionRates[[#This Row],[2022-23
Cyber Charter School Expenditures]]/D18</f>
        <v>6.8165274143377835E-2</v>
      </c>
      <c r="F18"/>
    </row>
    <row r="19" spans="1:6" x14ac:dyDescent="0.2">
      <c r="A19" s="3" t="s">
        <v>144</v>
      </c>
      <c r="B19" s="3" t="s">
        <v>138</v>
      </c>
      <c r="C19" s="4">
        <v>4840700.76</v>
      </c>
      <c r="D19" s="6">
        <v>72514359.780000001</v>
      </c>
      <c r="E19" s="7">
        <f>TuitionRates[[#This Row],[2022-23
Cyber Charter School Expenditures]]/D19</f>
        <v>6.6755064440837841E-2</v>
      </c>
      <c r="F19"/>
    </row>
    <row r="20" spans="1:6" x14ac:dyDescent="0.2">
      <c r="A20" s="3" t="s">
        <v>459</v>
      </c>
      <c r="B20" s="3" t="s">
        <v>457</v>
      </c>
      <c r="C20" s="4">
        <v>622492.25</v>
      </c>
      <c r="D20" s="6">
        <v>9509192.0999999996</v>
      </c>
      <c r="E20" s="7">
        <f>TuitionRates[[#This Row],[2022-23
Cyber Charter School Expenditures]]/D20</f>
        <v>6.5462159503539744E-2</v>
      </c>
      <c r="F20"/>
    </row>
    <row r="21" spans="1:6" x14ac:dyDescent="0.2">
      <c r="A21" s="3" t="s">
        <v>211</v>
      </c>
      <c r="B21" s="3" t="s">
        <v>207</v>
      </c>
      <c r="C21" s="4">
        <v>3172009.61</v>
      </c>
      <c r="D21" s="6">
        <v>48935096.840000004</v>
      </c>
      <c r="E21" s="7">
        <f>TuitionRates[[#This Row],[2022-23
Cyber Charter School Expenditures]]/D21</f>
        <v>6.4820748600361813E-2</v>
      </c>
      <c r="F21"/>
    </row>
    <row r="22" spans="1:6" x14ac:dyDescent="0.2">
      <c r="A22" s="3" t="s">
        <v>490</v>
      </c>
      <c r="B22" s="3" t="s">
        <v>491</v>
      </c>
      <c r="C22" s="4">
        <v>1132150.8600000001</v>
      </c>
      <c r="D22" s="6">
        <v>17544559.75</v>
      </c>
      <c r="E22" s="7">
        <f>TuitionRates[[#This Row],[2022-23
Cyber Charter School Expenditures]]/D22</f>
        <v>6.4530023900998712E-2</v>
      </c>
      <c r="F22"/>
    </row>
    <row r="23" spans="1:6" x14ac:dyDescent="0.2">
      <c r="A23" s="3" t="s">
        <v>266</v>
      </c>
      <c r="B23" s="3" t="s">
        <v>261</v>
      </c>
      <c r="C23" s="4">
        <v>3745189.55</v>
      </c>
      <c r="D23" s="6">
        <v>58826827.880000003</v>
      </c>
      <c r="E23" s="7">
        <f>TuitionRates[[#This Row],[2022-23
Cyber Charter School Expenditures]]/D23</f>
        <v>6.3664652420826737E-2</v>
      </c>
      <c r="F23"/>
    </row>
    <row r="24" spans="1:6" x14ac:dyDescent="0.2">
      <c r="A24" s="3" t="s">
        <v>540</v>
      </c>
      <c r="B24" s="3" t="s">
        <v>533</v>
      </c>
      <c r="C24" s="4">
        <v>1417411.07</v>
      </c>
      <c r="D24" s="6">
        <v>22712200.739999998</v>
      </c>
      <c r="E24" s="7">
        <f>TuitionRates[[#This Row],[2022-23
Cyber Charter School Expenditures]]/D24</f>
        <v>6.2407473684560268E-2</v>
      </c>
      <c r="F24"/>
    </row>
    <row r="25" spans="1:6" x14ac:dyDescent="0.2">
      <c r="A25" s="3" t="s">
        <v>206</v>
      </c>
      <c r="B25" s="3" t="s">
        <v>207</v>
      </c>
      <c r="C25" s="4">
        <v>3896795.07</v>
      </c>
      <c r="D25" s="6">
        <v>62461533.789999999</v>
      </c>
      <c r="E25" s="7">
        <f>TuitionRates[[#This Row],[2022-23
Cyber Charter School Expenditures]]/D25</f>
        <v>6.2387117855627665E-2</v>
      </c>
      <c r="F25"/>
    </row>
    <row r="26" spans="1:6" x14ac:dyDescent="0.2">
      <c r="A26" s="3" t="s">
        <v>225</v>
      </c>
      <c r="B26" s="3" t="s">
        <v>216</v>
      </c>
      <c r="C26" s="4">
        <v>1483177.29</v>
      </c>
      <c r="D26" s="6">
        <v>24766614.210000001</v>
      </c>
      <c r="E26" s="7">
        <f>TuitionRates[[#This Row],[2022-23
Cyber Charter School Expenditures]]/D26</f>
        <v>5.9886154700998187E-2</v>
      </c>
      <c r="F26"/>
    </row>
    <row r="27" spans="1:6" x14ac:dyDescent="0.2">
      <c r="A27" s="3" t="s">
        <v>308</v>
      </c>
      <c r="B27" s="3" t="s">
        <v>305</v>
      </c>
      <c r="C27" s="4">
        <v>1638603.13</v>
      </c>
      <c r="D27" s="6">
        <v>27390973.309999999</v>
      </c>
      <c r="E27" s="7">
        <f>TuitionRates[[#This Row],[2022-23
Cyber Charter School Expenditures]]/D27</f>
        <v>5.9822742019969496E-2</v>
      </c>
      <c r="F27"/>
    </row>
    <row r="28" spans="1:6" x14ac:dyDescent="0.2">
      <c r="A28" s="3" t="s">
        <v>566</v>
      </c>
      <c r="B28" s="3" t="s">
        <v>554</v>
      </c>
      <c r="C28" s="4">
        <v>8409746.3000000007</v>
      </c>
      <c r="D28" s="6">
        <v>141132890.34</v>
      </c>
      <c r="E28" s="7">
        <f>TuitionRates[[#This Row],[2022-23
Cyber Charter School Expenditures]]/D28</f>
        <v>5.9587430539686917E-2</v>
      </c>
      <c r="F28"/>
    </row>
    <row r="29" spans="1:6" x14ac:dyDescent="0.2">
      <c r="A29" s="3" t="s">
        <v>448</v>
      </c>
      <c r="B29" s="3" t="s">
        <v>447</v>
      </c>
      <c r="C29" s="4">
        <v>1427579.63</v>
      </c>
      <c r="D29" s="6">
        <v>24059985.34</v>
      </c>
      <c r="E29" s="7">
        <f>TuitionRates[[#This Row],[2022-23
Cyber Charter School Expenditures]]/D29</f>
        <v>5.9334185363223498E-2</v>
      </c>
      <c r="F29"/>
    </row>
    <row r="30" spans="1:6" x14ac:dyDescent="0.2">
      <c r="A30" s="3" t="s">
        <v>275</v>
      </c>
      <c r="B30" s="3" t="s">
        <v>276</v>
      </c>
      <c r="C30" s="4">
        <v>1057581.31</v>
      </c>
      <c r="D30" s="6">
        <v>18173640.93</v>
      </c>
      <c r="E30" s="7">
        <f>TuitionRates[[#This Row],[2022-23
Cyber Charter School Expenditures]]/D30</f>
        <v>5.819314434974919E-2</v>
      </c>
      <c r="F30"/>
    </row>
    <row r="31" spans="1:6" x14ac:dyDescent="0.2">
      <c r="A31" s="3" t="s">
        <v>362</v>
      </c>
      <c r="B31" s="3" t="s">
        <v>359</v>
      </c>
      <c r="C31" s="4">
        <v>2217452.92</v>
      </c>
      <c r="D31" s="6">
        <v>38154621.32</v>
      </c>
      <c r="E31" s="7">
        <f>TuitionRates[[#This Row],[2022-23
Cyber Charter School Expenditures]]/D31</f>
        <v>5.811754496008191E-2</v>
      </c>
      <c r="F31"/>
    </row>
    <row r="32" spans="1:6" x14ac:dyDescent="0.2">
      <c r="A32" s="3" t="s">
        <v>301</v>
      </c>
      <c r="B32" s="3" t="s">
        <v>299</v>
      </c>
      <c r="C32" s="4">
        <v>2557663.9500000002</v>
      </c>
      <c r="D32" s="6">
        <v>44236822.109999999</v>
      </c>
      <c r="E32" s="7">
        <f>TuitionRates[[#This Row],[2022-23
Cyber Charter School Expenditures]]/D32</f>
        <v>5.7817533629338731E-2</v>
      </c>
      <c r="F32"/>
    </row>
    <row r="33" spans="1:6" x14ac:dyDescent="0.2">
      <c r="A33" s="3" t="s">
        <v>71</v>
      </c>
      <c r="B33" s="3" t="s">
        <v>60</v>
      </c>
      <c r="C33" s="4">
        <v>1196098.6499999999</v>
      </c>
      <c r="D33" s="6">
        <v>20770956</v>
      </c>
      <c r="E33" s="7">
        <f>TuitionRates[[#This Row],[2022-23
Cyber Charter School Expenditures]]/D33</f>
        <v>5.7585151593407637E-2</v>
      </c>
      <c r="F33"/>
    </row>
    <row r="34" spans="1:6" x14ac:dyDescent="0.2">
      <c r="A34" s="3" t="s">
        <v>154</v>
      </c>
      <c r="B34" s="3" t="s">
        <v>153</v>
      </c>
      <c r="C34" s="4">
        <v>2525626.0499999998</v>
      </c>
      <c r="D34" s="6">
        <v>43862476.909999996</v>
      </c>
      <c r="E34" s="7">
        <f>TuitionRates[[#This Row],[2022-23
Cyber Charter School Expenditures]]/D34</f>
        <v>5.7580561516903175E-2</v>
      </c>
      <c r="F34"/>
    </row>
    <row r="35" spans="1:6" x14ac:dyDescent="0.2">
      <c r="A35" s="3" t="s">
        <v>464</v>
      </c>
      <c r="B35" s="3" t="s">
        <v>463</v>
      </c>
      <c r="C35" s="4">
        <v>1454394.36</v>
      </c>
      <c r="D35" s="6">
        <v>25340867.84</v>
      </c>
      <c r="E35" s="7">
        <f>TuitionRates[[#This Row],[2022-23
Cyber Charter School Expenditures]]/D35</f>
        <v>5.7393234090596962E-2</v>
      </c>
      <c r="F35"/>
    </row>
    <row r="36" spans="1:6" x14ac:dyDescent="0.2">
      <c r="A36" s="3" t="s">
        <v>517</v>
      </c>
      <c r="B36" s="3" t="s">
        <v>515</v>
      </c>
      <c r="C36" s="4">
        <v>1202284.19</v>
      </c>
      <c r="D36" s="6">
        <v>21113701.010000002</v>
      </c>
      <c r="E36" s="7">
        <f>TuitionRates[[#This Row],[2022-23
Cyber Charter School Expenditures]]/D36</f>
        <v>5.6943317963561516E-2</v>
      </c>
      <c r="F36"/>
    </row>
    <row r="37" spans="1:6" x14ac:dyDescent="0.2">
      <c r="A37" s="3" t="s">
        <v>219</v>
      </c>
      <c r="B37" s="3" t="s">
        <v>216</v>
      </c>
      <c r="C37" s="4">
        <v>11561973.949999999</v>
      </c>
      <c r="D37" s="6">
        <v>203999880.27000001</v>
      </c>
      <c r="E37" s="7">
        <f>TuitionRates[[#This Row],[2022-23
Cyber Charter School Expenditures]]/D37</f>
        <v>5.6676376156188805E-2</v>
      </c>
      <c r="F37"/>
    </row>
    <row r="38" spans="1:6" x14ac:dyDescent="0.2">
      <c r="A38" s="3" t="s">
        <v>182</v>
      </c>
      <c r="B38" s="3" t="s">
        <v>177</v>
      </c>
      <c r="C38" s="4">
        <v>1168826.8899999999</v>
      </c>
      <c r="D38" s="6">
        <v>20754861.800000001</v>
      </c>
      <c r="E38" s="7">
        <f>TuitionRates[[#This Row],[2022-23
Cyber Charter School Expenditures]]/D38</f>
        <v>5.6315811748744088E-2</v>
      </c>
      <c r="F38"/>
    </row>
    <row r="39" spans="1:6" x14ac:dyDescent="0.2">
      <c r="A39" s="3" t="s">
        <v>496</v>
      </c>
      <c r="B39" s="3" t="s">
        <v>493</v>
      </c>
      <c r="C39" s="4">
        <v>1730991.01</v>
      </c>
      <c r="D39" s="6">
        <v>30761595.640000001</v>
      </c>
      <c r="E39" s="7">
        <f>TuitionRates[[#This Row],[2022-23
Cyber Charter School Expenditures]]/D39</f>
        <v>5.6271171049045103E-2</v>
      </c>
      <c r="F39"/>
    </row>
    <row r="40" spans="1:6" x14ac:dyDescent="0.2">
      <c r="A40" s="3" t="s">
        <v>262</v>
      </c>
      <c r="B40" s="3" t="s">
        <v>261</v>
      </c>
      <c r="C40" s="4">
        <v>1876145.87</v>
      </c>
      <c r="D40" s="6">
        <v>33617505.189999998</v>
      </c>
      <c r="E40" s="7">
        <f>TuitionRates[[#This Row],[2022-23
Cyber Charter School Expenditures]]/D40</f>
        <v>5.5808599103245954E-2</v>
      </c>
      <c r="F40"/>
    </row>
    <row r="41" spans="1:6" x14ac:dyDescent="0.2">
      <c r="A41" s="3" t="s">
        <v>237</v>
      </c>
      <c r="B41" s="3" t="s">
        <v>227</v>
      </c>
      <c r="C41" s="4">
        <v>5967378.6100000003</v>
      </c>
      <c r="D41" s="6">
        <v>107083429</v>
      </c>
      <c r="E41" s="7">
        <f>TuitionRates[[#This Row],[2022-23
Cyber Charter School Expenditures]]/D41</f>
        <v>5.572644307085086E-2</v>
      </c>
      <c r="F41"/>
    </row>
    <row r="42" spans="1:6" x14ac:dyDescent="0.2">
      <c r="A42" s="3" t="s">
        <v>482</v>
      </c>
      <c r="B42" s="3" t="s">
        <v>479</v>
      </c>
      <c r="C42" s="4">
        <v>1114386.72</v>
      </c>
      <c r="D42" s="6">
        <v>20124370.77</v>
      </c>
      <c r="E42" s="7">
        <f>TuitionRates[[#This Row],[2022-23
Cyber Charter School Expenditures]]/D42</f>
        <v>5.5374984526783293E-2</v>
      </c>
      <c r="F42"/>
    </row>
    <row r="43" spans="1:6" x14ac:dyDescent="0.2">
      <c r="A43" s="3" t="s">
        <v>204</v>
      </c>
      <c r="B43" s="3" t="s">
        <v>203</v>
      </c>
      <c r="C43" s="4">
        <v>3739915.35</v>
      </c>
      <c r="D43" s="6">
        <v>67798510.799999997</v>
      </c>
      <c r="E43" s="7">
        <f>TuitionRates[[#This Row],[2022-23
Cyber Charter School Expenditures]]/D43</f>
        <v>5.516220497869697E-2</v>
      </c>
      <c r="F43"/>
    </row>
    <row r="44" spans="1:6" x14ac:dyDescent="0.2">
      <c r="A44" s="3" t="s">
        <v>155</v>
      </c>
      <c r="B44" s="3" t="s">
        <v>153</v>
      </c>
      <c r="C44" s="4">
        <v>2115584.91</v>
      </c>
      <c r="D44" s="6">
        <v>38354519.369999997</v>
      </c>
      <c r="E44" s="7">
        <f>TuitionRates[[#This Row],[2022-23
Cyber Charter School Expenditures]]/D44</f>
        <v>5.5158686505527195E-2</v>
      </c>
      <c r="F44"/>
    </row>
    <row r="45" spans="1:6" x14ac:dyDescent="0.2">
      <c r="A45" s="3" t="s">
        <v>495</v>
      </c>
      <c r="B45" s="3" t="s">
        <v>493</v>
      </c>
      <c r="C45" s="4">
        <v>1033448.15</v>
      </c>
      <c r="D45" s="6">
        <v>18804407.449999999</v>
      </c>
      <c r="E45" s="7">
        <f>TuitionRates[[#This Row],[2022-23
Cyber Charter School Expenditures]]/D45</f>
        <v>5.4957762043174624E-2</v>
      </c>
      <c r="F45"/>
    </row>
    <row r="46" spans="1:6" x14ac:dyDescent="0.2">
      <c r="A46" s="3" t="s">
        <v>528</v>
      </c>
      <c r="B46" s="3" t="s">
        <v>515</v>
      </c>
      <c r="C46" s="4">
        <v>1832165.86</v>
      </c>
      <c r="D46" s="6">
        <v>33892915.299999997</v>
      </c>
      <c r="E46" s="7">
        <f>TuitionRates[[#This Row],[2022-23
Cyber Charter School Expenditures]]/D46</f>
        <v>5.4057487937604481E-2</v>
      </c>
      <c r="F46"/>
    </row>
    <row r="47" spans="1:6" x14ac:dyDescent="0.2">
      <c r="A47" s="3" t="s">
        <v>38</v>
      </c>
      <c r="B47" s="3" t="s">
        <v>11</v>
      </c>
      <c r="C47" s="4">
        <v>40354759.979999997</v>
      </c>
      <c r="D47" s="6">
        <v>746818491.24000001</v>
      </c>
      <c r="E47" s="7">
        <f>TuitionRates[[#This Row],[2022-23
Cyber Charter School Expenditures]]/D47</f>
        <v>5.4035566142712793E-2</v>
      </c>
      <c r="F47"/>
    </row>
    <row r="48" spans="1:6" x14ac:dyDescent="0.2">
      <c r="A48" s="3" t="s">
        <v>47</v>
      </c>
      <c r="B48" s="3" t="s">
        <v>11</v>
      </c>
      <c r="C48" s="4">
        <v>1797840.77</v>
      </c>
      <c r="D48" s="6">
        <v>33297135.34</v>
      </c>
      <c r="E48" s="7">
        <f>TuitionRates[[#This Row],[2022-23
Cyber Charter School Expenditures]]/D48</f>
        <v>5.399385717846561E-2</v>
      </c>
      <c r="F48"/>
    </row>
    <row r="49" spans="1:6" x14ac:dyDescent="0.2">
      <c r="A49" s="3" t="s">
        <v>176</v>
      </c>
      <c r="B49" s="3" t="s">
        <v>177</v>
      </c>
      <c r="C49" s="4">
        <v>879319.44</v>
      </c>
      <c r="D49" s="6">
        <v>16335237.42</v>
      </c>
      <c r="E49" s="7">
        <f>TuitionRates[[#This Row],[2022-23
Cyber Charter School Expenditures]]/D49</f>
        <v>5.3829608801608711E-2</v>
      </c>
      <c r="F49"/>
    </row>
    <row r="50" spans="1:6" x14ac:dyDescent="0.2">
      <c r="A50" s="3" t="s">
        <v>224</v>
      </c>
      <c r="B50" s="3" t="s">
        <v>216</v>
      </c>
      <c r="C50" s="4">
        <v>3245876.17</v>
      </c>
      <c r="D50" s="6">
        <v>60696254.359999999</v>
      </c>
      <c r="E50" s="7">
        <f>TuitionRates[[#This Row],[2022-23
Cyber Charter School Expenditures]]/D50</f>
        <v>5.3477371943714123E-2</v>
      </c>
      <c r="F50"/>
    </row>
    <row r="51" spans="1:6" x14ac:dyDescent="0.2">
      <c r="A51" s="3" t="s">
        <v>378</v>
      </c>
      <c r="B51" s="3" t="s">
        <v>371</v>
      </c>
      <c r="C51" s="4">
        <v>5956720.0199999996</v>
      </c>
      <c r="D51" s="6">
        <v>111725472.09</v>
      </c>
      <c r="E51" s="7">
        <f>TuitionRates[[#This Row],[2022-23
Cyber Charter School Expenditures]]/D51</f>
        <v>5.3315684494951943E-2</v>
      </c>
      <c r="F51"/>
    </row>
    <row r="52" spans="1:6" x14ac:dyDescent="0.2">
      <c r="A52" s="3" t="s">
        <v>122</v>
      </c>
      <c r="B52" s="3" t="s">
        <v>116</v>
      </c>
      <c r="C52" s="4">
        <v>1280940</v>
      </c>
      <c r="D52" s="6">
        <v>24220653</v>
      </c>
      <c r="E52" s="7">
        <f>TuitionRates[[#This Row],[2022-23
Cyber Charter School Expenditures]]/D52</f>
        <v>5.2886270242177201E-2</v>
      </c>
      <c r="F52"/>
    </row>
    <row r="53" spans="1:6" x14ac:dyDescent="0.2">
      <c r="A53" s="3" t="s">
        <v>550</v>
      </c>
      <c r="B53" s="3" t="s">
        <v>551</v>
      </c>
      <c r="C53" s="4">
        <v>1193024</v>
      </c>
      <c r="D53" s="6">
        <v>22673059</v>
      </c>
      <c r="E53" s="7">
        <f>TuitionRates[[#This Row],[2022-23
Cyber Charter School Expenditures]]/D53</f>
        <v>5.2618572553443273E-2</v>
      </c>
      <c r="F53"/>
    </row>
    <row r="54" spans="1:6" x14ac:dyDescent="0.2">
      <c r="A54" s="3" t="s">
        <v>483</v>
      </c>
      <c r="B54" s="3" t="s">
        <v>479</v>
      </c>
      <c r="C54" s="4">
        <v>696071.26</v>
      </c>
      <c r="D54" s="6">
        <v>13311167.75</v>
      </c>
      <c r="E54" s="7">
        <f>TuitionRates[[#This Row],[2022-23
Cyber Charter School Expenditures]]/D54</f>
        <v>5.2292276160369175E-2</v>
      </c>
      <c r="F54"/>
    </row>
    <row r="55" spans="1:6" x14ac:dyDescent="0.2">
      <c r="A55" s="3" t="s">
        <v>58</v>
      </c>
      <c r="B55" s="3" t="s">
        <v>55</v>
      </c>
      <c r="C55" s="4">
        <v>902708.75</v>
      </c>
      <c r="D55" s="6">
        <v>17331066.809999999</v>
      </c>
      <c r="E55" s="7">
        <f>TuitionRates[[#This Row],[2022-23
Cyber Charter School Expenditures]]/D55</f>
        <v>5.2086161798138041E-2</v>
      </c>
      <c r="F55"/>
    </row>
    <row r="56" spans="1:6" x14ac:dyDescent="0.2">
      <c r="A56" s="3" t="s">
        <v>63</v>
      </c>
      <c r="B56" s="3" t="s">
        <v>60</v>
      </c>
      <c r="C56" s="4">
        <v>1790155.23</v>
      </c>
      <c r="D56" s="6">
        <v>34577025.729999997</v>
      </c>
      <c r="E56" s="7">
        <f>TuitionRates[[#This Row],[2022-23
Cyber Charter School Expenditures]]/D56</f>
        <v>5.1772967518337216E-2</v>
      </c>
      <c r="F56"/>
    </row>
    <row r="57" spans="1:6" x14ac:dyDescent="0.2">
      <c r="A57" s="3" t="s">
        <v>542</v>
      </c>
      <c r="B57" s="3" t="s">
        <v>533</v>
      </c>
      <c r="C57" s="4">
        <v>1740857.35</v>
      </c>
      <c r="D57" s="6">
        <v>33659625.399999999</v>
      </c>
      <c r="E57" s="7">
        <f>TuitionRates[[#This Row],[2022-23
Cyber Charter School Expenditures]]/D57</f>
        <v>5.1719451102388091E-2</v>
      </c>
      <c r="F57"/>
    </row>
    <row r="58" spans="1:6" x14ac:dyDescent="0.2">
      <c r="A58" s="3" t="s">
        <v>183</v>
      </c>
      <c r="B58" s="3" t="s">
        <v>177</v>
      </c>
      <c r="C58" s="4">
        <v>728403.86</v>
      </c>
      <c r="D58" s="6">
        <v>14145841.300000001</v>
      </c>
      <c r="E58" s="7">
        <f>TuitionRates[[#This Row],[2022-23
Cyber Charter School Expenditures]]/D58</f>
        <v>5.1492438275834461E-2</v>
      </c>
      <c r="F58"/>
    </row>
    <row r="59" spans="1:6" x14ac:dyDescent="0.2">
      <c r="A59" s="3" t="s">
        <v>497</v>
      </c>
      <c r="B59" s="3" t="s">
        <v>493</v>
      </c>
      <c r="C59" s="4">
        <v>1184482.32</v>
      </c>
      <c r="D59" s="6">
        <v>23009581.16</v>
      </c>
      <c r="E59" s="7">
        <f>TuitionRates[[#This Row],[2022-23
Cyber Charter School Expenditures]]/D59</f>
        <v>5.1477787090671231E-2</v>
      </c>
      <c r="F59"/>
    </row>
    <row r="60" spans="1:6" x14ac:dyDescent="0.2">
      <c r="A60" s="3" t="s">
        <v>568</v>
      </c>
      <c r="B60" s="3" t="s">
        <v>554</v>
      </c>
      <c r="C60" s="4">
        <v>9365542.6600000001</v>
      </c>
      <c r="D60" s="6">
        <v>182236908.03999999</v>
      </c>
      <c r="E60" s="7">
        <f>TuitionRates[[#This Row],[2022-23
Cyber Charter School Expenditures]]/D60</f>
        <v>5.1392128854295067E-2</v>
      </c>
      <c r="F60"/>
    </row>
    <row r="61" spans="1:6" x14ac:dyDescent="0.2">
      <c r="A61" s="3" t="s">
        <v>465</v>
      </c>
      <c r="B61" s="3" t="s">
        <v>463</v>
      </c>
      <c r="C61" s="4">
        <v>1146448.6499999999</v>
      </c>
      <c r="D61" s="6">
        <v>22374647.859999999</v>
      </c>
      <c r="E61" s="7">
        <f>TuitionRates[[#This Row],[2022-23
Cyber Charter School Expenditures]]/D61</f>
        <v>5.1238734891982336E-2</v>
      </c>
      <c r="F61"/>
    </row>
    <row r="62" spans="1:6" x14ac:dyDescent="0.2">
      <c r="A62" s="3" t="s">
        <v>311</v>
      </c>
      <c r="B62" s="3" t="s">
        <v>305</v>
      </c>
      <c r="C62" s="4">
        <v>966666.22</v>
      </c>
      <c r="D62" s="6">
        <v>19174574.050000001</v>
      </c>
      <c r="E62" s="7">
        <f>TuitionRates[[#This Row],[2022-23
Cyber Charter School Expenditures]]/D62</f>
        <v>5.0413960564615515E-2</v>
      </c>
      <c r="F62"/>
    </row>
    <row r="63" spans="1:6" x14ac:dyDescent="0.2">
      <c r="A63" s="3" t="s">
        <v>451</v>
      </c>
      <c r="B63" s="3" t="s">
        <v>452</v>
      </c>
      <c r="C63" s="4">
        <v>213690169.38999999</v>
      </c>
      <c r="D63" s="6">
        <v>4239795495.5599999</v>
      </c>
      <c r="E63" s="7">
        <f>TuitionRates[[#This Row],[2022-23
Cyber Charter School Expenditures]]/D63</f>
        <v>5.0401055808889997E-2</v>
      </c>
      <c r="F63"/>
    </row>
    <row r="64" spans="1:6" x14ac:dyDescent="0.2">
      <c r="A64" s="3" t="s">
        <v>552</v>
      </c>
      <c r="B64" s="3" t="s">
        <v>551</v>
      </c>
      <c r="C64" s="4">
        <v>2474000.9300000002</v>
      </c>
      <c r="D64" s="6">
        <v>49382911.780000001</v>
      </c>
      <c r="E64" s="7">
        <f>TuitionRates[[#This Row],[2022-23
Cyber Charter School Expenditures]]/D64</f>
        <v>5.0098320265553206E-2</v>
      </c>
      <c r="F64"/>
    </row>
    <row r="65" spans="1:6" x14ac:dyDescent="0.2">
      <c r="A65" s="3" t="s">
        <v>395</v>
      </c>
      <c r="B65" s="3" t="s">
        <v>386</v>
      </c>
      <c r="C65" s="4">
        <v>2129555.67</v>
      </c>
      <c r="D65" s="6">
        <v>43106625.359999999</v>
      </c>
      <c r="E65" s="7">
        <f>TuitionRates[[#This Row],[2022-23
Cyber Charter School Expenditures]]/D65</f>
        <v>4.9402050200294312E-2</v>
      </c>
      <c r="F65"/>
    </row>
    <row r="66" spans="1:6" x14ac:dyDescent="0.2">
      <c r="A66" s="3" t="s">
        <v>294</v>
      </c>
      <c r="B66" s="3" t="s">
        <v>291</v>
      </c>
      <c r="C66" s="4">
        <v>965185.52</v>
      </c>
      <c r="D66" s="6">
        <v>19614916.27</v>
      </c>
      <c r="E66" s="7">
        <f>TuitionRates[[#This Row],[2022-23
Cyber Charter School Expenditures]]/D66</f>
        <v>4.9206711194388394E-2</v>
      </c>
      <c r="F66"/>
    </row>
    <row r="67" spans="1:6" x14ac:dyDescent="0.2">
      <c r="A67" s="3" t="s">
        <v>404</v>
      </c>
      <c r="B67" s="3" t="s">
        <v>401</v>
      </c>
      <c r="C67" s="4">
        <v>6694888.0300000003</v>
      </c>
      <c r="D67" s="6">
        <v>136454893.99000001</v>
      </c>
      <c r="E67" s="7">
        <f>TuitionRates[[#This Row],[2022-23
Cyber Charter School Expenditures]]/D67</f>
        <v>4.9063011477555582E-2</v>
      </c>
      <c r="F67"/>
    </row>
    <row r="68" spans="1:6" x14ac:dyDescent="0.2">
      <c r="A68" s="3" t="s">
        <v>403</v>
      </c>
      <c r="B68" s="3" t="s">
        <v>401</v>
      </c>
      <c r="C68" s="4">
        <v>11693513.119999999</v>
      </c>
      <c r="D68" s="6">
        <v>239055379.97999999</v>
      </c>
      <c r="E68" s="7">
        <f>TuitionRates[[#This Row],[2022-23
Cyber Charter School Expenditures]]/D68</f>
        <v>4.8915498663859018E-2</v>
      </c>
      <c r="F68"/>
    </row>
    <row r="69" spans="1:6" x14ac:dyDescent="0.2">
      <c r="A69" s="3" t="s">
        <v>52</v>
      </c>
      <c r="B69" s="3" t="s">
        <v>11</v>
      </c>
      <c r="C69" s="4">
        <v>1905170</v>
      </c>
      <c r="D69" s="6">
        <v>39173806.530000001</v>
      </c>
      <c r="E69" s="7">
        <f>TuitionRates[[#This Row],[2022-23
Cyber Charter School Expenditures]]/D69</f>
        <v>4.8633772634298043E-2</v>
      </c>
      <c r="F69"/>
    </row>
    <row r="70" spans="1:6" x14ac:dyDescent="0.2">
      <c r="A70" s="3" t="s">
        <v>157</v>
      </c>
      <c r="B70" s="3" t="s">
        <v>153</v>
      </c>
      <c r="C70" s="4">
        <v>762738.22</v>
      </c>
      <c r="D70" s="6">
        <v>15690479.609999999</v>
      </c>
      <c r="E70" s="7">
        <f>TuitionRates[[#This Row],[2022-23
Cyber Charter School Expenditures]]/D70</f>
        <v>4.8611529982415878E-2</v>
      </c>
      <c r="F70"/>
    </row>
    <row r="71" spans="1:6" x14ac:dyDescent="0.2">
      <c r="A71" s="3" t="s">
        <v>518</v>
      </c>
      <c r="B71" s="3" t="s">
        <v>515</v>
      </c>
      <c r="C71" s="4">
        <v>1189152.6100000001</v>
      </c>
      <c r="D71" s="6">
        <v>24521430.550000001</v>
      </c>
      <c r="E71" s="7">
        <f>TuitionRates[[#This Row],[2022-23
Cyber Charter School Expenditures]]/D71</f>
        <v>4.8494422361504516E-2</v>
      </c>
      <c r="F71"/>
    </row>
    <row r="72" spans="1:6" x14ac:dyDescent="0.2">
      <c r="A72" s="3" t="s">
        <v>529</v>
      </c>
      <c r="B72" s="3" t="s">
        <v>530</v>
      </c>
      <c r="C72" s="4">
        <v>3260946.72</v>
      </c>
      <c r="D72" s="6">
        <v>67389113.849999994</v>
      </c>
      <c r="E72" s="7">
        <f>TuitionRates[[#This Row],[2022-23
Cyber Charter School Expenditures]]/D72</f>
        <v>4.8389814521948939E-2</v>
      </c>
      <c r="F72"/>
    </row>
    <row r="73" spans="1:6" x14ac:dyDescent="0.2">
      <c r="A73" s="3" t="s">
        <v>365</v>
      </c>
      <c r="B73" s="3" t="s">
        <v>359</v>
      </c>
      <c r="C73" s="4">
        <v>1050290.54</v>
      </c>
      <c r="D73" s="6">
        <v>21740017.399999999</v>
      </c>
      <c r="E73" s="7">
        <f>TuitionRates[[#This Row],[2022-23
Cyber Charter School Expenditures]]/D73</f>
        <v>4.8311393715811841E-2</v>
      </c>
      <c r="F73"/>
    </row>
    <row r="74" spans="1:6" x14ac:dyDescent="0.2">
      <c r="A74" s="3" t="s">
        <v>277</v>
      </c>
      <c r="B74" s="3" t="s">
        <v>276</v>
      </c>
      <c r="C74" s="4">
        <v>445843.13</v>
      </c>
      <c r="D74" s="6">
        <v>9233429.3499999996</v>
      </c>
      <c r="E74" s="7">
        <f>TuitionRates[[#This Row],[2022-23
Cyber Charter School Expenditures]]/D74</f>
        <v>4.8285757447204598E-2</v>
      </c>
      <c r="F74"/>
    </row>
    <row r="75" spans="1:6" x14ac:dyDescent="0.2">
      <c r="A75" s="3" t="s">
        <v>145</v>
      </c>
      <c r="B75" s="3" t="s">
        <v>138</v>
      </c>
      <c r="C75" s="4">
        <v>1096166.5</v>
      </c>
      <c r="D75" s="6">
        <v>22794211.27</v>
      </c>
      <c r="E75" s="7">
        <f>TuitionRates[[#This Row],[2022-23
Cyber Charter School Expenditures]]/D75</f>
        <v>4.8089687641120121E-2</v>
      </c>
      <c r="F75"/>
    </row>
    <row r="76" spans="1:6" x14ac:dyDescent="0.2">
      <c r="A76" s="3" t="s">
        <v>313</v>
      </c>
      <c r="B76" s="3" t="s">
        <v>305</v>
      </c>
      <c r="C76" s="4">
        <v>9627246.0899999999</v>
      </c>
      <c r="D76" s="6">
        <v>200218133.43000001</v>
      </c>
      <c r="E76" s="7">
        <f>TuitionRates[[#This Row],[2022-23
Cyber Charter School Expenditures]]/D76</f>
        <v>4.8083787043024573E-2</v>
      </c>
      <c r="F76"/>
    </row>
    <row r="77" spans="1:6" x14ac:dyDescent="0.2">
      <c r="A77" s="3" t="s">
        <v>317</v>
      </c>
      <c r="B77" s="3" t="s">
        <v>316</v>
      </c>
      <c r="C77" s="4">
        <v>1529212.24</v>
      </c>
      <c r="D77" s="6">
        <v>32101021.98</v>
      </c>
      <c r="E77" s="7">
        <f>TuitionRates[[#This Row],[2022-23
Cyber Charter School Expenditures]]/D77</f>
        <v>4.7637493938752162E-2</v>
      </c>
      <c r="F77"/>
    </row>
    <row r="78" spans="1:6" x14ac:dyDescent="0.2">
      <c r="A78" s="3" t="s">
        <v>461</v>
      </c>
      <c r="B78" s="3" t="s">
        <v>457</v>
      </c>
      <c r="C78" s="4">
        <v>457889.05</v>
      </c>
      <c r="D78" s="6">
        <v>9681651.9299999997</v>
      </c>
      <c r="E78" s="7">
        <f>TuitionRates[[#This Row],[2022-23
Cyber Charter School Expenditures]]/D78</f>
        <v>4.7294516814962592E-2</v>
      </c>
      <c r="F78"/>
    </row>
    <row r="79" spans="1:6" x14ac:dyDescent="0.2">
      <c r="A79" s="3" t="s">
        <v>557</v>
      </c>
      <c r="B79" s="3" t="s">
        <v>554</v>
      </c>
      <c r="C79" s="4">
        <v>2528401.79</v>
      </c>
      <c r="D79" s="6">
        <v>54243516.770000003</v>
      </c>
      <c r="E79" s="7">
        <f>TuitionRates[[#This Row],[2022-23
Cyber Charter School Expenditures]]/D79</f>
        <v>4.6612055053892848E-2</v>
      </c>
      <c r="F79"/>
    </row>
    <row r="80" spans="1:6" x14ac:dyDescent="0.2">
      <c r="A80" s="3" t="s">
        <v>346</v>
      </c>
      <c r="B80" s="3" t="s">
        <v>342</v>
      </c>
      <c r="C80" s="4">
        <v>2126816.12</v>
      </c>
      <c r="D80" s="6">
        <v>45744416.609999999</v>
      </c>
      <c r="E80" s="7">
        <f>TuitionRates[[#This Row],[2022-23
Cyber Charter School Expenditures]]/D80</f>
        <v>4.6493458166325496E-2</v>
      </c>
      <c r="F80"/>
    </row>
    <row r="81" spans="1:6" x14ac:dyDescent="0.2">
      <c r="A81" s="3" t="s">
        <v>475</v>
      </c>
      <c r="B81" s="3" t="s">
        <v>476</v>
      </c>
      <c r="C81" s="4">
        <v>1972382.29</v>
      </c>
      <c r="D81" s="6">
        <v>42434821.289999999</v>
      </c>
      <c r="E81" s="7">
        <f>TuitionRates[[#This Row],[2022-23
Cyber Charter School Expenditures]]/D81</f>
        <v>4.64802779896425E-2</v>
      </c>
      <c r="F81"/>
    </row>
    <row r="82" spans="1:6" x14ac:dyDescent="0.2">
      <c r="A82" s="3" t="s">
        <v>264</v>
      </c>
      <c r="B82" s="3" t="s">
        <v>261</v>
      </c>
      <c r="C82" s="4">
        <v>980638.08</v>
      </c>
      <c r="D82" s="6">
        <v>21259489.289999999</v>
      </c>
      <c r="E82" s="7">
        <f>TuitionRates[[#This Row],[2022-23
Cyber Charter School Expenditures]]/D82</f>
        <v>4.6127076084620279E-2</v>
      </c>
      <c r="F82"/>
    </row>
    <row r="83" spans="1:6" x14ac:dyDescent="0.2">
      <c r="A83" s="3" t="s">
        <v>150</v>
      </c>
      <c r="B83" s="3" t="s">
        <v>151</v>
      </c>
      <c r="C83" s="4">
        <v>649200</v>
      </c>
      <c r="D83" s="6">
        <v>14089716</v>
      </c>
      <c r="E83" s="7">
        <f>TuitionRates[[#This Row],[2022-23
Cyber Charter School Expenditures]]/D83</f>
        <v>4.6076159377520458E-2</v>
      </c>
      <c r="F83"/>
    </row>
    <row r="84" spans="1:6" x14ac:dyDescent="0.2">
      <c r="A84" s="3" t="s">
        <v>430</v>
      </c>
      <c r="B84" s="3" t="s">
        <v>431</v>
      </c>
      <c r="C84" s="4">
        <v>2726149.24</v>
      </c>
      <c r="D84" s="6">
        <v>59456079.75</v>
      </c>
      <c r="E84" s="7">
        <f>TuitionRates[[#This Row],[2022-23
Cyber Charter School Expenditures]]/D84</f>
        <v>4.5851479805982337E-2</v>
      </c>
      <c r="F84"/>
    </row>
    <row r="85" spans="1:6" x14ac:dyDescent="0.2">
      <c r="A85" s="3" t="s">
        <v>369</v>
      </c>
      <c r="B85" s="3" t="s">
        <v>359</v>
      </c>
      <c r="C85" s="4">
        <v>3821134.06</v>
      </c>
      <c r="D85" s="6">
        <v>84520354.129999995</v>
      </c>
      <c r="E85" s="7">
        <f>TuitionRates[[#This Row],[2022-23
Cyber Charter School Expenditures]]/D85</f>
        <v>4.5209631447151157E-2</v>
      </c>
      <c r="F85"/>
    </row>
    <row r="86" spans="1:6" x14ac:dyDescent="0.2">
      <c r="A86" s="3" t="s">
        <v>309</v>
      </c>
      <c r="B86" s="3" t="s">
        <v>305</v>
      </c>
      <c r="C86" s="4">
        <v>1579343.45</v>
      </c>
      <c r="D86" s="6">
        <v>35051555</v>
      </c>
      <c r="E86" s="7">
        <f>TuitionRates[[#This Row],[2022-23
Cyber Charter School Expenditures]]/D86</f>
        <v>4.5057728537293139E-2</v>
      </c>
      <c r="F86"/>
    </row>
    <row r="87" spans="1:6" x14ac:dyDescent="0.2">
      <c r="A87" s="3" t="s">
        <v>419</v>
      </c>
      <c r="B87" s="3" t="s">
        <v>406</v>
      </c>
      <c r="C87" s="4">
        <v>3603292.04</v>
      </c>
      <c r="D87" s="6">
        <v>80010368.719999999</v>
      </c>
      <c r="E87" s="7">
        <f>TuitionRates[[#This Row],[2022-23
Cyber Charter School Expenditures]]/D87</f>
        <v>4.5035313518050242E-2</v>
      </c>
      <c r="F87"/>
    </row>
    <row r="88" spans="1:6" x14ac:dyDescent="0.2">
      <c r="A88" s="3" t="s">
        <v>221</v>
      </c>
      <c r="B88" s="3" t="s">
        <v>216</v>
      </c>
      <c r="C88" s="4">
        <v>2587060.59</v>
      </c>
      <c r="D88" s="6">
        <v>57459532.299999997</v>
      </c>
      <c r="E88" s="7">
        <f>TuitionRates[[#This Row],[2022-23
Cyber Charter School Expenditures]]/D88</f>
        <v>4.5024045383676055E-2</v>
      </c>
      <c r="F88"/>
    </row>
    <row r="89" spans="1:6" x14ac:dyDescent="0.2">
      <c r="A89" s="3" t="s">
        <v>274</v>
      </c>
      <c r="B89" s="3" t="s">
        <v>270</v>
      </c>
      <c r="C89" s="4">
        <v>3376634.09</v>
      </c>
      <c r="D89" s="6">
        <v>75694294.849999994</v>
      </c>
      <c r="E89" s="7">
        <f>TuitionRates[[#This Row],[2022-23
Cyber Charter School Expenditures]]/D89</f>
        <v>4.4608832101432808E-2</v>
      </c>
      <c r="F89"/>
    </row>
    <row r="90" spans="1:6" x14ac:dyDescent="0.2">
      <c r="A90" s="3" t="s">
        <v>560</v>
      </c>
      <c r="B90" s="3" t="s">
        <v>554</v>
      </c>
      <c r="C90" s="4">
        <v>2710704.66</v>
      </c>
      <c r="D90" s="6">
        <v>60858689.909999996</v>
      </c>
      <c r="E90" s="7">
        <f>TuitionRates[[#This Row],[2022-23
Cyber Charter School Expenditures]]/D90</f>
        <v>4.4540963073781033E-2</v>
      </c>
      <c r="F90"/>
    </row>
    <row r="91" spans="1:6" x14ac:dyDescent="0.2">
      <c r="A91" s="3" t="s">
        <v>559</v>
      </c>
      <c r="B91" s="3" t="s">
        <v>554</v>
      </c>
      <c r="C91" s="4">
        <v>3708530.91</v>
      </c>
      <c r="D91" s="6">
        <v>83395915.980000004</v>
      </c>
      <c r="E91" s="7">
        <f>TuitionRates[[#This Row],[2022-23
Cyber Charter School Expenditures]]/D91</f>
        <v>4.446897508613467E-2</v>
      </c>
      <c r="F91"/>
    </row>
    <row r="92" spans="1:6" x14ac:dyDescent="0.2">
      <c r="A92" s="3" t="s">
        <v>46</v>
      </c>
      <c r="B92" s="3" t="s">
        <v>11</v>
      </c>
      <c r="C92" s="4">
        <v>1968281.03</v>
      </c>
      <c r="D92" s="6">
        <v>44620900.979999997</v>
      </c>
      <c r="E92" s="7">
        <f>TuitionRates[[#This Row],[2022-23
Cyber Charter School Expenditures]]/D92</f>
        <v>4.4111189751238414E-2</v>
      </c>
      <c r="F92"/>
    </row>
    <row r="93" spans="1:6" x14ac:dyDescent="0.2">
      <c r="A93" s="3" t="s">
        <v>53</v>
      </c>
      <c r="B93" s="3" t="s">
        <v>11</v>
      </c>
      <c r="C93" s="4">
        <v>4916201.6500000004</v>
      </c>
      <c r="D93" s="6">
        <v>111719789.66</v>
      </c>
      <c r="E93" s="7">
        <f>TuitionRates[[#This Row],[2022-23
Cyber Charter School Expenditures]]/D93</f>
        <v>4.4004752112061937E-2</v>
      </c>
      <c r="F93"/>
    </row>
    <row r="94" spans="1:6" x14ac:dyDescent="0.2">
      <c r="A94" s="3" t="s">
        <v>218</v>
      </c>
      <c r="B94" s="3" t="s">
        <v>216</v>
      </c>
      <c r="C94" s="4">
        <v>984563.29</v>
      </c>
      <c r="D94" s="6">
        <v>22408291.34</v>
      </c>
      <c r="E94" s="7">
        <f>TuitionRates[[#This Row],[2022-23
Cyber Charter School Expenditures]]/D94</f>
        <v>4.3937454893872331E-2</v>
      </c>
      <c r="F94"/>
    </row>
    <row r="95" spans="1:6" x14ac:dyDescent="0.2">
      <c r="A95" s="3" t="s">
        <v>179</v>
      </c>
      <c r="B95" s="3" t="s">
        <v>177</v>
      </c>
      <c r="C95" s="4">
        <v>715170.43</v>
      </c>
      <c r="D95" s="6">
        <v>16391840.35</v>
      </c>
      <c r="E95" s="7">
        <f>TuitionRates[[#This Row],[2022-23
Cyber Charter School Expenditures]]/D95</f>
        <v>4.3629660534120568E-2</v>
      </c>
      <c r="F95"/>
    </row>
    <row r="96" spans="1:6" x14ac:dyDescent="0.2">
      <c r="A96" s="3" t="s">
        <v>302</v>
      </c>
      <c r="B96" s="3" t="s">
        <v>303</v>
      </c>
      <c r="C96" s="4">
        <v>2214591.4700000002</v>
      </c>
      <c r="D96" s="6">
        <v>50976626.539999999</v>
      </c>
      <c r="E96" s="7">
        <f>TuitionRates[[#This Row],[2022-23
Cyber Charter School Expenditures]]/D96</f>
        <v>4.3443272344871026E-2</v>
      </c>
      <c r="F96"/>
    </row>
    <row r="97" spans="1:6" x14ac:dyDescent="0.2">
      <c r="A97" s="3" t="s">
        <v>531</v>
      </c>
      <c r="B97" s="3" t="s">
        <v>530</v>
      </c>
      <c r="C97" s="4">
        <v>2274515.73</v>
      </c>
      <c r="D97" s="6">
        <v>52450106.649999999</v>
      </c>
      <c r="E97" s="7">
        <f>TuitionRates[[#This Row],[2022-23
Cyber Charter School Expenditures]]/D97</f>
        <v>4.3365321355357055E-2</v>
      </c>
      <c r="F97"/>
    </row>
    <row r="98" spans="1:6" x14ac:dyDescent="0.2">
      <c r="A98" s="3" t="s">
        <v>190</v>
      </c>
      <c r="B98" s="3" t="s">
        <v>185</v>
      </c>
      <c r="C98" s="4">
        <v>769332.73</v>
      </c>
      <c r="D98" s="6">
        <v>17770468.190000001</v>
      </c>
      <c r="E98" s="7">
        <f>TuitionRates[[#This Row],[2022-23
Cyber Charter School Expenditures]]/D98</f>
        <v>4.3292766503075453E-2</v>
      </c>
      <c r="F98"/>
    </row>
    <row r="99" spans="1:6" x14ac:dyDescent="0.2">
      <c r="A99" s="3" t="s">
        <v>93</v>
      </c>
      <c r="B99" s="3" t="s">
        <v>81</v>
      </c>
      <c r="C99" s="4">
        <v>15092204</v>
      </c>
      <c r="D99" s="6">
        <v>353056600.10000002</v>
      </c>
      <c r="E99" s="7">
        <f>TuitionRates[[#This Row],[2022-23
Cyber Charter School Expenditures]]/D99</f>
        <v>4.2747264874032298E-2</v>
      </c>
      <c r="F99"/>
    </row>
    <row r="100" spans="1:6" x14ac:dyDescent="0.2">
      <c r="A100" s="3" t="s">
        <v>544</v>
      </c>
      <c r="B100" s="3" t="s">
        <v>533</v>
      </c>
      <c r="C100" s="4">
        <v>1636833.13</v>
      </c>
      <c r="D100" s="6">
        <v>38546293.43</v>
      </c>
      <c r="E100" s="7">
        <f>TuitionRates[[#This Row],[2022-23
Cyber Charter School Expenditures]]/D100</f>
        <v>4.2464086280370537E-2</v>
      </c>
      <c r="F100"/>
    </row>
    <row r="101" spans="1:6" x14ac:dyDescent="0.2">
      <c r="A101" s="3" t="s">
        <v>538</v>
      </c>
      <c r="B101" s="3" t="s">
        <v>533</v>
      </c>
      <c r="C101" s="4">
        <v>2184578.16</v>
      </c>
      <c r="D101" s="6">
        <v>51725131.659999996</v>
      </c>
      <c r="E101" s="7">
        <f>TuitionRates[[#This Row],[2022-23
Cyber Charter School Expenditures]]/D101</f>
        <v>4.2234366349411828E-2</v>
      </c>
      <c r="F101"/>
    </row>
    <row r="102" spans="1:6" x14ac:dyDescent="0.2">
      <c r="A102" s="3" t="s">
        <v>481</v>
      </c>
      <c r="B102" s="3" t="s">
        <v>479</v>
      </c>
      <c r="C102" s="4">
        <v>736525.11</v>
      </c>
      <c r="D102" s="6">
        <v>17500070.809999999</v>
      </c>
      <c r="E102" s="7">
        <f>TuitionRates[[#This Row],[2022-23
Cyber Charter School Expenditures]]/D102</f>
        <v>4.2086978846915882E-2</v>
      </c>
      <c r="F102"/>
    </row>
    <row r="103" spans="1:6" x14ac:dyDescent="0.2">
      <c r="A103" s="3" t="s">
        <v>471</v>
      </c>
      <c r="B103" s="3" t="s">
        <v>463</v>
      </c>
      <c r="C103" s="4">
        <v>1004441.48</v>
      </c>
      <c r="D103" s="6">
        <v>24018025.59</v>
      </c>
      <c r="E103" s="7">
        <f>TuitionRates[[#This Row],[2022-23
Cyber Charter School Expenditures]]/D103</f>
        <v>4.1820318503541072E-2</v>
      </c>
      <c r="F103"/>
    </row>
    <row r="104" spans="1:6" x14ac:dyDescent="0.2">
      <c r="A104" s="3" t="s">
        <v>545</v>
      </c>
      <c r="B104" s="3" t="s">
        <v>533</v>
      </c>
      <c r="C104" s="4">
        <v>1969655.91</v>
      </c>
      <c r="D104" s="6">
        <v>47114452.75</v>
      </c>
      <c r="E104" s="7">
        <f>TuitionRates[[#This Row],[2022-23
Cyber Charter School Expenditures]]/D104</f>
        <v>4.1805768613114157E-2</v>
      </c>
      <c r="F104"/>
    </row>
    <row r="105" spans="1:6" x14ac:dyDescent="0.2">
      <c r="A105" s="3" t="s">
        <v>439</v>
      </c>
      <c r="B105" s="3" t="s">
        <v>440</v>
      </c>
      <c r="C105" s="4">
        <v>939572.86</v>
      </c>
      <c r="D105" s="6">
        <v>22492709.059999999</v>
      </c>
      <c r="E105" s="7">
        <f>TuitionRates[[#This Row],[2022-23
Cyber Charter School Expenditures]]/D105</f>
        <v>4.177232975777441E-2</v>
      </c>
      <c r="F105"/>
    </row>
    <row r="106" spans="1:6" x14ac:dyDescent="0.2">
      <c r="A106" s="3" t="s">
        <v>535</v>
      </c>
      <c r="B106" s="3" t="s">
        <v>533</v>
      </c>
      <c r="C106" s="4">
        <v>1589202.25</v>
      </c>
      <c r="D106" s="6">
        <v>38061374.43</v>
      </c>
      <c r="E106" s="7">
        <f>TuitionRates[[#This Row],[2022-23
Cyber Charter School Expenditures]]/D106</f>
        <v>4.1753674789720412E-2</v>
      </c>
      <c r="F106"/>
    </row>
    <row r="107" spans="1:6" x14ac:dyDescent="0.2">
      <c r="A107" s="3" t="s">
        <v>376</v>
      </c>
      <c r="B107" s="3" t="s">
        <v>371</v>
      </c>
      <c r="C107" s="4">
        <v>839523</v>
      </c>
      <c r="D107" s="6">
        <v>20250898.23</v>
      </c>
      <c r="E107" s="7">
        <f>TuitionRates[[#This Row],[2022-23
Cyber Charter School Expenditures]]/D107</f>
        <v>4.1456087056736937E-2</v>
      </c>
      <c r="F107"/>
    </row>
    <row r="108" spans="1:6" x14ac:dyDescent="0.2">
      <c r="A108" s="3" t="s">
        <v>337</v>
      </c>
      <c r="B108" s="3" t="s">
        <v>333</v>
      </c>
      <c r="C108" s="4">
        <v>2720696.36</v>
      </c>
      <c r="D108" s="6">
        <v>65649028.770000003</v>
      </c>
      <c r="E108" s="7">
        <f>TuitionRates[[#This Row],[2022-23
Cyber Charter School Expenditures]]/D108</f>
        <v>4.1443055761447779E-2</v>
      </c>
      <c r="F108"/>
    </row>
    <row r="109" spans="1:6" x14ac:dyDescent="0.2">
      <c r="A109" s="3" t="s">
        <v>137</v>
      </c>
      <c r="B109" s="3" t="s">
        <v>138</v>
      </c>
      <c r="C109" s="4">
        <v>515739.67</v>
      </c>
      <c r="D109" s="6">
        <v>12485395.18</v>
      </c>
      <c r="E109" s="7">
        <f>TuitionRates[[#This Row],[2022-23
Cyber Charter School Expenditures]]/D109</f>
        <v>4.130743661411284E-2</v>
      </c>
      <c r="F109"/>
    </row>
    <row r="110" spans="1:6" x14ac:dyDescent="0.2">
      <c r="A110" s="3" t="s">
        <v>297</v>
      </c>
      <c r="B110" s="3" t="s">
        <v>291</v>
      </c>
      <c r="C110" s="4">
        <v>955023.86</v>
      </c>
      <c r="D110" s="6">
        <v>23226795.23</v>
      </c>
      <c r="E110" s="7">
        <f>TuitionRates[[#This Row],[2022-23
Cyber Charter School Expenditures]]/D110</f>
        <v>4.1117332397475136E-2</v>
      </c>
      <c r="F110"/>
    </row>
    <row r="111" spans="1:6" x14ac:dyDescent="0.2">
      <c r="A111" s="3" t="s">
        <v>458</v>
      </c>
      <c r="B111" s="3" t="s">
        <v>457</v>
      </c>
      <c r="C111" s="4">
        <v>660082.6</v>
      </c>
      <c r="D111" s="6">
        <v>16109745.470000001</v>
      </c>
      <c r="E111" s="7">
        <f>TuitionRates[[#This Row],[2022-23
Cyber Charter School Expenditures]]/D111</f>
        <v>4.0974117265181097E-2</v>
      </c>
      <c r="F111"/>
    </row>
    <row r="112" spans="1:6" x14ac:dyDescent="0.2">
      <c r="A112" s="3" t="s">
        <v>472</v>
      </c>
      <c r="B112" s="3" t="s">
        <v>463</v>
      </c>
      <c r="C112" s="4">
        <v>1610614.65</v>
      </c>
      <c r="D112" s="6">
        <v>39370511.68</v>
      </c>
      <c r="E112" s="7">
        <f>TuitionRates[[#This Row],[2022-23
Cyber Charter School Expenditures]]/D112</f>
        <v>4.0909162245360994E-2</v>
      </c>
      <c r="F112"/>
    </row>
    <row r="113" spans="1:6" x14ac:dyDescent="0.2">
      <c r="A113" s="3" t="s">
        <v>462</v>
      </c>
      <c r="B113" s="3" t="s">
        <v>463</v>
      </c>
      <c r="C113" s="4">
        <v>2068575.51</v>
      </c>
      <c r="D113" s="6">
        <v>51044331.07</v>
      </c>
      <c r="E113" s="7">
        <f>TuitionRates[[#This Row],[2022-23
Cyber Charter School Expenditures]]/D113</f>
        <v>4.0525078233726766E-2</v>
      </c>
      <c r="F113"/>
    </row>
    <row r="114" spans="1:6" x14ac:dyDescent="0.2">
      <c r="A114" s="3" t="s">
        <v>468</v>
      </c>
      <c r="B114" s="3" t="s">
        <v>463</v>
      </c>
      <c r="C114" s="4">
        <v>1784781.96</v>
      </c>
      <c r="D114" s="6">
        <v>44086858.310000002</v>
      </c>
      <c r="E114" s="7">
        <f>TuitionRates[[#This Row],[2022-23
Cyber Charter School Expenditures]]/D114</f>
        <v>4.0483310183959439E-2</v>
      </c>
      <c r="F114"/>
    </row>
    <row r="115" spans="1:6" x14ac:dyDescent="0.2">
      <c r="A115" s="3" t="s">
        <v>215</v>
      </c>
      <c r="B115" s="3" t="s">
        <v>216</v>
      </c>
      <c r="C115" s="4">
        <v>10034220.16</v>
      </c>
      <c r="D115" s="6">
        <v>248220115.5</v>
      </c>
      <c r="E115" s="7">
        <f>TuitionRates[[#This Row],[2022-23
Cyber Charter School Expenditures]]/D115</f>
        <v>4.0424685726165491E-2</v>
      </c>
      <c r="F115"/>
    </row>
    <row r="116" spans="1:6" x14ac:dyDescent="0.2">
      <c r="A116" s="3" t="s">
        <v>375</v>
      </c>
      <c r="B116" s="3" t="s">
        <v>371</v>
      </c>
      <c r="C116" s="4">
        <v>1485737.93</v>
      </c>
      <c r="D116" s="6">
        <v>36808687.990000002</v>
      </c>
      <c r="E116" s="7">
        <f>TuitionRates[[#This Row],[2022-23
Cyber Charter School Expenditures]]/D116</f>
        <v>4.0363783963276216E-2</v>
      </c>
      <c r="F116"/>
    </row>
    <row r="117" spans="1:6" x14ac:dyDescent="0.2">
      <c r="A117" s="3" t="s">
        <v>368</v>
      </c>
      <c r="B117" s="3" t="s">
        <v>359</v>
      </c>
      <c r="C117" s="4">
        <v>1788352.86</v>
      </c>
      <c r="D117" s="6">
        <v>44347073.270000003</v>
      </c>
      <c r="E117" s="7">
        <f>TuitionRates[[#This Row],[2022-23
Cyber Charter School Expenditures]]/D117</f>
        <v>4.0326288256090817E-2</v>
      </c>
      <c r="F117"/>
    </row>
    <row r="118" spans="1:6" x14ac:dyDescent="0.2">
      <c r="A118" s="3" t="s">
        <v>524</v>
      </c>
      <c r="B118" s="3" t="s">
        <v>515</v>
      </c>
      <c r="C118" s="4">
        <v>1369237.52</v>
      </c>
      <c r="D118" s="6">
        <v>34094573.399999999</v>
      </c>
      <c r="E118" s="7">
        <f>TuitionRates[[#This Row],[2022-23
Cyber Charter School Expenditures]]/D118</f>
        <v>4.0159983934569488E-2</v>
      </c>
      <c r="F118"/>
    </row>
    <row r="119" spans="1:6" x14ac:dyDescent="0.2">
      <c r="A119" s="3" t="s">
        <v>392</v>
      </c>
      <c r="B119" s="3" t="s">
        <v>386</v>
      </c>
      <c r="C119" s="4">
        <v>869268.78</v>
      </c>
      <c r="D119" s="6">
        <v>21739087.960000001</v>
      </c>
      <c r="E119" s="7">
        <f>TuitionRates[[#This Row],[2022-23
Cyber Charter School Expenditures]]/D119</f>
        <v>3.9986442007109851E-2</v>
      </c>
      <c r="F119"/>
    </row>
    <row r="120" spans="1:6" x14ac:dyDescent="0.2">
      <c r="A120" s="3" t="s">
        <v>436</v>
      </c>
      <c r="B120" s="3" t="s">
        <v>431</v>
      </c>
      <c r="C120" s="4">
        <v>1422822.56</v>
      </c>
      <c r="D120" s="6">
        <v>35669640.57</v>
      </c>
      <c r="E120" s="7">
        <f>TuitionRates[[#This Row],[2022-23
Cyber Charter School Expenditures]]/D120</f>
        <v>3.9888895353676956E-2</v>
      </c>
      <c r="F120"/>
    </row>
    <row r="121" spans="1:6" x14ac:dyDescent="0.2">
      <c r="A121" s="3" t="s">
        <v>400</v>
      </c>
      <c r="B121" s="3" t="s">
        <v>401</v>
      </c>
      <c r="C121" s="4">
        <v>7052511.9199999999</v>
      </c>
      <c r="D121" s="6">
        <v>177113658.56999999</v>
      </c>
      <c r="E121" s="7">
        <f>TuitionRates[[#This Row],[2022-23
Cyber Charter School Expenditures]]/D121</f>
        <v>3.981913070364735E-2</v>
      </c>
      <c r="F121"/>
    </row>
    <row r="122" spans="1:6" x14ac:dyDescent="0.2">
      <c r="A122" s="3" t="s">
        <v>212</v>
      </c>
      <c r="B122" s="3" t="s">
        <v>207</v>
      </c>
      <c r="C122" s="4">
        <v>3575386.71</v>
      </c>
      <c r="D122" s="6">
        <v>89975761.349999994</v>
      </c>
      <c r="E122" s="7">
        <f>TuitionRates[[#This Row],[2022-23
Cyber Charter School Expenditures]]/D122</f>
        <v>3.9737220962120817E-2</v>
      </c>
      <c r="F122"/>
    </row>
    <row r="123" spans="1:6" x14ac:dyDescent="0.2">
      <c r="A123" s="3" t="s">
        <v>446</v>
      </c>
      <c r="B123" s="3" t="s">
        <v>447</v>
      </c>
      <c r="C123" s="4">
        <v>660878.1</v>
      </c>
      <c r="D123" s="6">
        <v>16681836.949999999</v>
      </c>
      <c r="E123" s="7">
        <f>TuitionRates[[#This Row],[2022-23
Cyber Charter School Expenditures]]/D123</f>
        <v>3.9616626273283412E-2</v>
      </c>
      <c r="F123"/>
    </row>
    <row r="124" spans="1:6" x14ac:dyDescent="0.2">
      <c r="A124" s="3" t="s">
        <v>372</v>
      </c>
      <c r="B124" s="3" t="s">
        <v>371</v>
      </c>
      <c r="C124" s="4">
        <v>1890590.49</v>
      </c>
      <c r="D124" s="6">
        <v>47828657.350000001</v>
      </c>
      <c r="E124" s="7">
        <f>TuitionRates[[#This Row],[2022-23
Cyber Charter School Expenditures]]/D124</f>
        <v>3.9528403989371026E-2</v>
      </c>
      <c r="F124"/>
    </row>
    <row r="125" spans="1:6" x14ac:dyDescent="0.2">
      <c r="A125" s="3" t="s">
        <v>136</v>
      </c>
      <c r="B125" s="3" t="s">
        <v>130</v>
      </c>
      <c r="C125" s="4">
        <v>1390400</v>
      </c>
      <c r="D125" s="6">
        <v>35344225</v>
      </c>
      <c r="E125" s="7">
        <f>TuitionRates[[#This Row],[2022-23
Cyber Charter School Expenditures]]/D125</f>
        <v>3.9338817020319446E-2</v>
      </c>
      <c r="F125"/>
    </row>
    <row r="126" spans="1:6" x14ac:dyDescent="0.2">
      <c r="A126" s="3" t="s">
        <v>142</v>
      </c>
      <c r="B126" s="3" t="s">
        <v>138</v>
      </c>
      <c r="C126" s="4">
        <v>507823.91</v>
      </c>
      <c r="D126" s="6">
        <v>12953739.85</v>
      </c>
      <c r="E126" s="7">
        <f>TuitionRates[[#This Row],[2022-23
Cyber Charter School Expenditures]]/D126</f>
        <v>3.9202880085630248E-2</v>
      </c>
      <c r="F126"/>
    </row>
    <row r="127" spans="1:6" x14ac:dyDescent="0.2">
      <c r="A127" s="3" t="s">
        <v>367</v>
      </c>
      <c r="B127" s="3" t="s">
        <v>359</v>
      </c>
      <c r="C127" s="4">
        <v>6183859.4100000001</v>
      </c>
      <c r="D127" s="6">
        <v>158487666.18000001</v>
      </c>
      <c r="E127" s="7">
        <f>TuitionRates[[#This Row],[2022-23
Cyber Charter School Expenditures]]/D127</f>
        <v>3.9017922082193915E-2</v>
      </c>
      <c r="F127"/>
    </row>
    <row r="128" spans="1:6" x14ac:dyDescent="0.2">
      <c r="A128" s="3" t="s">
        <v>54</v>
      </c>
      <c r="B128" s="3" t="s">
        <v>55</v>
      </c>
      <c r="C128" s="4">
        <v>1050086.6599999999</v>
      </c>
      <c r="D128" s="6">
        <v>26921014.93</v>
      </c>
      <c r="E128" s="7">
        <f>TuitionRates[[#This Row],[2022-23
Cyber Charter School Expenditures]]/D128</f>
        <v>3.9006206219581036E-2</v>
      </c>
      <c r="F128"/>
    </row>
    <row r="129" spans="1:6" x14ac:dyDescent="0.2">
      <c r="A129" s="3" t="s">
        <v>494</v>
      </c>
      <c r="B129" s="3" t="s">
        <v>493</v>
      </c>
      <c r="C129" s="4">
        <v>936494.12</v>
      </c>
      <c r="D129" s="6">
        <v>24095232.899999999</v>
      </c>
      <c r="E129" s="7">
        <f>TuitionRates[[#This Row],[2022-23
Cyber Charter School Expenditures]]/D129</f>
        <v>3.8866365138973194E-2</v>
      </c>
      <c r="F129"/>
    </row>
    <row r="130" spans="1:6" x14ac:dyDescent="0.2">
      <c r="A130" s="3" t="s">
        <v>341</v>
      </c>
      <c r="B130" s="3" t="s">
        <v>342</v>
      </c>
      <c r="C130" s="4">
        <v>1185565.9099999999</v>
      </c>
      <c r="D130" s="6">
        <v>30506930.800000001</v>
      </c>
      <c r="E130" s="7">
        <f>TuitionRates[[#This Row],[2022-23
Cyber Charter School Expenditures]]/D130</f>
        <v>3.8862182425771913E-2</v>
      </c>
      <c r="F130"/>
    </row>
    <row r="131" spans="1:6" x14ac:dyDescent="0.2">
      <c r="A131" s="3" t="s">
        <v>213</v>
      </c>
      <c r="B131" s="3" t="s">
        <v>207</v>
      </c>
      <c r="C131" s="4">
        <v>2490087.29</v>
      </c>
      <c r="D131" s="6">
        <v>64380111.82</v>
      </c>
      <c r="E131" s="7">
        <f>TuitionRates[[#This Row],[2022-23
Cyber Charter School Expenditures]]/D131</f>
        <v>3.8677896319317083E-2</v>
      </c>
      <c r="F131"/>
    </row>
    <row r="132" spans="1:6" x14ac:dyDescent="0.2">
      <c r="A132" s="3" t="s">
        <v>516</v>
      </c>
      <c r="B132" s="3" t="s">
        <v>515</v>
      </c>
      <c r="C132" s="4">
        <v>829786.91</v>
      </c>
      <c r="D132" s="6">
        <v>21518918.920000002</v>
      </c>
      <c r="E132" s="7">
        <f>TuitionRates[[#This Row],[2022-23
Cyber Charter School Expenditures]]/D132</f>
        <v>3.8560808425593528E-2</v>
      </c>
      <c r="F132"/>
    </row>
    <row r="133" spans="1:6" x14ac:dyDescent="0.2">
      <c r="A133" s="3" t="s">
        <v>569</v>
      </c>
      <c r="B133" s="3" t="s">
        <v>554</v>
      </c>
      <c r="C133" s="4">
        <v>2584689.4900000002</v>
      </c>
      <c r="D133" s="6">
        <v>67118959.090000004</v>
      </c>
      <c r="E133" s="7">
        <f>TuitionRates[[#This Row],[2022-23
Cyber Charter School Expenditures]]/D133</f>
        <v>3.8509081860673415E-2</v>
      </c>
      <c r="F133"/>
    </row>
    <row r="134" spans="1:6" x14ac:dyDescent="0.2">
      <c r="A134" s="3" t="s">
        <v>241</v>
      </c>
      <c r="B134" s="3" t="s">
        <v>227</v>
      </c>
      <c r="C134" s="4">
        <v>4655278.68</v>
      </c>
      <c r="D134" s="6">
        <v>121100678.53</v>
      </c>
      <c r="E134" s="7">
        <f>TuitionRates[[#This Row],[2022-23
Cyber Charter School Expenditures]]/D134</f>
        <v>3.8441392207779895E-2</v>
      </c>
      <c r="F134"/>
    </row>
    <row r="135" spans="1:6" x14ac:dyDescent="0.2">
      <c r="A135" s="3" t="s">
        <v>377</v>
      </c>
      <c r="B135" s="3" t="s">
        <v>371</v>
      </c>
      <c r="C135" s="4">
        <v>791587.8</v>
      </c>
      <c r="D135" s="6">
        <v>20664351.25</v>
      </c>
      <c r="E135" s="7">
        <f>TuitionRates[[#This Row],[2022-23
Cyber Charter School Expenditures]]/D135</f>
        <v>3.8306927249893707E-2</v>
      </c>
      <c r="F135"/>
    </row>
    <row r="136" spans="1:6" x14ac:dyDescent="0.2">
      <c r="A136" s="3" t="s">
        <v>444</v>
      </c>
      <c r="B136" s="3" t="s">
        <v>440</v>
      </c>
      <c r="C136" s="4">
        <v>2163446.5</v>
      </c>
      <c r="D136" s="6">
        <v>56481896.289999999</v>
      </c>
      <c r="E136" s="7">
        <f>TuitionRates[[#This Row],[2022-23
Cyber Charter School Expenditures]]/D136</f>
        <v>3.8303361645154847E-2</v>
      </c>
      <c r="F136"/>
    </row>
    <row r="137" spans="1:6" x14ac:dyDescent="0.2">
      <c r="A137" s="3" t="s">
        <v>267</v>
      </c>
      <c r="B137" s="3" t="s">
        <v>268</v>
      </c>
      <c r="C137" s="4">
        <v>555328.85</v>
      </c>
      <c r="D137" s="6">
        <v>14518481.6</v>
      </c>
      <c r="E137" s="7">
        <f>TuitionRates[[#This Row],[2022-23
Cyber Charter School Expenditures]]/D137</f>
        <v>3.8249788462727398E-2</v>
      </c>
      <c r="F137"/>
    </row>
    <row r="138" spans="1:6" x14ac:dyDescent="0.2">
      <c r="A138" s="3" t="s">
        <v>426</v>
      </c>
      <c r="B138" s="3" t="s">
        <v>406</v>
      </c>
      <c r="C138" s="4">
        <v>2924503.13</v>
      </c>
      <c r="D138" s="6">
        <v>76529158.670000002</v>
      </c>
      <c r="E138" s="7">
        <f>TuitionRates[[#This Row],[2022-23
Cyber Charter School Expenditures]]/D138</f>
        <v>3.8214233382738425E-2</v>
      </c>
      <c r="F138"/>
    </row>
    <row r="139" spans="1:6" x14ac:dyDescent="0.2">
      <c r="A139" s="3" t="s">
        <v>82</v>
      </c>
      <c r="B139" s="3" t="s">
        <v>81</v>
      </c>
      <c r="C139" s="4">
        <v>5276758.8099999996</v>
      </c>
      <c r="D139" s="6">
        <v>138457358.16</v>
      </c>
      <c r="E139" s="7">
        <f>TuitionRates[[#This Row],[2022-23
Cyber Charter School Expenditures]]/D139</f>
        <v>3.8111075352905602E-2</v>
      </c>
      <c r="F139"/>
    </row>
    <row r="140" spans="1:6" x14ac:dyDescent="0.2">
      <c r="A140" s="3" t="s">
        <v>360</v>
      </c>
      <c r="B140" s="3" t="s">
        <v>359</v>
      </c>
      <c r="C140" s="4">
        <v>1838260.62</v>
      </c>
      <c r="D140" s="6">
        <v>48370545.439999998</v>
      </c>
      <c r="E140" s="7">
        <f>TuitionRates[[#This Row],[2022-23
Cyber Charter School Expenditures]]/D140</f>
        <v>3.8003719066600633E-2</v>
      </c>
      <c r="F140"/>
    </row>
    <row r="141" spans="1:6" x14ac:dyDescent="0.2">
      <c r="A141" s="3" t="s">
        <v>129</v>
      </c>
      <c r="B141" s="3" t="s">
        <v>130</v>
      </c>
      <c r="C141" s="4">
        <v>4148031.59</v>
      </c>
      <c r="D141" s="6">
        <v>109260558.19</v>
      </c>
      <c r="E141" s="7">
        <f>TuitionRates[[#This Row],[2022-23
Cyber Charter School Expenditures]]/D141</f>
        <v>3.7964583548866088E-2</v>
      </c>
      <c r="F141"/>
    </row>
    <row r="142" spans="1:6" x14ac:dyDescent="0.2">
      <c r="A142" s="3" t="s">
        <v>214</v>
      </c>
      <c r="B142" s="3" t="s">
        <v>207</v>
      </c>
      <c r="C142" s="4">
        <v>1599742.47</v>
      </c>
      <c r="D142" s="6">
        <v>42815054.630000003</v>
      </c>
      <c r="E142" s="7">
        <f>TuitionRates[[#This Row],[2022-23
Cyber Charter School Expenditures]]/D142</f>
        <v>3.736401795641011E-2</v>
      </c>
      <c r="F142"/>
    </row>
    <row r="143" spans="1:6" x14ac:dyDescent="0.2">
      <c r="A143" s="3" t="s">
        <v>209</v>
      </c>
      <c r="B143" s="3" t="s">
        <v>207</v>
      </c>
      <c r="C143" s="4">
        <v>3776510.28</v>
      </c>
      <c r="D143" s="6">
        <v>101206671.83</v>
      </c>
      <c r="E143" s="7">
        <f>TuitionRates[[#This Row],[2022-23
Cyber Charter School Expenditures]]/D143</f>
        <v>3.7314835195287541E-2</v>
      </c>
      <c r="F143"/>
    </row>
    <row r="144" spans="1:6" x14ac:dyDescent="0.2">
      <c r="A144" s="3" t="s">
        <v>36</v>
      </c>
      <c r="B144" s="3" t="s">
        <v>11</v>
      </c>
      <c r="C144" s="4">
        <v>3644106.37</v>
      </c>
      <c r="D144" s="6">
        <v>97685359.689999998</v>
      </c>
      <c r="E144" s="7">
        <f>TuitionRates[[#This Row],[2022-23
Cyber Charter School Expenditures]]/D144</f>
        <v>3.7304529374354606E-2</v>
      </c>
      <c r="F144"/>
    </row>
    <row r="145" spans="1:6" x14ac:dyDescent="0.2">
      <c r="A145" s="3" t="s">
        <v>314</v>
      </c>
      <c r="B145" s="3" t="s">
        <v>305</v>
      </c>
      <c r="C145" s="4">
        <v>1645311</v>
      </c>
      <c r="D145" s="6">
        <v>44122425</v>
      </c>
      <c r="E145" s="7">
        <f>TuitionRates[[#This Row],[2022-23
Cyber Charter School Expenditures]]/D145</f>
        <v>3.7289677527923726E-2</v>
      </c>
      <c r="F145"/>
    </row>
    <row r="146" spans="1:6" x14ac:dyDescent="0.2">
      <c r="A146" s="3" t="s">
        <v>197</v>
      </c>
      <c r="B146" s="3" t="s">
        <v>196</v>
      </c>
      <c r="C146" s="4">
        <v>1873060.8</v>
      </c>
      <c r="D146" s="6">
        <v>50330572.450000003</v>
      </c>
      <c r="E146" s="7">
        <f>TuitionRates[[#This Row],[2022-23
Cyber Charter School Expenditures]]/D146</f>
        <v>3.7215169802822301E-2</v>
      </c>
      <c r="F146"/>
    </row>
    <row r="147" spans="1:6" x14ac:dyDescent="0.2">
      <c r="A147" s="3" t="s">
        <v>273</v>
      </c>
      <c r="B147" s="3" t="s">
        <v>270</v>
      </c>
      <c r="C147" s="4">
        <v>1587692</v>
      </c>
      <c r="D147" s="6">
        <v>43248745</v>
      </c>
      <c r="E147" s="7">
        <f>TuitionRates[[#This Row],[2022-23
Cyber Charter School Expenditures]]/D147</f>
        <v>3.6710706865598068E-2</v>
      </c>
      <c r="F147"/>
    </row>
    <row r="148" spans="1:6" x14ac:dyDescent="0.2">
      <c r="A148" s="3" t="s">
        <v>352</v>
      </c>
      <c r="B148" s="3" t="s">
        <v>349</v>
      </c>
      <c r="C148" s="4">
        <v>1392788.28</v>
      </c>
      <c r="D148" s="6">
        <v>37975976.869999997</v>
      </c>
      <c r="E148" s="7">
        <f>TuitionRates[[#This Row],[2022-23
Cyber Charter School Expenditures]]/D148</f>
        <v>3.6675508961041776E-2</v>
      </c>
      <c r="F148"/>
    </row>
    <row r="149" spans="1:6" x14ac:dyDescent="0.2">
      <c r="A149" s="3" t="s">
        <v>488</v>
      </c>
      <c r="B149" s="3" t="s">
        <v>479</v>
      </c>
      <c r="C149" s="4">
        <v>236439.63</v>
      </c>
      <c r="D149" s="6">
        <v>6462593.3799999999</v>
      </c>
      <c r="E149" s="7">
        <f>TuitionRates[[#This Row],[2022-23
Cyber Charter School Expenditures]]/D149</f>
        <v>3.658587444658324E-2</v>
      </c>
      <c r="F149"/>
    </row>
    <row r="150" spans="1:6" x14ac:dyDescent="0.2">
      <c r="A150" s="3" t="s">
        <v>246</v>
      </c>
      <c r="B150" s="3" t="s">
        <v>247</v>
      </c>
      <c r="C150" s="4">
        <v>1468382.95</v>
      </c>
      <c r="D150" s="6">
        <v>40194632.240000002</v>
      </c>
      <c r="E150" s="7">
        <f>TuitionRates[[#This Row],[2022-23
Cyber Charter School Expenditures]]/D150</f>
        <v>3.6531817015574709E-2</v>
      </c>
      <c r="F150"/>
    </row>
    <row r="151" spans="1:6" x14ac:dyDescent="0.2">
      <c r="A151" s="3" t="s">
        <v>366</v>
      </c>
      <c r="B151" s="3" t="s">
        <v>359</v>
      </c>
      <c r="C151" s="4">
        <v>2408311.2799999998</v>
      </c>
      <c r="D151" s="6">
        <v>66056684.07</v>
      </c>
      <c r="E151" s="7">
        <f>TuitionRates[[#This Row],[2022-23
Cyber Charter School Expenditures]]/D151</f>
        <v>3.6458252694729909E-2</v>
      </c>
      <c r="F151"/>
    </row>
    <row r="152" spans="1:6" x14ac:dyDescent="0.2">
      <c r="A152" s="3" t="s">
        <v>484</v>
      </c>
      <c r="B152" s="3" t="s">
        <v>479</v>
      </c>
      <c r="C152" s="4">
        <v>252781.41</v>
      </c>
      <c r="D152" s="6">
        <v>6936299.25</v>
      </c>
      <c r="E152" s="7">
        <f>TuitionRates[[#This Row],[2022-23
Cyber Charter School Expenditures]]/D152</f>
        <v>3.6443267640161287E-2</v>
      </c>
      <c r="F152"/>
    </row>
    <row r="153" spans="1:6" x14ac:dyDescent="0.2">
      <c r="A153" s="3" t="s">
        <v>548</v>
      </c>
      <c r="B153" s="3" t="s">
        <v>533</v>
      </c>
      <c r="C153" s="4">
        <v>1258546.53</v>
      </c>
      <c r="D153" s="6">
        <v>34544873.020000003</v>
      </c>
      <c r="E153" s="7">
        <f>TuitionRates[[#This Row],[2022-23
Cyber Charter School Expenditures]]/D153</f>
        <v>3.6432223365573106E-2</v>
      </c>
      <c r="F153"/>
    </row>
    <row r="154" spans="1:6" x14ac:dyDescent="0.2">
      <c r="A154" s="3" t="s">
        <v>269</v>
      </c>
      <c r="B154" s="3" t="s">
        <v>270</v>
      </c>
      <c r="C154" s="4">
        <v>6356804</v>
      </c>
      <c r="D154" s="6">
        <v>174504700</v>
      </c>
      <c r="E154" s="7">
        <f>TuitionRates[[#This Row],[2022-23
Cyber Charter School Expenditures]]/D154</f>
        <v>3.6427695070677182E-2</v>
      </c>
      <c r="F154"/>
    </row>
    <row r="155" spans="1:6" x14ac:dyDescent="0.2">
      <c r="A155" s="3" t="s">
        <v>477</v>
      </c>
      <c r="B155" s="3" t="s">
        <v>476</v>
      </c>
      <c r="C155" s="4">
        <v>1815748.2</v>
      </c>
      <c r="D155" s="6">
        <v>50189561.590000004</v>
      </c>
      <c r="E155" s="7">
        <f>TuitionRates[[#This Row],[2022-23
Cyber Charter School Expenditures]]/D155</f>
        <v>3.6177805553132741E-2</v>
      </c>
      <c r="F155"/>
    </row>
    <row r="156" spans="1:6" x14ac:dyDescent="0.2">
      <c r="A156" s="3" t="s">
        <v>442</v>
      </c>
      <c r="B156" s="3" t="s">
        <v>440</v>
      </c>
      <c r="C156" s="4">
        <v>822103.3</v>
      </c>
      <c r="D156" s="6">
        <v>22832850.100000001</v>
      </c>
      <c r="E156" s="7">
        <f>TuitionRates[[#This Row],[2022-23
Cyber Charter School Expenditures]]/D156</f>
        <v>3.6005286085594716E-2</v>
      </c>
      <c r="F156"/>
    </row>
    <row r="157" spans="1:6" x14ac:dyDescent="0.2">
      <c r="A157" s="3" t="s">
        <v>469</v>
      </c>
      <c r="B157" s="3" t="s">
        <v>463</v>
      </c>
      <c r="C157" s="4">
        <v>517285.02</v>
      </c>
      <c r="D157" s="6">
        <v>14386825.439999999</v>
      </c>
      <c r="E157" s="7">
        <f>TuitionRates[[#This Row],[2022-23
Cyber Charter School Expenditures]]/D157</f>
        <v>3.5955466489624693E-2</v>
      </c>
      <c r="F157"/>
    </row>
    <row r="158" spans="1:6" x14ac:dyDescent="0.2">
      <c r="A158" s="3" t="s">
        <v>149</v>
      </c>
      <c r="B158" s="3" t="s">
        <v>138</v>
      </c>
      <c r="C158" s="4">
        <v>1039706.95</v>
      </c>
      <c r="D158" s="6">
        <v>28963163.699999999</v>
      </c>
      <c r="E158" s="7">
        <f>TuitionRates[[#This Row],[2022-23
Cyber Charter School Expenditures]]/D158</f>
        <v>3.5897561494637409E-2</v>
      </c>
      <c r="F158"/>
    </row>
    <row r="159" spans="1:6" x14ac:dyDescent="0.2">
      <c r="A159" s="3" t="s">
        <v>485</v>
      </c>
      <c r="B159" s="3" t="s">
        <v>479</v>
      </c>
      <c r="C159" s="4">
        <v>325413.21000000002</v>
      </c>
      <c r="D159" s="6">
        <v>9067019.3800000008</v>
      </c>
      <c r="E159" s="7">
        <f>TuitionRates[[#This Row],[2022-23
Cyber Charter School Expenditures]]/D159</f>
        <v>3.5889766676554739E-2</v>
      </c>
      <c r="F159"/>
    </row>
    <row r="160" spans="1:6" x14ac:dyDescent="0.2">
      <c r="A160" s="3" t="s">
        <v>265</v>
      </c>
      <c r="B160" s="3" t="s">
        <v>261</v>
      </c>
      <c r="C160" s="4">
        <v>2178541.54</v>
      </c>
      <c r="D160" s="6">
        <v>61057678.780000001</v>
      </c>
      <c r="E160" s="7">
        <f>TuitionRates[[#This Row],[2022-23
Cyber Charter School Expenditures]]/D160</f>
        <v>3.5680058324025266E-2</v>
      </c>
      <c r="F160"/>
    </row>
    <row r="161" spans="1:6" x14ac:dyDescent="0.2">
      <c r="A161" s="3" t="s">
        <v>505</v>
      </c>
      <c r="B161" s="3" t="s">
        <v>504</v>
      </c>
      <c r="C161" s="4">
        <v>1311571.31</v>
      </c>
      <c r="D161" s="6">
        <v>36867634.159999996</v>
      </c>
      <c r="E161" s="7">
        <f>TuitionRates[[#This Row],[2022-23
Cyber Charter School Expenditures]]/D161</f>
        <v>3.5575141716660673E-2</v>
      </c>
      <c r="F161"/>
    </row>
    <row r="162" spans="1:6" x14ac:dyDescent="0.2">
      <c r="A162" s="3" t="s">
        <v>27</v>
      </c>
      <c r="B162" s="3" t="s">
        <v>11</v>
      </c>
      <c r="C162" s="4">
        <v>1652682</v>
      </c>
      <c r="D162" s="6">
        <v>46573513</v>
      </c>
      <c r="E162" s="7">
        <f>TuitionRates[[#This Row],[2022-23
Cyber Charter School Expenditures]]/D162</f>
        <v>3.5485448563865048E-2</v>
      </c>
      <c r="F162"/>
    </row>
    <row r="163" spans="1:6" x14ac:dyDescent="0.2">
      <c r="A163" s="3" t="s">
        <v>180</v>
      </c>
      <c r="B163" s="3" t="s">
        <v>177</v>
      </c>
      <c r="C163" s="4">
        <v>635821.65</v>
      </c>
      <c r="D163" s="6">
        <v>18004892.18</v>
      </c>
      <c r="E163" s="7">
        <f>TuitionRates[[#This Row],[2022-23
Cyber Charter School Expenditures]]/D163</f>
        <v>3.531382713339859E-2</v>
      </c>
      <c r="F163"/>
    </row>
    <row r="164" spans="1:6" x14ac:dyDescent="0.2">
      <c r="A164" s="3" t="s">
        <v>260</v>
      </c>
      <c r="B164" s="3" t="s">
        <v>261</v>
      </c>
      <c r="C164" s="4">
        <v>2169314.33</v>
      </c>
      <c r="D164" s="6">
        <v>61450613.329999998</v>
      </c>
      <c r="E164" s="7">
        <f>TuitionRates[[#This Row],[2022-23
Cyber Charter School Expenditures]]/D164</f>
        <v>3.5301752292534849E-2</v>
      </c>
      <c r="F164"/>
    </row>
    <row r="165" spans="1:6" x14ac:dyDescent="0.2">
      <c r="A165" s="3" t="s">
        <v>498</v>
      </c>
      <c r="B165" s="3" t="s">
        <v>493</v>
      </c>
      <c r="C165" s="4">
        <v>620254</v>
      </c>
      <c r="D165" s="6">
        <v>17649513.449999999</v>
      </c>
      <c r="E165" s="7">
        <f>TuitionRates[[#This Row],[2022-23
Cyber Charter School Expenditures]]/D165</f>
        <v>3.5142838455980215E-2</v>
      </c>
      <c r="F165"/>
    </row>
    <row r="166" spans="1:6" x14ac:dyDescent="0.2">
      <c r="A166" s="3" t="s">
        <v>296</v>
      </c>
      <c r="B166" s="3" t="s">
        <v>291</v>
      </c>
      <c r="C166" s="4">
        <v>1228919.47</v>
      </c>
      <c r="D166" s="6">
        <v>35022544.689999998</v>
      </c>
      <c r="E166" s="7">
        <f>TuitionRates[[#This Row],[2022-23
Cyber Charter School Expenditures]]/D166</f>
        <v>3.5089382592775845E-2</v>
      </c>
      <c r="F166"/>
    </row>
    <row r="167" spans="1:6" x14ac:dyDescent="0.2">
      <c r="A167" s="3" t="s">
        <v>561</v>
      </c>
      <c r="B167" s="3" t="s">
        <v>554</v>
      </c>
      <c r="C167" s="4">
        <v>3465706</v>
      </c>
      <c r="D167" s="6">
        <v>98924656</v>
      </c>
      <c r="E167" s="7">
        <f>TuitionRates[[#This Row],[2022-23
Cyber Charter School Expenditures]]/D167</f>
        <v>3.5033793799596334E-2</v>
      </c>
      <c r="F167"/>
    </row>
    <row r="168" spans="1:6" x14ac:dyDescent="0.2">
      <c r="A168" s="3" t="s">
        <v>466</v>
      </c>
      <c r="B168" s="3" t="s">
        <v>463</v>
      </c>
      <c r="C168" s="4">
        <v>1297976.51</v>
      </c>
      <c r="D168" s="6">
        <v>37252254.960000001</v>
      </c>
      <c r="E168" s="7">
        <f>TuitionRates[[#This Row],[2022-23
Cyber Charter School Expenditures]]/D168</f>
        <v>3.4842897735820715E-2</v>
      </c>
      <c r="F168"/>
    </row>
    <row r="169" spans="1:6" x14ac:dyDescent="0.2">
      <c r="A169" s="3" t="s">
        <v>188</v>
      </c>
      <c r="B169" s="3" t="s">
        <v>185</v>
      </c>
      <c r="C169" s="4">
        <v>586317.26</v>
      </c>
      <c r="D169" s="6">
        <v>16878780.25</v>
      </c>
      <c r="E169" s="7">
        <f>TuitionRates[[#This Row],[2022-23
Cyber Charter School Expenditures]]/D169</f>
        <v>3.473694492823319E-2</v>
      </c>
      <c r="F169"/>
    </row>
    <row r="170" spans="1:6" x14ac:dyDescent="0.2">
      <c r="A170" s="3" t="s">
        <v>202</v>
      </c>
      <c r="B170" s="3" t="s">
        <v>203</v>
      </c>
      <c r="C170" s="4">
        <v>1455822</v>
      </c>
      <c r="D170" s="6">
        <v>41941532.509999998</v>
      </c>
      <c r="E170" s="7">
        <f>TuitionRates[[#This Row],[2022-23
Cyber Charter School Expenditures]]/D170</f>
        <v>3.4710748818081283E-2</v>
      </c>
      <c r="F170"/>
    </row>
    <row r="171" spans="1:6" x14ac:dyDescent="0.2">
      <c r="A171" s="3" t="s">
        <v>3</v>
      </c>
      <c r="B171" s="3" t="s">
        <v>4</v>
      </c>
      <c r="C171" s="4">
        <v>1208350.78</v>
      </c>
      <c r="D171" s="6">
        <v>35133686.850000001</v>
      </c>
      <c r="E171" s="7">
        <f>TuitionRates[[#This Row],[2022-23
Cyber Charter School Expenditures]]/D171</f>
        <v>3.4392939891533185E-2</v>
      </c>
      <c r="F171"/>
    </row>
    <row r="172" spans="1:6" x14ac:dyDescent="0.2">
      <c r="A172" s="3" t="s">
        <v>283</v>
      </c>
      <c r="B172" s="3" t="s">
        <v>280</v>
      </c>
      <c r="C172" s="4">
        <v>477718.41</v>
      </c>
      <c r="D172" s="6">
        <v>13890947.949999999</v>
      </c>
      <c r="E172" s="7">
        <f>TuitionRates[[#This Row],[2022-23
Cyber Charter School Expenditures]]/D172</f>
        <v>3.4390627027005745E-2</v>
      </c>
      <c r="F172"/>
    </row>
    <row r="173" spans="1:6" x14ac:dyDescent="0.2">
      <c r="A173" s="3" t="s">
        <v>281</v>
      </c>
      <c r="B173" s="3" t="s">
        <v>280</v>
      </c>
      <c r="C173" s="4">
        <v>1266509.69</v>
      </c>
      <c r="D173" s="6">
        <v>36872074.289999999</v>
      </c>
      <c r="E173" s="7">
        <f>TuitionRates[[#This Row],[2022-23
Cyber Charter School Expenditures]]/D173</f>
        <v>3.4348750765657021E-2</v>
      </c>
      <c r="F173"/>
    </row>
    <row r="174" spans="1:6" x14ac:dyDescent="0.2">
      <c r="A174" s="3" t="s">
        <v>193</v>
      </c>
      <c r="B174" s="3" t="s">
        <v>194</v>
      </c>
      <c r="C174" s="4">
        <v>2892492.11</v>
      </c>
      <c r="D174" s="6">
        <v>84250202.629999995</v>
      </c>
      <c r="E174" s="7">
        <f>TuitionRates[[#This Row],[2022-23
Cyber Charter School Expenditures]]/D174</f>
        <v>3.4332167991368547E-2</v>
      </c>
      <c r="F174"/>
    </row>
    <row r="175" spans="1:6" x14ac:dyDescent="0.2">
      <c r="A175" s="3" t="s">
        <v>8</v>
      </c>
      <c r="B175" s="3" t="s">
        <v>4</v>
      </c>
      <c r="C175" s="4">
        <v>1339277.1299999999</v>
      </c>
      <c r="D175" s="6">
        <v>39059777.030000001</v>
      </c>
      <c r="E175" s="7">
        <f>TuitionRates[[#This Row],[2022-23
Cyber Charter School Expenditures]]/D175</f>
        <v>3.428788466896171E-2</v>
      </c>
      <c r="F175"/>
    </row>
    <row r="176" spans="1:6" x14ac:dyDescent="0.2">
      <c r="A176" s="3" t="s">
        <v>402</v>
      </c>
      <c r="B176" s="3" t="s">
        <v>401</v>
      </c>
      <c r="C176" s="4">
        <v>3475481.73</v>
      </c>
      <c r="D176" s="6">
        <v>101649543.98999999</v>
      </c>
      <c r="E176" s="7">
        <f>TuitionRates[[#This Row],[2022-23
Cyber Charter School Expenditures]]/D176</f>
        <v>3.419082460755464E-2</v>
      </c>
      <c r="F176"/>
    </row>
    <row r="177" spans="1:6" x14ac:dyDescent="0.2">
      <c r="A177" s="3" t="s">
        <v>289</v>
      </c>
      <c r="B177" s="3" t="s">
        <v>286</v>
      </c>
      <c r="C177" s="4">
        <v>709701.2</v>
      </c>
      <c r="D177" s="6">
        <v>20780731.579999998</v>
      </c>
      <c r="E177" s="7">
        <f>TuitionRates[[#This Row],[2022-23
Cyber Charter School Expenditures]]/D177</f>
        <v>3.4151887158921666E-2</v>
      </c>
      <c r="F177"/>
    </row>
    <row r="178" spans="1:6" x14ac:dyDescent="0.2">
      <c r="A178" s="3" t="s">
        <v>509</v>
      </c>
      <c r="B178" s="3" t="s">
        <v>507</v>
      </c>
      <c r="C178" s="4">
        <v>1307389.32</v>
      </c>
      <c r="D178" s="6">
        <v>38318216.5</v>
      </c>
      <c r="E178" s="7">
        <f>TuitionRates[[#This Row],[2022-23
Cyber Charter School Expenditures]]/D178</f>
        <v>3.4119263353501857E-2</v>
      </c>
      <c r="F178"/>
    </row>
    <row r="179" spans="1:6" x14ac:dyDescent="0.2">
      <c r="A179" s="3" t="s">
        <v>310</v>
      </c>
      <c r="B179" s="3" t="s">
        <v>305</v>
      </c>
      <c r="C179" s="4">
        <v>2203594.0299999998</v>
      </c>
      <c r="D179" s="6">
        <v>64682993.939999998</v>
      </c>
      <c r="E179" s="7">
        <f>TuitionRates[[#This Row],[2022-23
Cyber Charter School Expenditures]]/D179</f>
        <v>3.4067594830938956E-2</v>
      </c>
      <c r="F179"/>
    </row>
    <row r="180" spans="1:6" x14ac:dyDescent="0.2">
      <c r="A180" s="3" t="s">
        <v>257</v>
      </c>
      <c r="B180" s="3" t="s">
        <v>247</v>
      </c>
      <c r="C180" s="4">
        <v>915723.84</v>
      </c>
      <c r="D180" s="6">
        <v>26906925.629999999</v>
      </c>
      <c r="E180" s="7">
        <f>TuitionRates[[#This Row],[2022-23
Cyber Charter School Expenditures]]/D180</f>
        <v>3.4033016353938614E-2</v>
      </c>
      <c r="F180"/>
    </row>
    <row r="181" spans="1:6" x14ac:dyDescent="0.2">
      <c r="A181" s="3" t="s">
        <v>184</v>
      </c>
      <c r="B181" s="3" t="s">
        <v>185</v>
      </c>
      <c r="C181" s="4">
        <v>1510871.62</v>
      </c>
      <c r="D181" s="6">
        <v>44676573.340000004</v>
      </c>
      <c r="E181" s="7">
        <f>TuitionRates[[#This Row],[2022-23
Cyber Charter School Expenditures]]/D181</f>
        <v>3.3817983498910839E-2</v>
      </c>
      <c r="F181"/>
    </row>
    <row r="182" spans="1:6" x14ac:dyDescent="0.2">
      <c r="A182" s="3" t="s">
        <v>117</v>
      </c>
      <c r="B182" s="3" t="s">
        <v>116</v>
      </c>
      <c r="C182" s="4">
        <v>994262.54</v>
      </c>
      <c r="D182" s="6">
        <v>29418979.739999998</v>
      </c>
      <c r="E182" s="7">
        <f>TuitionRates[[#This Row],[2022-23
Cyber Charter School Expenditures]]/D182</f>
        <v>3.3796635668100164E-2</v>
      </c>
      <c r="F182"/>
    </row>
    <row r="183" spans="1:6" x14ac:dyDescent="0.2">
      <c r="A183" s="3" t="s">
        <v>393</v>
      </c>
      <c r="B183" s="3" t="s">
        <v>386</v>
      </c>
      <c r="C183" s="4">
        <v>726784.97</v>
      </c>
      <c r="D183" s="6">
        <v>21520772.359999999</v>
      </c>
      <c r="E183" s="7">
        <f>TuitionRates[[#This Row],[2022-23
Cyber Charter School Expenditures]]/D183</f>
        <v>3.3771323716562003E-2</v>
      </c>
      <c r="F183"/>
    </row>
    <row r="184" spans="1:6" x14ac:dyDescent="0.2">
      <c r="A184" s="3" t="s">
        <v>470</v>
      </c>
      <c r="B184" s="3" t="s">
        <v>463</v>
      </c>
      <c r="C184" s="4">
        <v>796771.34</v>
      </c>
      <c r="D184" s="6">
        <v>23605882.280000001</v>
      </c>
      <c r="E184" s="7">
        <f>TuitionRates[[#This Row],[2022-23
Cyber Charter School Expenditures]]/D184</f>
        <v>3.3753084529912346E-2</v>
      </c>
      <c r="F184"/>
    </row>
    <row r="185" spans="1:6" x14ac:dyDescent="0.2">
      <c r="A185" s="3" t="s">
        <v>89</v>
      </c>
      <c r="B185" s="3" t="s">
        <v>81</v>
      </c>
      <c r="C185" s="4">
        <v>1595131.22</v>
      </c>
      <c r="D185" s="6">
        <v>47443959.18</v>
      </c>
      <c r="E185" s="7">
        <f>TuitionRates[[#This Row],[2022-23
Cyber Charter School Expenditures]]/D185</f>
        <v>3.3621376621376646E-2</v>
      </c>
      <c r="F185"/>
    </row>
    <row r="186" spans="1:6" x14ac:dyDescent="0.2">
      <c r="A186" s="3" t="s">
        <v>19</v>
      </c>
      <c r="B186" s="3" t="s">
        <v>11</v>
      </c>
      <c r="C186" s="4">
        <v>577606</v>
      </c>
      <c r="D186" s="6">
        <v>17262492</v>
      </c>
      <c r="E186" s="7">
        <f>TuitionRates[[#This Row],[2022-23
Cyber Charter School Expenditures]]/D186</f>
        <v>3.3460174811377176E-2</v>
      </c>
      <c r="F186"/>
    </row>
    <row r="187" spans="1:6" x14ac:dyDescent="0.2">
      <c r="A187" s="3" t="s">
        <v>499</v>
      </c>
      <c r="B187" s="3" t="s">
        <v>500</v>
      </c>
      <c r="C187" s="4">
        <v>1366846.85</v>
      </c>
      <c r="D187" s="6">
        <v>40940996.420000002</v>
      </c>
      <c r="E187" s="7">
        <f>TuitionRates[[#This Row],[2022-23
Cyber Charter School Expenditures]]/D187</f>
        <v>3.33857739068677E-2</v>
      </c>
      <c r="F187"/>
    </row>
    <row r="188" spans="1:6" x14ac:dyDescent="0.2">
      <c r="A188" s="3" t="s">
        <v>242</v>
      </c>
      <c r="B188" s="3" t="s">
        <v>243</v>
      </c>
      <c r="C188" s="4">
        <v>419606.1</v>
      </c>
      <c r="D188" s="6">
        <v>12713365.689999999</v>
      </c>
      <c r="E188" s="7">
        <f>TuitionRates[[#This Row],[2022-23
Cyber Charter School Expenditures]]/D188</f>
        <v>3.30051152646424E-2</v>
      </c>
      <c r="F188"/>
    </row>
    <row r="189" spans="1:6" x14ac:dyDescent="0.2">
      <c r="A189" s="3" t="s">
        <v>502</v>
      </c>
      <c r="B189" s="3" t="s">
        <v>500</v>
      </c>
      <c r="C189" s="4">
        <v>953059.82</v>
      </c>
      <c r="D189" s="6">
        <v>28953190.57</v>
      </c>
      <c r="E189" s="7">
        <f>TuitionRates[[#This Row],[2022-23
Cyber Charter School Expenditures]]/D189</f>
        <v>3.291726408168355E-2</v>
      </c>
      <c r="F189"/>
    </row>
    <row r="190" spans="1:6" x14ac:dyDescent="0.2">
      <c r="A190" s="3" t="s">
        <v>22</v>
      </c>
      <c r="B190" s="3" t="s">
        <v>11</v>
      </c>
      <c r="C190" s="4">
        <v>1357474.93</v>
      </c>
      <c r="D190" s="6">
        <v>41305275.729999997</v>
      </c>
      <c r="E190" s="7">
        <f>TuitionRates[[#This Row],[2022-23
Cyber Charter School Expenditures]]/D190</f>
        <v>3.2864444214666423E-2</v>
      </c>
      <c r="F190"/>
    </row>
    <row r="191" spans="1:6" x14ac:dyDescent="0.2">
      <c r="A191" s="3" t="s">
        <v>43</v>
      </c>
      <c r="B191" s="3" t="s">
        <v>11</v>
      </c>
      <c r="C191" s="4">
        <v>1020692.24</v>
      </c>
      <c r="D191" s="6">
        <v>31085509.649999999</v>
      </c>
      <c r="E191" s="7">
        <f>TuitionRates[[#This Row],[2022-23
Cyber Charter School Expenditures]]/D191</f>
        <v>3.2834984901075927E-2</v>
      </c>
      <c r="F191"/>
    </row>
    <row r="192" spans="1:6" x14ac:dyDescent="0.2">
      <c r="A192" s="3" t="s">
        <v>437</v>
      </c>
      <c r="B192" s="3" t="s">
        <v>431</v>
      </c>
      <c r="C192" s="4">
        <v>1698272.02</v>
      </c>
      <c r="D192" s="6">
        <v>52036460.43</v>
      </c>
      <c r="E192" s="7">
        <f>TuitionRates[[#This Row],[2022-23
Cyber Charter School Expenditures]]/D192</f>
        <v>3.2636194044837724E-2</v>
      </c>
      <c r="F192"/>
    </row>
    <row r="193" spans="1:6" x14ac:dyDescent="0.2">
      <c r="A193" s="3" t="s">
        <v>460</v>
      </c>
      <c r="B193" s="3" t="s">
        <v>457</v>
      </c>
      <c r="C193" s="4">
        <v>384870.26</v>
      </c>
      <c r="D193" s="6">
        <v>11854265.76</v>
      </c>
      <c r="E193" s="7">
        <f>TuitionRates[[#This Row],[2022-23
Cyber Charter School Expenditures]]/D193</f>
        <v>3.2466815557541544E-2</v>
      </c>
      <c r="F193"/>
    </row>
    <row r="194" spans="1:6" x14ac:dyDescent="0.2">
      <c r="A194" s="3" t="s">
        <v>132</v>
      </c>
      <c r="B194" s="3" t="s">
        <v>130</v>
      </c>
      <c r="C194" s="4">
        <v>1215674.71</v>
      </c>
      <c r="D194" s="6">
        <v>37549956.350000001</v>
      </c>
      <c r="E194" s="7">
        <f>TuitionRates[[#This Row],[2022-23
Cyber Charter School Expenditures]]/D194</f>
        <v>3.2374863466385892E-2</v>
      </c>
      <c r="F194"/>
    </row>
    <row r="195" spans="1:6" x14ac:dyDescent="0.2">
      <c r="A195" s="3" t="s">
        <v>15</v>
      </c>
      <c r="B195" s="3" t="s">
        <v>11</v>
      </c>
      <c r="C195" s="4">
        <v>938650.04</v>
      </c>
      <c r="D195" s="6">
        <v>29072931.309999999</v>
      </c>
      <c r="E195" s="7">
        <f>TuitionRates[[#This Row],[2022-23
Cyber Charter School Expenditures]]/D195</f>
        <v>3.2286047457386578E-2</v>
      </c>
      <c r="F195"/>
    </row>
    <row r="196" spans="1:6" x14ac:dyDescent="0.2">
      <c r="A196" s="3" t="s">
        <v>279</v>
      </c>
      <c r="B196" s="3" t="s">
        <v>280</v>
      </c>
      <c r="C196" s="4">
        <v>675242.64</v>
      </c>
      <c r="D196" s="6">
        <v>21016874.699999999</v>
      </c>
      <c r="E196" s="7">
        <f>TuitionRates[[#This Row],[2022-23
Cyber Charter School Expenditures]]/D196</f>
        <v>3.2128594267158098E-2</v>
      </c>
      <c r="F196"/>
    </row>
    <row r="197" spans="1:6" x14ac:dyDescent="0.2">
      <c r="A197" s="3" t="s">
        <v>556</v>
      </c>
      <c r="B197" s="3" t="s">
        <v>554</v>
      </c>
      <c r="C197" s="4">
        <v>2262355.14</v>
      </c>
      <c r="D197" s="6">
        <v>70969373</v>
      </c>
      <c r="E197" s="7">
        <f>TuitionRates[[#This Row],[2022-23
Cyber Charter School Expenditures]]/D197</f>
        <v>3.1877907953336435E-2</v>
      </c>
      <c r="F197"/>
    </row>
    <row r="198" spans="1:6" x14ac:dyDescent="0.2">
      <c r="A198" s="3" t="s">
        <v>394</v>
      </c>
      <c r="B198" s="3" t="s">
        <v>386</v>
      </c>
      <c r="C198" s="4">
        <v>750590.29</v>
      </c>
      <c r="D198" s="6">
        <v>23671429.710000001</v>
      </c>
      <c r="E198" s="7">
        <f>TuitionRates[[#This Row],[2022-23
Cyber Charter School Expenditures]]/D198</f>
        <v>3.1708701130245334E-2</v>
      </c>
      <c r="F198"/>
    </row>
    <row r="199" spans="1:6" x14ac:dyDescent="0.2">
      <c r="A199" s="3" t="s">
        <v>541</v>
      </c>
      <c r="B199" s="3" t="s">
        <v>533</v>
      </c>
      <c r="C199" s="4">
        <v>2081317.84</v>
      </c>
      <c r="D199" s="6">
        <v>65673609.060000002</v>
      </c>
      <c r="E199" s="7">
        <f>TuitionRates[[#This Row],[2022-23
Cyber Charter School Expenditures]]/D199</f>
        <v>3.1691845016443197E-2</v>
      </c>
      <c r="F199"/>
    </row>
    <row r="200" spans="1:6" x14ac:dyDescent="0.2">
      <c r="A200" s="3" t="s">
        <v>519</v>
      </c>
      <c r="B200" s="3" t="s">
        <v>515</v>
      </c>
      <c r="C200" s="4">
        <v>575882.37</v>
      </c>
      <c r="D200" s="6">
        <v>18317342.280000001</v>
      </c>
      <c r="E200" s="7">
        <f>TuitionRates[[#This Row],[2022-23
Cyber Charter School Expenditures]]/D200</f>
        <v>3.1439188130954115E-2</v>
      </c>
      <c r="F200"/>
    </row>
    <row r="201" spans="1:6" x14ac:dyDescent="0.2">
      <c r="A201" s="3" t="s">
        <v>228</v>
      </c>
      <c r="B201" s="3" t="s">
        <v>227</v>
      </c>
      <c r="C201" s="4">
        <v>2885728.67</v>
      </c>
      <c r="D201" s="6">
        <v>91962684.549999997</v>
      </c>
      <c r="E201" s="7">
        <f>TuitionRates[[#This Row],[2022-23
Cyber Charter School Expenditures]]/D201</f>
        <v>3.1379343525264669E-2</v>
      </c>
      <c r="F201"/>
    </row>
    <row r="202" spans="1:6" x14ac:dyDescent="0.2">
      <c r="A202" s="3" t="s">
        <v>526</v>
      </c>
      <c r="B202" s="3" t="s">
        <v>515</v>
      </c>
      <c r="C202" s="4">
        <v>1703967.97</v>
      </c>
      <c r="D202" s="6">
        <v>54443876.939999998</v>
      </c>
      <c r="E202" s="7">
        <f>TuitionRates[[#This Row],[2022-23
Cyber Charter School Expenditures]]/D202</f>
        <v>3.1297697110693676E-2</v>
      </c>
      <c r="F202"/>
    </row>
    <row r="203" spans="1:6" x14ac:dyDescent="0.2">
      <c r="A203" s="3" t="s">
        <v>73</v>
      </c>
      <c r="B203" s="3" t="s">
        <v>60</v>
      </c>
      <c r="C203" s="4">
        <v>507586.1</v>
      </c>
      <c r="D203" s="6">
        <v>16230264.279999999</v>
      </c>
      <c r="E203" s="7">
        <f>TuitionRates[[#This Row],[2022-23
Cyber Charter School Expenditures]]/D203</f>
        <v>3.1274050209119574E-2</v>
      </c>
      <c r="F203"/>
    </row>
    <row r="204" spans="1:6" x14ac:dyDescent="0.2">
      <c r="A204" s="3" t="s">
        <v>455</v>
      </c>
      <c r="B204" s="3" t="s">
        <v>454</v>
      </c>
      <c r="C204" s="4">
        <v>2759332.76</v>
      </c>
      <c r="D204" s="6">
        <v>88316701.25</v>
      </c>
      <c r="E204" s="7">
        <f>TuitionRates[[#This Row],[2022-23
Cyber Charter School Expenditures]]/D204</f>
        <v>3.1243612147481559E-2</v>
      </c>
      <c r="F204"/>
    </row>
    <row r="205" spans="1:6" x14ac:dyDescent="0.2">
      <c r="A205" s="3" t="s">
        <v>90</v>
      </c>
      <c r="B205" s="3" t="s">
        <v>81</v>
      </c>
      <c r="C205" s="4">
        <v>1170159.6399999999</v>
      </c>
      <c r="D205" s="6">
        <v>37477343.329999998</v>
      </c>
      <c r="E205" s="7">
        <f>TuitionRates[[#This Row],[2022-23
Cyber Charter School Expenditures]]/D205</f>
        <v>3.1223121385536054E-2</v>
      </c>
      <c r="F205"/>
    </row>
    <row r="206" spans="1:6" x14ac:dyDescent="0.2">
      <c r="A206" s="3" t="s">
        <v>501</v>
      </c>
      <c r="B206" s="3" t="s">
        <v>500</v>
      </c>
      <c r="C206" s="4">
        <v>1197714.19</v>
      </c>
      <c r="D206" s="6">
        <v>38363803.030000001</v>
      </c>
      <c r="E206" s="7">
        <f>TuitionRates[[#This Row],[2022-23
Cyber Charter School Expenditures]]/D206</f>
        <v>3.1219902496720745E-2</v>
      </c>
      <c r="F206"/>
    </row>
    <row r="207" spans="1:6" x14ac:dyDescent="0.2">
      <c r="A207" s="3" t="s">
        <v>514</v>
      </c>
      <c r="B207" s="3" t="s">
        <v>515</v>
      </c>
      <c r="C207" s="4">
        <v>369543.19</v>
      </c>
      <c r="D207" s="6">
        <v>11880277.52</v>
      </c>
      <c r="E207" s="7">
        <f>TuitionRates[[#This Row],[2022-23
Cyber Charter School Expenditures]]/D207</f>
        <v>3.110560248932636E-2</v>
      </c>
      <c r="F207"/>
    </row>
    <row r="208" spans="1:6" x14ac:dyDescent="0.2">
      <c r="A208" s="3" t="s">
        <v>76</v>
      </c>
      <c r="B208" s="3" t="s">
        <v>75</v>
      </c>
      <c r="C208" s="4">
        <v>745892.48</v>
      </c>
      <c r="D208" s="6">
        <v>24021826.59</v>
      </c>
      <c r="E208" s="7">
        <f>TuitionRates[[#This Row],[2022-23
Cyber Charter School Expenditures]]/D208</f>
        <v>3.1050614623556818E-2</v>
      </c>
      <c r="F208"/>
    </row>
    <row r="209" spans="1:6" x14ac:dyDescent="0.2">
      <c r="A209" s="3" t="s">
        <v>278</v>
      </c>
      <c r="B209" s="3" t="s">
        <v>276</v>
      </c>
      <c r="C209" s="4">
        <v>590991.75</v>
      </c>
      <c r="D209" s="6">
        <v>19065543.579999998</v>
      </c>
      <c r="E209" s="7">
        <f>TuitionRates[[#This Row],[2022-23
Cyber Charter School Expenditures]]/D209</f>
        <v>3.0997896677855963E-2</v>
      </c>
      <c r="F209"/>
    </row>
    <row r="210" spans="1:6" x14ac:dyDescent="0.2">
      <c r="A210" s="3" t="s">
        <v>295</v>
      </c>
      <c r="B210" s="3" t="s">
        <v>291</v>
      </c>
      <c r="C210" s="4">
        <v>668835</v>
      </c>
      <c r="D210" s="6">
        <v>21612471.32</v>
      </c>
      <c r="E210" s="7">
        <f>TuitionRates[[#This Row],[2022-23
Cyber Charter School Expenditures]]/D210</f>
        <v>3.0946715444848998E-2</v>
      </c>
      <c r="F210"/>
    </row>
    <row r="211" spans="1:6" x14ac:dyDescent="0.2">
      <c r="A211" s="3" t="s">
        <v>508</v>
      </c>
      <c r="B211" s="3" t="s">
        <v>507</v>
      </c>
      <c r="C211" s="4">
        <v>1275035.4099999999</v>
      </c>
      <c r="D211" s="6">
        <v>41743642.509999998</v>
      </c>
      <c r="E211" s="7">
        <f>TuitionRates[[#This Row],[2022-23
Cyber Charter School Expenditures]]/D211</f>
        <v>3.0544421457580177E-2</v>
      </c>
      <c r="F211"/>
    </row>
    <row r="212" spans="1:6" x14ac:dyDescent="0.2">
      <c r="A212" s="3" t="s">
        <v>96</v>
      </c>
      <c r="B212" s="3" t="s">
        <v>81</v>
      </c>
      <c r="C212" s="4">
        <v>2118953.23</v>
      </c>
      <c r="D212" s="6">
        <v>69539565.879999995</v>
      </c>
      <c r="E212" s="7">
        <f>TuitionRates[[#This Row],[2022-23
Cyber Charter School Expenditures]]/D212</f>
        <v>3.0471188641823601E-2</v>
      </c>
      <c r="F212"/>
    </row>
    <row r="213" spans="1:6" x14ac:dyDescent="0.2">
      <c r="A213" s="3" t="s">
        <v>532</v>
      </c>
      <c r="B213" s="3" t="s">
        <v>533</v>
      </c>
      <c r="C213" s="4">
        <v>1378946</v>
      </c>
      <c r="D213" s="6">
        <v>45282001.649999999</v>
      </c>
      <c r="E213" s="7">
        <f>TuitionRates[[#This Row],[2022-23
Cyber Charter School Expenditures]]/D213</f>
        <v>3.0452408236242359E-2</v>
      </c>
      <c r="F213"/>
    </row>
    <row r="214" spans="1:6" x14ac:dyDescent="0.2">
      <c r="A214" s="3" t="s">
        <v>95</v>
      </c>
      <c r="B214" s="3" t="s">
        <v>81</v>
      </c>
      <c r="C214" s="4">
        <v>1199126.32</v>
      </c>
      <c r="D214" s="6">
        <v>39501383.719999999</v>
      </c>
      <c r="E214" s="7">
        <f>TuitionRates[[#This Row],[2022-23
Cyber Charter School Expenditures]]/D214</f>
        <v>3.0356564937062416E-2</v>
      </c>
      <c r="F214"/>
    </row>
    <row r="215" spans="1:6" x14ac:dyDescent="0.2">
      <c r="A215" s="3" t="s">
        <v>85</v>
      </c>
      <c r="B215" s="3" t="s">
        <v>81</v>
      </c>
      <c r="C215" s="4">
        <v>1925556.94</v>
      </c>
      <c r="D215" s="6">
        <v>63445914.219999999</v>
      </c>
      <c r="E215" s="7">
        <f>TuitionRates[[#This Row],[2022-23
Cyber Charter School Expenditures]]/D215</f>
        <v>3.0349581429673974E-2</v>
      </c>
      <c r="F215"/>
    </row>
    <row r="216" spans="1:6" x14ac:dyDescent="0.2">
      <c r="A216" s="3" t="s">
        <v>111</v>
      </c>
      <c r="B216" s="3" t="s">
        <v>108</v>
      </c>
      <c r="C216" s="4">
        <v>721619.46</v>
      </c>
      <c r="D216" s="6">
        <v>23833076.800000001</v>
      </c>
      <c r="E216" s="7">
        <f>TuitionRates[[#This Row],[2022-23
Cyber Charter School Expenditures]]/D216</f>
        <v>3.0278065482506226E-2</v>
      </c>
      <c r="F216"/>
    </row>
    <row r="217" spans="1:6" x14ac:dyDescent="0.2">
      <c r="A217" s="3" t="s">
        <v>125</v>
      </c>
      <c r="B217" s="3" t="s">
        <v>116</v>
      </c>
      <c r="C217" s="4">
        <v>1375656.3</v>
      </c>
      <c r="D217" s="6">
        <v>45505538.590000004</v>
      </c>
      <c r="E217" s="7">
        <f>TuitionRates[[#This Row],[2022-23
Cyber Charter School Expenditures]]/D217</f>
        <v>3.0230524516905843E-2</v>
      </c>
      <c r="F217"/>
    </row>
    <row r="218" spans="1:6" x14ac:dyDescent="0.2">
      <c r="A218" s="3" t="s">
        <v>347</v>
      </c>
      <c r="B218" s="3" t="s">
        <v>342</v>
      </c>
      <c r="C218" s="4">
        <v>1858159</v>
      </c>
      <c r="D218" s="6">
        <v>61810895.859999999</v>
      </c>
      <c r="E218" s="7">
        <f>TuitionRates[[#This Row],[2022-23
Cyber Charter School Expenditures]]/D218</f>
        <v>3.0061997551510653E-2</v>
      </c>
      <c r="F218"/>
    </row>
    <row r="219" spans="1:6" x14ac:dyDescent="0.2">
      <c r="A219" s="3" t="s">
        <v>210</v>
      </c>
      <c r="B219" s="3" t="s">
        <v>207</v>
      </c>
      <c r="C219" s="4">
        <v>5235529</v>
      </c>
      <c r="D219" s="6">
        <v>174492699</v>
      </c>
      <c r="E219" s="7">
        <f>TuitionRates[[#This Row],[2022-23
Cyber Charter School Expenditures]]/D219</f>
        <v>3.0004286884232331E-2</v>
      </c>
      <c r="F219"/>
    </row>
    <row r="220" spans="1:6" x14ac:dyDescent="0.2">
      <c r="A220" s="3" t="s">
        <v>178</v>
      </c>
      <c r="B220" s="3" t="s">
        <v>177</v>
      </c>
      <c r="C220" s="4">
        <v>494360.65</v>
      </c>
      <c r="D220" s="6">
        <v>16496344.75</v>
      </c>
      <c r="E220" s="7">
        <f>TuitionRates[[#This Row],[2022-23
Cyber Charter School Expenditures]]/D220</f>
        <v>2.9967890310973286E-2</v>
      </c>
      <c r="F220"/>
    </row>
    <row r="221" spans="1:6" x14ac:dyDescent="0.2">
      <c r="A221" s="3" t="s">
        <v>521</v>
      </c>
      <c r="B221" s="3" t="s">
        <v>515</v>
      </c>
      <c r="C221" s="4">
        <v>894340.67</v>
      </c>
      <c r="D221" s="6">
        <v>30418863.059999999</v>
      </c>
      <c r="E221" s="7">
        <f>TuitionRates[[#This Row],[2022-23
Cyber Charter School Expenditures]]/D221</f>
        <v>2.9400857889920102E-2</v>
      </c>
      <c r="F221"/>
    </row>
    <row r="222" spans="1:6" x14ac:dyDescent="0.2">
      <c r="A222" s="3" t="s">
        <v>398</v>
      </c>
      <c r="B222" s="3" t="s">
        <v>399</v>
      </c>
      <c r="C222" s="4">
        <v>2662589.23</v>
      </c>
      <c r="D222" s="6">
        <v>90716320.870000005</v>
      </c>
      <c r="E222" s="7">
        <f>TuitionRates[[#This Row],[2022-23
Cyber Charter School Expenditures]]/D222</f>
        <v>2.9350718861444934E-2</v>
      </c>
      <c r="F222"/>
    </row>
    <row r="223" spans="1:6" x14ac:dyDescent="0.2">
      <c r="A223" s="3" t="s">
        <v>66</v>
      </c>
      <c r="B223" s="3" t="s">
        <v>60</v>
      </c>
      <c r="C223" s="4">
        <v>802791.87</v>
      </c>
      <c r="D223" s="6">
        <v>27397836.219999999</v>
      </c>
      <c r="E223" s="7">
        <f>TuitionRates[[#This Row],[2022-23
Cyber Charter School Expenditures]]/D223</f>
        <v>2.9301287282459711E-2</v>
      </c>
      <c r="F223"/>
    </row>
    <row r="224" spans="1:6" x14ac:dyDescent="0.2">
      <c r="A224" s="3" t="s">
        <v>248</v>
      </c>
      <c r="B224" s="3" t="s">
        <v>247</v>
      </c>
      <c r="C224" s="4">
        <v>8172603.1900000004</v>
      </c>
      <c r="D224" s="6">
        <v>279220710.05000001</v>
      </c>
      <c r="E224" s="7">
        <f>TuitionRates[[#This Row],[2022-23
Cyber Charter School Expenditures]]/D224</f>
        <v>2.9269330303388075E-2</v>
      </c>
      <c r="F224"/>
    </row>
    <row r="225" spans="1:6" x14ac:dyDescent="0.2">
      <c r="A225" s="3" t="s">
        <v>364</v>
      </c>
      <c r="B225" s="3" t="s">
        <v>359</v>
      </c>
      <c r="C225" s="4">
        <v>1028668.22</v>
      </c>
      <c r="D225" s="6">
        <v>35158624.049999997</v>
      </c>
      <c r="E225" s="7">
        <f>TuitionRates[[#This Row],[2022-23
Cyber Charter School Expenditures]]/D225</f>
        <v>2.9257920291109914E-2</v>
      </c>
      <c r="F225"/>
    </row>
    <row r="226" spans="1:6" x14ac:dyDescent="0.2">
      <c r="A226" s="3" t="s">
        <v>141</v>
      </c>
      <c r="B226" s="3" t="s">
        <v>138</v>
      </c>
      <c r="C226" s="4">
        <v>493270.75</v>
      </c>
      <c r="D226" s="6">
        <v>16863580.5</v>
      </c>
      <c r="E226" s="7">
        <f>TuitionRates[[#This Row],[2022-23
Cyber Charter School Expenditures]]/D226</f>
        <v>2.9250653501490979E-2</v>
      </c>
      <c r="F226"/>
    </row>
    <row r="227" spans="1:6" x14ac:dyDescent="0.2">
      <c r="A227" s="3" t="s">
        <v>384</v>
      </c>
      <c r="B227" s="3" t="s">
        <v>380</v>
      </c>
      <c r="C227" s="4">
        <v>502357.38</v>
      </c>
      <c r="D227" s="6">
        <v>17207510.73</v>
      </c>
      <c r="E227" s="7">
        <f>TuitionRates[[#This Row],[2022-23
Cyber Charter School Expenditures]]/D227</f>
        <v>2.9194076231152812E-2</v>
      </c>
      <c r="F227"/>
    </row>
    <row r="228" spans="1:6" x14ac:dyDescent="0.2">
      <c r="A228" s="3" t="s">
        <v>107</v>
      </c>
      <c r="B228" s="3" t="s">
        <v>108</v>
      </c>
      <c r="C228" s="4">
        <v>1371135.12</v>
      </c>
      <c r="D228" s="6">
        <v>46977241.630000003</v>
      </c>
      <c r="E228" s="7">
        <f>TuitionRates[[#This Row],[2022-23
Cyber Charter School Expenditures]]/D228</f>
        <v>2.9187220714218847E-2</v>
      </c>
      <c r="F228"/>
    </row>
    <row r="229" spans="1:6" x14ac:dyDescent="0.2">
      <c r="A229" s="3" t="s">
        <v>128</v>
      </c>
      <c r="B229" s="3" t="s">
        <v>116</v>
      </c>
      <c r="C229" s="4">
        <v>3457330.9</v>
      </c>
      <c r="D229" s="6">
        <v>118744479.41</v>
      </c>
      <c r="E229" s="7">
        <f>TuitionRates[[#This Row],[2022-23
Cyber Charter School Expenditures]]/D229</f>
        <v>2.9115719039556821E-2</v>
      </c>
      <c r="F229"/>
    </row>
    <row r="230" spans="1:6" x14ac:dyDescent="0.2">
      <c r="A230" s="3" t="s">
        <v>382</v>
      </c>
      <c r="B230" s="3" t="s">
        <v>380</v>
      </c>
      <c r="C230" s="4">
        <v>352967.99</v>
      </c>
      <c r="D230" s="6">
        <v>12153985.18</v>
      </c>
      <c r="E230" s="7">
        <f>TuitionRates[[#This Row],[2022-23
Cyber Charter School Expenditures]]/D230</f>
        <v>2.9041337863471049E-2</v>
      </c>
      <c r="F230"/>
    </row>
    <row r="231" spans="1:6" x14ac:dyDescent="0.2">
      <c r="A231" s="3" t="s">
        <v>385</v>
      </c>
      <c r="B231" s="3" t="s">
        <v>386</v>
      </c>
      <c r="C231" s="4">
        <v>340066.17</v>
      </c>
      <c r="D231" s="6">
        <v>11730222.32</v>
      </c>
      <c r="E231" s="7">
        <f>TuitionRates[[#This Row],[2022-23
Cyber Charter School Expenditures]]/D231</f>
        <v>2.8990598875537763E-2</v>
      </c>
      <c r="F231"/>
    </row>
    <row r="232" spans="1:6" x14ac:dyDescent="0.2">
      <c r="A232" s="3" t="s">
        <v>549</v>
      </c>
      <c r="B232" s="3" t="s">
        <v>533</v>
      </c>
      <c r="C232" s="4">
        <v>1059497.6000000001</v>
      </c>
      <c r="D232" s="6">
        <v>36658931.630000003</v>
      </c>
      <c r="E232" s="7">
        <f>TuitionRates[[#This Row],[2022-23
Cyber Charter School Expenditures]]/D232</f>
        <v>2.8901486019656815E-2</v>
      </c>
      <c r="F232"/>
    </row>
    <row r="233" spans="1:6" x14ac:dyDescent="0.2">
      <c r="A233" s="3" t="s">
        <v>438</v>
      </c>
      <c r="B233" s="3" t="s">
        <v>431</v>
      </c>
      <c r="C233" s="4">
        <v>1334980.33</v>
      </c>
      <c r="D233" s="6">
        <v>46191076.200000003</v>
      </c>
      <c r="E233" s="7">
        <f>TuitionRates[[#This Row],[2022-23
Cyber Charter School Expenditures]]/D233</f>
        <v>2.8901260585913777E-2</v>
      </c>
      <c r="F233"/>
    </row>
    <row r="234" spans="1:6" x14ac:dyDescent="0.2">
      <c r="A234" s="3" t="s">
        <v>547</v>
      </c>
      <c r="B234" s="3" t="s">
        <v>533</v>
      </c>
      <c r="C234" s="4">
        <v>1938481.15</v>
      </c>
      <c r="D234" s="6">
        <v>67120723.879999995</v>
      </c>
      <c r="E234" s="7">
        <f>TuitionRates[[#This Row],[2022-23
Cyber Charter School Expenditures]]/D234</f>
        <v>2.8880516149761167E-2</v>
      </c>
      <c r="F234"/>
    </row>
    <row r="235" spans="1:6" x14ac:dyDescent="0.2">
      <c r="A235" s="3" t="s">
        <v>319</v>
      </c>
      <c r="B235" s="3" t="s">
        <v>316</v>
      </c>
      <c r="C235" s="4">
        <v>1692943.11</v>
      </c>
      <c r="D235" s="6">
        <v>58856630.659999996</v>
      </c>
      <c r="E235" s="7">
        <f>TuitionRates[[#This Row],[2022-23
Cyber Charter School Expenditures]]/D235</f>
        <v>2.876384684301261E-2</v>
      </c>
      <c r="F235"/>
    </row>
    <row r="236" spans="1:6" x14ac:dyDescent="0.2">
      <c r="A236" s="3" t="s">
        <v>539</v>
      </c>
      <c r="B236" s="3" t="s">
        <v>533</v>
      </c>
      <c r="C236" s="4">
        <v>3006012.37</v>
      </c>
      <c r="D236" s="6">
        <v>104744948.17</v>
      </c>
      <c r="E236" s="7">
        <f>TuitionRates[[#This Row],[2022-23
Cyber Charter School Expenditures]]/D236</f>
        <v>2.8698399517285283E-2</v>
      </c>
      <c r="F236"/>
    </row>
    <row r="237" spans="1:6" x14ac:dyDescent="0.2">
      <c r="A237" s="3" t="s">
        <v>104</v>
      </c>
      <c r="B237" s="3" t="s">
        <v>100</v>
      </c>
      <c r="C237" s="4">
        <v>846115.79</v>
      </c>
      <c r="D237" s="6">
        <v>29483449.359999999</v>
      </c>
      <c r="E237" s="7">
        <f>TuitionRates[[#This Row],[2022-23
Cyber Charter School Expenditures]]/D237</f>
        <v>2.8697991868886268E-2</v>
      </c>
      <c r="F237"/>
    </row>
    <row r="238" spans="1:6" x14ac:dyDescent="0.2">
      <c r="A238" s="3" t="s">
        <v>5</v>
      </c>
      <c r="B238" s="3" t="s">
        <v>4</v>
      </c>
      <c r="C238" s="4">
        <v>2106451.84</v>
      </c>
      <c r="D238" s="6">
        <v>73538519.769999996</v>
      </c>
      <c r="E238" s="7">
        <f>TuitionRates[[#This Row],[2022-23
Cyber Charter School Expenditures]]/D238</f>
        <v>2.8644196899640696E-2</v>
      </c>
      <c r="F238"/>
    </row>
    <row r="239" spans="1:6" x14ac:dyDescent="0.2">
      <c r="A239" s="3" t="s">
        <v>35</v>
      </c>
      <c r="B239" s="3" t="s">
        <v>11</v>
      </c>
      <c r="C239" s="4">
        <v>813949.49</v>
      </c>
      <c r="D239" s="6">
        <v>28479662.309999999</v>
      </c>
      <c r="E239" s="7">
        <f>TuitionRates[[#This Row],[2022-23
Cyber Charter School Expenditures]]/D239</f>
        <v>2.8580026024894255E-2</v>
      </c>
      <c r="F239"/>
    </row>
    <row r="240" spans="1:6" x14ac:dyDescent="0.2">
      <c r="A240" s="3" t="s">
        <v>292</v>
      </c>
      <c r="B240" s="3" t="s">
        <v>291</v>
      </c>
      <c r="C240" s="4">
        <v>1709716.71</v>
      </c>
      <c r="D240" s="6">
        <v>60027610.189999998</v>
      </c>
      <c r="E240" s="7">
        <f>TuitionRates[[#This Row],[2022-23
Cyber Charter School Expenditures]]/D240</f>
        <v>2.8482171863720502E-2</v>
      </c>
      <c r="F240"/>
    </row>
    <row r="241" spans="1:6" x14ac:dyDescent="0.2">
      <c r="A241" s="3" t="s">
        <v>251</v>
      </c>
      <c r="B241" s="3" t="s">
        <v>247</v>
      </c>
      <c r="C241" s="4">
        <v>1141863.8500000001</v>
      </c>
      <c r="D241" s="6">
        <v>40182143.539999999</v>
      </c>
      <c r="E241" s="7">
        <f>TuitionRates[[#This Row],[2022-23
Cyber Charter School Expenditures]]/D241</f>
        <v>2.8417196032942151E-2</v>
      </c>
      <c r="F241"/>
    </row>
    <row r="242" spans="1:6" x14ac:dyDescent="0.2">
      <c r="A242" s="3" t="s">
        <v>99</v>
      </c>
      <c r="B242" s="3" t="s">
        <v>100</v>
      </c>
      <c r="C242" s="4">
        <v>3496607.96</v>
      </c>
      <c r="D242" s="6">
        <v>123185631.93000001</v>
      </c>
      <c r="E242" s="7">
        <f>TuitionRates[[#This Row],[2022-23
Cyber Charter School Expenditures]]/D242</f>
        <v>2.838486847221712E-2</v>
      </c>
      <c r="F242"/>
    </row>
    <row r="243" spans="1:6" x14ac:dyDescent="0.2">
      <c r="A243" s="3" t="s">
        <v>418</v>
      </c>
      <c r="B243" s="3" t="s">
        <v>406</v>
      </c>
      <c r="C243" s="4">
        <v>2051465</v>
      </c>
      <c r="D243" s="6">
        <v>72685653</v>
      </c>
      <c r="E243" s="7">
        <f>TuitionRates[[#This Row],[2022-23
Cyber Charter School Expenditures]]/D243</f>
        <v>2.8223795416682851E-2</v>
      </c>
      <c r="F243"/>
    </row>
    <row r="244" spans="1:6" x14ac:dyDescent="0.2">
      <c r="A244" s="3" t="s">
        <v>361</v>
      </c>
      <c r="B244" s="3" t="s">
        <v>359</v>
      </c>
      <c r="C244" s="4">
        <v>1022798.02</v>
      </c>
      <c r="D244" s="6">
        <v>36361996.960000001</v>
      </c>
      <c r="E244" s="7">
        <f>TuitionRates[[#This Row],[2022-23
Cyber Charter School Expenditures]]/D244</f>
        <v>2.8128213671133863E-2</v>
      </c>
      <c r="F244"/>
    </row>
    <row r="245" spans="1:6" x14ac:dyDescent="0.2">
      <c r="A245" s="3" t="s">
        <v>114</v>
      </c>
      <c r="B245" s="3" t="s">
        <v>108</v>
      </c>
      <c r="C245" s="4">
        <v>768534.18</v>
      </c>
      <c r="D245" s="6">
        <v>27513404.77</v>
      </c>
      <c r="E245" s="7">
        <f>TuitionRates[[#This Row],[2022-23
Cyber Charter School Expenditures]]/D245</f>
        <v>2.7933081580582587E-2</v>
      </c>
      <c r="F245"/>
    </row>
    <row r="246" spans="1:6" x14ac:dyDescent="0.2">
      <c r="A246" s="3" t="s">
        <v>77</v>
      </c>
      <c r="B246" s="3" t="s">
        <v>75</v>
      </c>
      <c r="C246" s="4">
        <v>697854.58</v>
      </c>
      <c r="D246" s="6">
        <v>25139093.170000002</v>
      </c>
      <c r="E246" s="7">
        <f>TuitionRates[[#This Row],[2022-23
Cyber Charter School Expenditures]]/D246</f>
        <v>2.7759735614997918E-2</v>
      </c>
      <c r="F246"/>
    </row>
    <row r="247" spans="1:6" x14ac:dyDescent="0.2">
      <c r="A247" s="3" t="s">
        <v>171</v>
      </c>
      <c r="B247" s="3" t="s">
        <v>164</v>
      </c>
      <c r="C247" s="4">
        <v>2241643.7599999998</v>
      </c>
      <c r="D247" s="6">
        <v>81182573.109999999</v>
      </c>
      <c r="E247" s="7">
        <f>TuitionRates[[#This Row],[2022-23
Cyber Charter School Expenditures]]/D247</f>
        <v>2.761237632813927E-2</v>
      </c>
      <c r="F247"/>
    </row>
    <row r="248" spans="1:6" x14ac:dyDescent="0.2">
      <c r="A248" s="3" t="s">
        <v>433</v>
      </c>
      <c r="B248" s="3" t="s">
        <v>431</v>
      </c>
      <c r="C248" s="4">
        <v>5612993.1900000004</v>
      </c>
      <c r="D248" s="6">
        <v>203922642</v>
      </c>
      <c r="E248" s="7">
        <f>TuitionRates[[#This Row],[2022-23
Cyber Charter School Expenditures]]/D248</f>
        <v>2.7525110183694072E-2</v>
      </c>
      <c r="F248"/>
    </row>
    <row r="249" spans="1:6" x14ac:dyDescent="0.2">
      <c r="A249" s="3" t="s">
        <v>326</v>
      </c>
      <c r="B249" s="3" t="s">
        <v>316</v>
      </c>
      <c r="C249" s="4">
        <v>1846230.58</v>
      </c>
      <c r="D249" s="6">
        <v>67203750.519999996</v>
      </c>
      <c r="E249" s="7">
        <f>TuitionRates[[#This Row],[2022-23
Cyber Charter School Expenditures]]/D249</f>
        <v>2.7472136089347534E-2</v>
      </c>
      <c r="F249"/>
    </row>
    <row r="250" spans="1:6" x14ac:dyDescent="0.2">
      <c r="A250" s="3" t="s">
        <v>332</v>
      </c>
      <c r="B250" s="3" t="s">
        <v>333</v>
      </c>
      <c r="C250" s="4">
        <v>892580.01</v>
      </c>
      <c r="D250" s="6">
        <v>32573311.57</v>
      </c>
      <c r="E250" s="7">
        <f>TuitionRates[[#This Row],[2022-23
Cyber Charter School Expenditures]]/D250</f>
        <v>2.7402188079091894E-2</v>
      </c>
      <c r="F250"/>
    </row>
    <row r="251" spans="1:6" x14ac:dyDescent="0.2">
      <c r="A251" s="3" t="s">
        <v>67</v>
      </c>
      <c r="B251" s="3" t="s">
        <v>60</v>
      </c>
      <c r="C251" s="4">
        <v>1236005.68</v>
      </c>
      <c r="D251" s="6">
        <v>45241535.090000004</v>
      </c>
      <c r="E251" s="7">
        <f>TuitionRates[[#This Row],[2022-23
Cyber Charter School Expenditures]]/D251</f>
        <v>2.7320153428507368E-2</v>
      </c>
      <c r="F251"/>
    </row>
    <row r="252" spans="1:6" x14ac:dyDescent="0.2">
      <c r="A252" s="3" t="s">
        <v>263</v>
      </c>
      <c r="B252" s="3" t="s">
        <v>261</v>
      </c>
      <c r="C252" s="4">
        <v>2264925.16</v>
      </c>
      <c r="D252" s="6">
        <v>82933008.969999999</v>
      </c>
      <c r="E252" s="7">
        <f>TuitionRates[[#This Row],[2022-23
Cyber Charter School Expenditures]]/D252</f>
        <v>2.7310297650231276E-2</v>
      </c>
      <c r="F252"/>
    </row>
    <row r="253" spans="1:6" x14ac:dyDescent="0.2">
      <c r="A253" s="3" t="s">
        <v>205</v>
      </c>
      <c r="B253" s="3" t="s">
        <v>203</v>
      </c>
      <c r="C253" s="4">
        <v>1672392.73</v>
      </c>
      <c r="D253" s="6">
        <v>61516922.950000003</v>
      </c>
      <c r="E253" s="7">
        <f>TuitionRates[[#This Row],[2022-23
Cyber Charter School Expenditures]]/D253</f>
        <v>2.7185896982514793E-2</v>
      </c>
      <c r="F253"/>
    </row>
    <row r="254" spans="1:6" x14ac:dyDescent="0.2">
      <c r="A254" s="3" t="s">
        <v>522</v>
      </c>
      <c r="B254" s="3" t="s">
        <v>515</v>
      </c>
      <c r="C254" s="4">
        <v>651889.91</v>
      </c>
      <c r="D254" s="6">
        <v>24029912.940000001</v>
      </c>
      <c r="E254" s="7">
        <f>TuitionRates[[#This Row],[2022-23
Cyber Charter School Expenditures]]/D254</f>
        <v>2.7128267656553566E-2</v>
      </c>
      <c r="F254"/>
    </row>
    <row r="255" spans="1:6" x14ac:dyDescent="0.2">
      <c r="A255" s="3" t="s">
        <v>147</v>
      </c>
      <c r="B255" s="3" t="s">
        <v>138</v>
      </c>
      <c r="C255" s="4">
        <v>391694.75</v>
      </c>
      <c r="D255" s="6">
        <v>14455411.09</v>
      </c>
      <c r="E255" s="7">
        <f>TuitionRates[[#This Row],[2022-23
Cyber Charter School Expenditures]]/D255</f>
        <v>2.709675619470743E-2</v>
      </c>
      <c r="F255"/>
    </row>
    <row r="256" spans="1:6" x14ac:dyDescent="0.2">
      <c r="A256" s="3" t="s">
        <v>256</v>
      </c>
      <c r="B256" s="3" t="s">
        <v>247</v>
      </c>
      <c r="C256" s="4">
        <v>805189.02</v>
      </c>
      <c r="D256" s="6">
        <v>29765774.809999999</v>
      </c>
      <c r="E256" s="7">
        <f>TuitionRates[[#This Row],[2022-23
Cyber Charter School Expenditures]]/D256</f>
        <v>2.7050833554297122E-2</v>
      </c>
      <c r="F256"/>
    </row>
    <row r="257" spans="1:6" x14ac:dyDescent="0.2">
      <c r="A257" s="3" t="s">
        <v>370</v>
      </c>
      <c r="B257" s="3" t="s">
        <v>371</v>
      </c>
      <c r="C257" s="4">
        <v>778497.38</v>
      </c>
      <c r="D257" s="6">
        <v>28846507.079999998</v>
      </c>
      <c r="E257" s="7">
        <f>TuitionRates[[#This Row],[2022-23
Cyber Charter School Expenditures]]/D257</f>
        <v>2.6987578698557637E-2</v>
      </c>
      <c r="F257"/>
    </row>
    <row r="258" spans="1:6" x14ac:dyDescent="0.2">
      <c r="A258" s="3" t="s">
        <v>520</v>
      </c>
      <c r="B258" s="3" t="s">
        <v>515</v>
      </c>
      <c r="C258" s="4">
        <v>2858993.13</v>
      </c>
      <c r="D258" s="6">
        <v>106272685.98999999</v>
      </c>
      <c r="E258" s="7">
        <f>TuitionRates[[#This Row],[2022-23
Cyber Charter School Expenditures]]/D258</f>
        <v>2.6902426558307036E-2</v>
      </c>
      <c r="F258"/>
    </row>
    <row r="259" spans="1:6" x14ac:dyDescent="0.2">
      <c r="A259" s="3" t="s">
        <v>339</v>
      </c>
      <c r="B259" s="3" t="s">
        <v>333</v>
      </c>
      <c r="C259" s="4">
        <v>403149</v>
      </c>
      <c r="D259" s="6">
        <v>15013371</v>
      </c>
      <c r="E259" s="7">
        <f>TuitionRates[[#This Row],[2022-23
Cyber Charter School Expenditures]]/D259</f>
        <v>2.6852663535724255E-2</v>
      </c>
      <c r="F259"/>
    </row>
    <row r="260" spans="1:6" x14ac:dyDescent="0.2">
      <c r="A260" s="3" t="s">
        <v>344</v>
      </c>
      <c r="B260" s="3" t="s">
        <v>342</v>
      </c>
      <c r="C260" s="4">
        <v>1429860.45</v>
      </c>
      <c r="D260" s="6">
        <v>53384335.350000001</v>
      </c>
      <c r="E260" s="7">
        <f>TuitionRates[[#This Row],[2022-23
Cyber Charter School Expenditures]]/D260</f>
        <v>2.6784269966564262E-2</v>
      </c>
      <c r="F260"/>
    </row>
    <row r="261" spans="1:6" x14ac:dyDescent="0.2">
      <c r="A261" s="3" t="s">
        <v>61</v>
      </c>
      <c r="B261" s="3" t="s">
        <v>60</v>
      </c>
      <c r="C261" s="4">
        <v>1329880.25</v>
      </c>
      <c r="D261" s="6">
        <v>49856028.619999997</v>
      </c>
      <c r="E261" s="7">
        <f>TuitionRates[[#This Row],[2022-23
Cyber Charter School Expenditures]]/D261</f>
        <v>2.6674412038236672E-2</v>
      </c>
      <c r="F261"/>
    </row>
    <row r="262" spans="1:6" x14ac:dyDescent="0.2">
      <c r="A262" s="3" t="s">
        <v>21</v>
      </c>
      <c r="B262" s="3" t="s">
        <v>11</v>
      </c>
      <c r="C262" s="4">
        <v>589750</v>
      </c>
      <c r="D262" s="6">
        <v>22215586</v>
      </c>
      <c r="E262" s="7">
        <f>TuitionRates[[#This Row],[2022-23
Cyber Charter School Expenditures]]/D262</f>
        <v>2.6546677634341945E-2</v>
      </c>
      <c r="F262"/>
    </row>
    <row r="263" spans="1:6" x14ac:dyDescent="0.2">
      <c r="A263" s="3" t="s">
        <v>321</v>
      </c>
      <c r="B263" s="3" t="s">
        <v>316</v>
      </c>
      <c r="C263" s="4">
        <v>1975248.79</v>
      </c>
      <c r="D263" s="6">
        <v>74442540.159999996</v>
      </c>
      <c r="E263" s="7">
        <f>TuitionRates[[#This Row],[2022-23
Cyber Charter School Expenditures]]/D263</f>
        <v>2.653387143633977E-2</v>
      </c>
      <c r="F263"/>
    </row>
    <row r="264" spans="1:6" x14ac:dyDescent="0.2">
      <c r="A264" s="3" t="s">
        <v>56</v>
      </c>
      <c r="B264" s="3" t="s">
        <v>55</v>
      </c>
      <c r="C264" s="4">
        <v>2855638.7</v>
      </c>
      <c r="D264" s="6">
        <v>107846556.95</v>
      </c>
      <c r="E264" s="7">
        <f>TuitionRates[[#This Row],[2022-23
Cyber Charter School Expenditures]]/D264</f>
        <v>2.6478719217006955E-2</v>
      </c>
      <c r="F264"/>
    </row>
    <row r="265" spans="1:6" x14ac:dyDescent="0.2">
      <c r="A265" s="3" t="s">
        <v>293</v>
      </c>
      <c r="B265" s="3" t="s">
        <v>291</v>
      </c>
      <c r="C265" s="4">
        <v>793553.67</v>
      </c>
      <c r="D265" s="6">
        <v>30084067.989999998</v>
      </c>
      <c r="E265" s="7">
        <f>TuitionRates[[#This Row],[2022-23
Cyber Charter School Expenditures]]/D265</f>
        <v>2.6377871179648273E-2</v>
      </c>
      <c r="F265"/>
    </row>
    <row r="266" spans="1:6" x14ac:dyDescent="0.2">
      <c r="A266" s="3" t="s">
        <v>563</v>
      </c>
      <c r="B266" s="3" t="s">
        <v>554</v>
      </c>
      <c r="C266" s="4">
        <v>2229708.35</v>
      </c>
      <c r="D266" s="6">
        <v>84587414.290000007</v>
      </c>
      <c r="E266" s="7">
        <f>TuitionRates[[#This Row],[2022-23
Cyber Charter School Expenditures]]/D266</f>
        <v>2.6359812138903482E-2</v>
      </c>
      <c r="F266"/>
    </row>
    <row r="267" spans="1:6" x14ac:dyDescent="0.2">
      <c r="A267" s="3" t="s">
        <v>109</v>
      </c>
      <c r="B267" s="3" t="s">
        <v>108</v>
      </c>
      <c r="C267" s="4">
        <v>496309.11</v>
      </c>
      <c r="D267" s="6">
        <v>18844644.210000001</v>
      </c>
      <c r="E267" s="7">
        <f>TuitionRates[[#This Row],[2022-23
Cyber Charter School Expenditures]]/D267</f>
        <v>2.6336878768803244E-2</v>
      </c>
      <c r="F267"/>
    </row>
    <row r="268" spans="1:6" x14ac:dyDescent="0.2">
      <c r="A268" s="3" t="s">
        <v>285</v>
      </c>
      <c r="B268" s="3" t="s">
        <v>286</v>
      </c>
      <c r="C268" s="4">
        <v>944262.98</v>
      </c>
      <c r="D268" s="6">
        <v>35941329.060000002</v>
      </c>
      <c r="E268" s="7">
        <f>TuitionRates[[#This Row],[2022-23
Cyber Charter School Expenditures]]/D268</f>
        <v>2.6272344531935901E-2</v>
      </c>
      <c r="F268"/>
    </row>
    <row r="269" spans="1:6" x14ac:dyDescent="0.2">
      <c r="A269" s="3" t="s">
        <v>134</v>
      </c>
      <c r="B269" s="3" t="s">
        <v>130</v>
      </c>
      <c r="C269" s="4">
        <v>601889.82999999996</v>
      </c>
      <c r="D269" s="6">
        <v>22960230.390000001</v>
      </c>
      <c r="E269" s="7">
        <f>TuitionRates[[#This Row],[2022-23
Cyber Charter School Expenditures]]/D269</f>
        <v>2.6214450803688123E-2</v>
      </c>
      <c r="F269"/>
    </row>
    <row r="270" spans="1:6" x14ac:dyDescent="0.2">
      <c r="A270" s="3" t="s">
        <v>161</v>
      </c>
      <c r="B270" s="3" t="s">
        <v>159</v>
      </c>
      <c r="C270" s="4">
        <v>798851.41</v>
      </c>
      <c r="D270" s="6">
        <v>30487113.390000001</v>
      </c>
      <c r="E270" s="7">
        <f>TuitionRates[[#This Row],[2022-23
Cyber Charter School Expenditures]]/D270</f>
        <v>2.6202920551410068E-2</v>
      </c>
      <c r="F270"/>
    </row>
    <row r="271" spans="1:6" x14ac:dyDescent="0.2">
      <c r="A271" s="3" t="s">
        <v>340</v>
      </c>
      <c r="B271" s="3" t="s">
        <v>333</v>
      </c>
      <c r="C271" s="4">
        <v>625631.73</v>
      </c>
      <c r="D271" s="6">
        <v>23949970</v>
      </c>
      <c r="E271" s="7">
        <f>TuitionRates[[#This Row],[2022-23
Cyber Charter School Expenditures]]/D271</f>
        <v>2.6122443159636525E-2</v>
      </c>
      <c r="F271"/>
    </row>
    <row r="272" spans="1:6" x14ac:dyDescent="0.2">
      <c r="A272" s="3" t="s">
        <v>381</v>
      </c>
      <c r="B272" s="3" t="s">
        <v>380</v>
      </c>
      <c r="C272" s="4">
        <v>569794.56999999995</v>
      </c>
      <c r="D272" s="6">
        <v>21892368.550000001</v>
      </c>
      <c r="E272" s="7">
        <f>TuitionRates[[#This Row],[2022-23
Cyber Charter School Expenditures]]/D272</f>
        <v>2.6027086502707353E-2</v>
      </c>
      <c r="F272"/>
    </row>
    <row r="273" spans="1:6" x14ac:dyDescent="0.2">
      <c r="A273" s="3" t="s">
        <v>565</v>
      </c>
      <c r="B273" s="3" t="s">
        <v>554</v>
      </c>
      <c r="C273" s="4">
        <v>2203190.7000000002</v>
      </c>
      <c r="D273" s="6">
        <v>84814610.170000002</v>
      </c>
      <c r="E273" s="7">
        <f>TuitionRates[[#This Row],[2022-23
Cyber Charter School Expenditures]]/D273</f>
        <v>2.5976546913131913E-2</v>
      </c>
      <c r="F273"/>
    </row>
    <row r="274" spans="1:6" x14ac:dyDescent="0.2">
      <c r="A274" s="3" t="s">
        <v>512</v>
      </c>
      <c r="B274" s="3" t="s">
        <v>513</v>
      </c>
      <c r="C274" s="4">
        <v>2399519.54</v>
      </c>
      <c r="D274" s="6">
        <v>92446342.519999996</v>
      </c>
      <c r="E274" s="7">
        <f>TuitionRates[[#This Row],[2022-23
Cyber Charter School Expenditures]]/D274</f>
        <v>2.5955808251482571E-2</v>
      </c>
      <c r="F274"/>
    </row>
    <row r="275" spans="1:6" x14ac:dyDescent="0.2">
      <c r="A275" s="3" t="s">
        <v>307</v>
      </c>
      <c r="B275" s="3" t="s">
        <v>305</v>
      </c>
      <c r="C275" s="4">
        <v>666314.78</v>
      </c>
      <c r="D275" s="6">
        <v>26056817.940000001</v>
      </c>
      <c r="E275" s="7">
        <f>TuitionRates[[#This Row],[2022-23
Cyber Charter School Expenditures]]/D275</f>
        <v>2.5571609761955452E-2</v>
      </c>
      <c r="F275"/>
    </row>
    <row r="276" spans="1:6" x14ac:dyDescent="0.2">
      <c r="A276" s="3" t="s">
        <v>391</v>
      </c>
      <c r="B276" s="3" t="s">
        <v>386</v>
      </c>
      <c r="C276" s="4">
        <v>258926.57</v>
      </c>
      <c r="D276" s="6">
        <v>10142480.720000001</v>
      </c>
      <c r="E276" s="7">
        <f>TuitionRates[[#This Row],[2022-23
Cyber Charter School Expenditures]]/D276</f>
        <v>2.5528919122263807E-2</v>
      </c>
      <c r="F276"/>
    </row>
    <row r="277" spans="1:6" x14ac:dyDescent="0.2">
      <c r="A277" s="3" t="s">
        <v>220</v>
      </c>
      <c r="B277" s="3" t="s">
        <v>216</v>
      </c>
      <c r="C277" s="4">
        <v>1799250.2</v>
      </c>
      <c r="D277" s="6">
        <v>70603796.739999995</v>
      </c>
      <c r="E277" s="7">
        <f>TuitionRates[[#This Row],[2022-23
Cyber Charter School Expenditures]]/D277</f>
        <v>2.5483759841213323E-2</v>
      </c>
      <c r="F277"/>
    </row>
    <row r="278" spans="1:6" x14ac:dyDescent="0.2">
      <c r="A278" s="3" t="s">
        <v>6</v>
      </c>
      <c r="B278" s="3" t="s">
        <v>4</v>
      </c>
      <c r="C278" s="4">
        <v>498618.14</v>
      </c>
      <c r="D278" s="6">
        <v>19740927.98</v>
      </c>
      <c r="E278" s="7">
        <f>TuitionRates[[#This Row],[2022-23
Cyber Charter School Expenditures]]/D278</f>
        <v>2.5258090222767735E-2</v>
      </c>
      <c r="F278"/>
    </row>
    <row r="279" spans="1:6" x14ac:dyDescent="0.2">
      <c r="A279" s="3" t="s">
        <v>165</v>
      </c>
      <c r="B279" s="3" t="s">
        <v>164</v>
      </c>
      <c r="C279" s="4">
        <v>5135851.04</v>
      </c>
      <c r="D279" s="6">
        <v>203801400.37</v>
      </c>
      <c r="E279" s="7">
        <f>TuitionRates[[#This Row],[2022-23
Cyber Charter School Expenditures]]/D279</f>
        <v>2.5200273553939761E-2</v>
      </c>
      <c r="F279"/>
    </row>
    <row r="280" spans="1:6" x14ac:dyDescent="0.2">
      <c r="A280" s="3" t="s">
        <v>379</v>
      </c>
      <c r="B280" s="3" t="s">
        <v>380</v>
      </c>
      <c r="C280" s="4">
        <v>1178527.73</v>
      </c>
      <c r="D280" s="6">
        <v>46818845.280000001</v>
      </c>
      <c r="E280" s="7">
        <f>TuitionRates[[#This Row],[2022-23
Cyber Charter School Expenditures]]/D280</f>
        <v>2.5172080237174103E-2</v>
      </c>
      <c r="F280"/>
    </row>
    <row r="281" spans="1:6" x14ac:dyDescent="0.2">
      <c r="A281" s="3" t="s">
        <v>191</v>
      </c>
      <c r="B281" s="3" t="s">
        <v>185</v>
      </c>
      <c r="C281" s="4">
        <v>924834.45</v>
      </c>
      <c r="D281" s="6">
        <v>36807610.850000001</v>
      </c>
      <c r="E281" s="7">
        <f>TuitionRates[[#This Row],[2022-23
Cyber Charter School Expenditures]]/D281</f>
        <v>2.5126174414550461E-2</v>
      </c>
      <c r="F281"/>
    </row>
    <row r="282" spans="1:6" x14ac:dyDescent="0.2">
      <c r="A282" s="3" t="s">
        <v>113</v>
      </c>
      <c r="B282" s="3" t="s">
        <v>108</v>
      </c>
      <c r="C282" s="4">
        <v>678442.88</v>
      </c>
      <c r="D282" s="6">
        <v>27086555.079999998</v>
      </c>
      <c r="E282" s="7">
        <f>TuitionRates[[#This Row],[2022-23
Cyber Charter School Expenditures]]/D282</f>
        <v>2.504721910911973E-2</v>
      </c>
      <c r="F282"/>
    </row>
    <row r="283" spans="1:6" x14ac:dyDescent="0.2">
      <c r="A283" s="3" t="s">
        <v>198</v>
      </c>
      <c r="B283" s="3" t="s">
        <v>196</v>
      </c>
      <c r="C283" s="4">
        <v>734162.26</v>
      </c>
      <c r="D283" s="6">
        <v>29503234.02</v>
      </c>
      <c r="E283" s="7">
        <f>TuitionRates[[#This Row],[2022-23
Cyber Charter School Expenditures]]/D283</f>
        <v>2.4884128279032646E-2</v>
      </c>
      <c r="F283"/>
    </row>
    <row r="284" spans="1:6" x14ac:dyDescent="0.2">
      <c r="A284" s="3" t="s">
        <v>187</v>
      </c>
      <c r="B284" s="3" t="s">
        <v>185</v>
      </c>
      <c r="C284" s="4">
        <v>1607682.84</v>
      </c>
      <c r="D284" s="6">
        <v>64714986.229999997</v>
      </c>
      <c r="E284" s="7">
        <f>TuitionRates[[#This Row],[2022-23
Cyber Charter School Expenditures]]/D284</f>
        <v>2.4842512278164169E-2</v>
      </c>
      <c r="F284"/>
    </row>
    <row r="285" spans="1:6" x14ac:dyDescent="0.2">
      <c r="A285" s="3" t="s">
        <v>523</v>
      </c>
      <c r="B285" s="3" t="s">
        <v>515</v>
      </c>
      <c r="C285" s="4">
        <v>509760.65</v>
      </c>
      <c r="D285" s="6">
        <v>20688886.920000002</v>
      </c>
      <c r="E285" s="7">
        <f>TuitionRates[[#This Row],[2022-23
Cyber Charter School Expenditures]]/D285</f>
        <v>2.4639346329802452E-2</v>
      </c>
      <c r="F285"/>
    </row>
    <row r="286" spans="1:6" x14ac:dyDescent="0.2">
      <c r="A286" s="3" t="s">
        <v>79</v>
      </c>
      <c r="B286" s="3" t="s">
        <v>75</v>
      </c>
      <c r="C286" s="4">
        <v>470378.63</v>
      </c>
      <c r="D286" s="6">
        <v>19158803.77</v>
      </c>
      <c r="E286" s="7">
        <f>TuitionRates[[#This Row],[2022-23
Cyber Charter School Expenditures]]/D286</f>
        <v>2.4551565726485855E-2</v>
      </c>
      <c r="F286"/>
    </row>
    <row r="287" spans="1:6" x14ac:dyDescent="0.2">
      <c r="A287" s="3" t="s">
        <v>217</v>
      </c>
      <c r="B287" s="3" t="s">
        <v>216</v>
      </c>
      <c r="C287" s="4">
        <v>1710083.82</v>
      </c>
      <c r="D287" s="6">
        <v>69698009.969999999</v>
      </c>
      <c r="E287" s="7">
        <f>TuitionRates[[#This Row],[2022-23
Cyber Charter School Expenditures]]/D287</f>
        <v>2.4535619033256025E-2</v>
      </c>
      <c r="F287"/>
    </row>
    <row r="288" spans="1:6" x14ac:dyDescent="0.2">
      <c r="A288" s="3" t="s">
        <v>348</v>
      </c>
      <c r="B288" s="3" t="s">
        <v>349</v>
      </c>
      <c r="C288" s="4">
        <v>10071970</v>
      </c>
      <c r="D288" s="6">
        <v>410594030</v>
      </c>
      <c r="E288" s="7">
        <f>TuitionRates[[#This Row],[2022-23
Cyber Charter School Expenditures]]/D288</f>
        <v>2.4530239760183557E-2</v>
      </c>
      <c r="F288"/>
    </row>
    <row r="289" spans="1:6" x14ac:dyDescent="0.2">
      <c r="A289" s="3" t="s">
        <v>254</v>
      </c>
      <c r="B289" s="3" t="s">
        <v>247</v>
      </c>
      <c r="C289" s="4">
        <v>814276.65</v>
      </c>
      <c r="D289" s="6">
        <v>33203499.66</v>
      </c>
      <c r="E289" s="7">
        <f>TuitionRates[[#This Row],[2022-23
Cyber Charter School Expenditures]]/D289</f>
        <v>2.452382002915653E-2</v>
      </c>
      <c r="F289"/>
    </row>
    <row r="290" spans="1:6" x14ac:dyDescent="0.2">
      <c r="A290" s="3" t="s">
        <v>80</v>
      </c>
      <c r="B290" s="3" t="s">
        <v>81</v>
      </c>
      <c r="C290" s="4">
        <v>565030.57999999996</v>
      </c>
      <c r="D290" s="6">
        <v>23040132.82</v>
      </c>
      <c r="E290" s="7">
        <f>TuitionRates[[#This Row],[2022-23
Cyber Charter School Expenditures]]/D290</f>
        <v>2.4523755327900056E-2</v>
      </c>
      <c r="F290"/>
    </row>
    <row r="291" spans="1:6" x14ac:dyDescent="0.2">
      <c r="A291" s="3" t="s">
        <v>441</v>
      </c>
      <c r="B291" s="3" t="s">
        <v>440</v>
      </c>
      <c r="C291" s="4">
        <v>934495.75</v>
      </c>
      <c r="D291" s="6">
        <v>38151401.380000003</v>
      </c>
      <c r="E291" s="7">
        <f>TuitionRates[[#This Row],[2022-23
Cyber Charter School Expenditures]]/D291</f>
        <v>2.4494401678515746E-2</v>
      </c>
      <c r="F291"/>
    </row>
    <row r="292" spans="1:6" x14ac:dyDescent="0.2">
      <c r="A292" s="3" t="s">
        <v>432</v>
      </c>
      <c r="B292" s="3" t="s">
        <v>431</v>
      </c>
      <c r="C292" s="4">
        <v>7876020.3099999996</v>
      </c>
      <c r="D292" s="6">
        <v>321560066.41000003</v>
      </c>
      <c r="E292" s="7">
        <f>TuitionRates[[#This Row],[2022-23
Cyber Charter School Expenditures]]/D292</f>
        <v>2.4493154258644186E-2</v>
      </c>
      <c r="F292"/>
    </row>
    <row r="293" spans="1:6" x14ac:dyDescent="0.2">
      <c r="A293" s="3" t="s">
        <v>564</v>
      </c>
      <c r="B293" s="3" t="s">
        <v>554</v>
      </c>
      <c r="C293" s="4">
        <v>1474329.19</v>
      </c>
      <c r="D293" s="6">
        <v>60270637.979999997</v>
      </c>
      <c r="E293" s="7">
        <f>TuitionRates[[#This Row],[2022-23
Cyber Charter School Expenditures]]/D293</f>
        <v>2.4461814897151685E-2</v>
      </c>
      <c r="F293"/>
    </row>
    <row r="294" spans="1:6" x14ac:dyDescent="0.2">
      <c r="A294" s="3" t="s">
        <v>489</v>
      </c>
      <c r="B294" s="3" t="s">
        <v>479</v>
      </c>
      <c r="C294" s="4">
        <v>527068.21</v>
      </c>
      <c r="D294" s="6">
        <v>21674558.690000001</v>
      </c>
      <c r="E294" s="7">
        <f>TuitionRates[[#This Row],[2022-23
Cyber Charter School Expenditures]]/D294</f>
        <v>2.431736754313589E-2</v>
      </c>
      <c r="F294"/>
    </row>
    <row r="295" spans="1:6" x14ac:dyDescent="0.2">
      <c r="A295" s="3" t="s">
        <v>315</v>
      </c>
      <c r="B295" s="3" t="s">
        <v>316</v>
      </c>
      <c r="C295" s="4">
        <v>1656153.24</v>
      </c>
      <c r="D295" s="6">
        <v>68379982.540000007</v>
      </c>
      <c r="E295" s="7">
        <f>TuitionRates[[#This Row],[2022-23
Cyber Charter School Expenditures]]/D295</f>
        <v>2.4219854677956457E-2</v>
      </c>
      <c r="F295"/>
    </row>
    <row r="296" spans="1:6" x14ac:dyDescent="0.2">
      <c r="A296" s="3" t="s">
        <v>537</v>
      </c>
      <c r="B296" s="3" t="s">
        <v>533</v>
      </c>
      <c r="C296" s="4">
        <v>1623371.08</v>
      </c>
      <c r="D296" s="6">
        <v>67253897.599999994</v>
      </c>
      <c r="E296" s="7">
        <f>TuitionRates[[#This Row],[2022-23
Cyber Charter School Expenditures]]/D296</f>
        <v>2.4137947954409711E-2</v>
      </c>
      <c r="F296"/>
    </row>
    <row r="297" spans="1:6" x14ac:dyDescent="0.2">
      <c r="A297" s="3" t="s">
        <v>473</v>
      </c>
      <c r="B297" s="3" t="s">
        <v>463</v>
      </c>
      <c r="C297" s="4">
        <v>365064.94</v>
      </c>
      <c r="D297" s="6">
        <v>15174901.18</v>
      </c>
      <c r="E297" s="7">
        <f>TuitionRates[[#This Row],[2022-23
Cyber Charter School Expenditures]]/D297</f>
        <v>2.4057154354398241E-2</v>
      </c>
      <c r="F297"/>
    </row>
    <row r="298" spans="1:6" x14ac:dyDescent="0.2">
      <c r="A298" s="3" t="s">
        <v>239</v>
      </c>
      <c r="B298" s="3" t="s">
        <v>227</v>
      </c>
      <c r="C298" s="4">
        <v>5786101.7300000004</v>
      </c>
      <c r="D298" s="6">
        <v>240557304.87</v>
      </c>
      <c r="E298" s="7">
        <f>TuitionRates[[#This Row],[2022-23
Cyber Charter School Expenditures]]/D298</f>
        <v>2.4052903873057932E-2</v>
      </c>
      <c r="F298"/>
    </row>
    <row r="299" spans="1:6" x14ac:dyDescent="0.2">
      <c r="A299" s="3" t="s">
        <v>69</v>
      </c>
      <c r="B299" s="3" t="s">
        <v>60</v>
      </c>
      <c r="C299" s="4">
        <v>733975.37</v>
      </c>
      <c r="D299" s="6">
        <v>30643469.109999999</v>
      </c>
      <c r="E299" s="7">
        <f>TuitionRates[[#This Row],[2022-23
Cyber Charter School Expenditures]]/D299</f>
        <v>2.3952097830871214E-2</v>
      </c>
      <c r="F299"/>
    </row>
    <row r="300" spans="1:6" x14ac:dyDescent="0.2">
      <c r="A300" s="3" t="s">
        <v>140</v>
      </c>
      <c r="B300" s="3" t="s">
        <v>138</v>
      </c>
      <c r="C300" s="4">
        <v>714471.88</v>
      </c>
      <c r="D300" s="6">
        <v>29933630.149999999</v>
      </c>
      <c r="E300" s="7">
        <f>TuitionRates[[#This Row],[2022-23
Cyber Charter School Expenditures]]/D300</f>
        <v>2.3868534368191224E-2</v>
      </c>
      <c r="F300"/>
    </row>
    <row r="301" spans="1:6" x14ac:dyDescent="0.2">
      <c r="A301" s="3" t="s">
        <v>408</v>
      </c>
      <c r="B301" s="3" t="s">
        <v>406</v>
      </c>
      <c r="C301" s="4">
        <v>3140473.75</v>
      </c>
      <c r="D301" s="6">
        <v>131960194.70999999</v>
      </c>
      <c r="E301" s="7">
        <f>TuitionRates[[#This Row],[2022-23
Cyber Charter School Expenditures]]/D301</f>
        <v>2.379864440865374E-2</v>
      </c>
      <c r="F301"/>
    </row>
    <row r="302" spans="1:6" x14ac:dyDescent="0.2">
      <c r="A302" s="3" t="s">
        <v>110</v>
      </c>
      <c r="B302" s="3" t="s">
        <v>108</v>
      </c>
      <c r="C302" s="4">
        <v>371288.1</v>
      </c>
      <c r="D302" s="6">
        <v>15626680.939999999</v>
      </c>
      <c r="E302" s="7">
        <f>TuitionRates[[#This Row],[2022-23
Cyber Charter School Expenditures]]/D302</f>
        <v>2.3759882308059716E-2</v>
      </c>
      <c r="F302"/>
    </row>
    <row r="303" spans="1:6" x14ac:dyDescent="0.2">
      <c r="A303" s="3" t="s">
        <v>320</v>
      </c>
      <c r="B303" s="3" t="s">
        <v>316</v>
      </c>
      <c r="C303" s="4">
        <v>1601513.96</v>
      </c>
      <c r="D303" s="6">
        <v>67751191.219999999</v>
      </c>
      <c r="E303" s="7">
        <f>TuitionRates[[#This Row],[2022-23
Cyber Charter School Expenditures]]/D303</f>
        <v>2.3638166815393744E-2</v>
      </c>
      <c r="F303"/>
    </row>
    <row r="304" spans="1:6" x14ac:dyDescent="0.2">
      <c r="A304" s="3" t="s">
        <v>51</v>
      </c>
      <c r="B304" s="3" t="s">
        <v>11</v>
      </c>
      <c r="C304" s="4">
        <v>1442591.45</v>
      </c>
      <c r="D304" s="6">
        <v>61047895.079999998</v>
      </c>
      <c r="E304" s="7">
        <f>TuitionRates[[#This Row],[2022-23
Cyber Charter School Expenditures]]/D304</f>
        <v>2.3630486327326457E-2</v>
      </c>
      <c r="F304"/>
    </row>
    <row r="305" spans="1:6" x14ac:dyDescent="0.2">
      <c r="A305" s="3" t="s">
        <v>65</v>
      </c>
      <c r="B305" s="3" t="s">
        <v>60</v>
      </c>
      <c r="C305" s="4">
        <v>1009006.87</v>
      </c>
      <c r="D305" s="6">
        <v>42870253.659999996</v>
      </c>
      <c r="E305" s="7">
        <f>TuitionRates[[#This Row],[2022-23
Cyber Charter School Expenditures]]/D305</f>
        <v>2.353629344025673E-2</v>
      </c>
      <c r="F305"/>
    </row>
    <row r="306" spans="1:6" x14ac:dyDescent="0.2">
      <c r="A306" s="3" t="s">
        <v>397</v>
      </c>
      <c r="B306" s="3" t="s">
        <v>386</v>
      </c>
      <c r="C306" s="4">
        <v>409415.25</v>
      </c>
      <c r="D306" s="6">
        <v>17486861.309999999</v>
      </c>
      <c r="E306" s="7">
        <f>TuitionRates[[#This Row],[2022-23
Cyber Charter School Expenditures]]/D306</f>
        <v>2.3412735009562449E-2</v>
      </c>
      <c r="F306"/>
    </row>
    <row r="307" spans="1:6" x14ac:dyDescent="0.2">
      <c r="A307" s="3" t="s">
        <v>101</v>
      </c>
      <c r="B307" s="3" t="s">
        <v>100</v>
      </c>
      <c r="C307" s="4">
        <v>515636.7</v>
      </c>
      <c r="D307" s="6">
        <v>22039462.16</v>
      </c>
      <c r="E307" s="7">
        <f>TuitionRates[[#This Row],[2022-23
Cyber Charter School Expenditures]]/D307</f>
        <v>2.339606548728955E-2</v>
      </c>
      <c r="F307"/>
    </row>
    <row r="308" spans="1:6" x14ac:dyDescent="0.2">
      <c r="A308" s="3" t="s">
        <v>350</v>
      </c>
      <c r="B308" s="3" t="s">
        <v>349</v>
      </c>
      <c r="C308" s="4">
        <v>889776.15</v>
      </c>
      <c r="D308" s="6">
        <v>38366679.43</v>
      </c>
      <c r="E308" s="7">
        <f>TuitionRates[[#This Row],[2022-23
Cyber Charter School Expenditures]]/D308</f>
        <v>2.3191377602103838E-2</v>
      </c>
      <c r="F308"/>
    </row>
    <row r="309" spans="1:6" x14ac:dyDescent="0.2">
      <c r="A309" s="3" t="s">
        <v>480</v>
      </c>
      <c r="B309" s="3" t="s">
        <v>479</v>
      </c>
      <c r="C309" s="4">
        <v>412358.26</v>
      </c>
      <c r="D309" s="6">
        <v>17793642.120000001</v>
      </c>
      <c r="E309" s="7">
        <f>TuitionRates[[#This Row],[2022-23
Cyber Charter School Expenditures]]/D309</f>
        <v>2.3174471938856776E-2</v>
      </c>
      <c r="F309"/>
    </row>
    <row r="310" spans="1:6" x14ac:dyDescent="0.2">
      <c r="A310" s="3" t="s">
        <v>282</v>
      </c>
      <c r="B310" s="3" t="s">
        <v>280</v>
      </c>
      <c r="C310" s="4">
        <v>370489.36</v>
      </c>
      <c r="D310" s="6">
        <v>16060416.68</v>
      </c>
      <c r="E310" s="7">
        <f>TuitionRates[[#This Row],[2022-23
Cyber Charter School Expenditures]]/D310</f>
        <v>2.3068477448743255E-2</v>
      </c>
      <c r="F310"/>
    </row>
    <row r="311" spans="1:6" x14ac:dyDescent="0.2">
      <c r="A311" s="3" t="s">
        <v>562</v>
      </c>
      <c r="B311" s="3" t="s">
        <v>554</v>
      </c>
      <c r="C311" s="4">
        <v>1329379.01</v>
      </c>
      <c r="D311" s="6">
        <v>57901800.200000003</v>
      </c>
      <c r="E311" s="7">
        <f>TuitionRates[[#This Row],[2022-23
Cyber Charter School Expenditures]]/D311</f>
        <v>2.2959199980107009E-2</v>
      </c>
      <c r="F311"/>
    </row>
    <row r="312" spans="1:6" x14ac:dyDescent="0.2">
      <c r="A312" s="3" t="s">
        <v>415</v>
      </c>
      <c r="B312" s="3" t="s">
        <v>406</v>
      </c>
      <c r="C312" s="4">
        <v>4167907.94</v>
      </c>
      <c r="D312" s="6">
        <v>182754584.46000001</v>
      </c>
      <c r="E312" s="7">
        <f>TuitionRates[[#This Row],[2022-23
Cyber Charter School Expenditures]]/D312</f>
        <v>2.2806037683351474E-2</v>
      </c>
      <c r="F312"/>
    </row>
    <row r="313" spans="1:6" x14ac:dyDescent="0.2">
      <c r="A313" s="3" t="s">
        <v>133</v>
      </c>
      <c r="B313" s="3" t="s">
        <v>130</v>
      </c>
      <c r="C313" s="4">
        <v>1261761.3999999999</v>
      </c>
      <c r="D313" s="6">
        <v>55384299.240000002</v>
      </c>
      <c r="E313" s="7">
        <f>TuitionRates[[#This Row],[2022-23
Cyber Charter School Expenditures]]/D313</f>
        <v>2.278193309862667E-2</v>
      </c>
      <c r="F313"/>
    </row>
    <row r="314" spans="1:6" x14ac:dyDescent="0.2">
      <c r="A314" s="3" t="s">
        <v>9</v>
      </c>
      <c r="B314" s="3" t="s">
        <v>4</v>
      </c>
      <c r="C314" s="4">
        <v>795518.94</v>
      </c>
      <c r="D314" s="6">
        <v>35005417.450000003</v>
      </c>
      <c r="E314" s="7">
        <f>TuitionRates[[#This Row],[2022-23
Cyber Charter School Expenditures]]/D314</f>
        <v>2.2725595006438063E-2</v>
      </c>
      <c r="F314"/>
    </row>
    <row r="315" spans="1:6" x14ac:dyDescent="0.2">
      <c r="A315" s="3" t="s">
        <v>312</v>
      </c>
      <c r="B315" s="3" t="s">
        <v>305</v>
      </c>
      <c r="C315" s="4">
        <v>709566.85</v>
      </c>
      <c r="D315" s="6">
        <v>31247441.5</v>
      </c>
      <c r="E315" s="7">
        <f>TuitionRates[[#This Row],[2022-23
Cyber Charter School Expenditures]]/D315</f>
        <v>2.2707998349240848E-2</v>
      </c>
      <c r="F315"/>
    </row>
    <row r="316" spans="1:6" x14ac:dyDescent="0.2">
      <c r="A316" s="3" t="s">
        <v>383</v>
      </c>
      <c r="B316" s="3" t="s">
        <v>380</v>
      </c>
      <c r="C316" s="4">
        <v>386876.29</v>
      </c>
      <c r="D316" s="6">
        <v>17177840.140000001</v>
      </c>
      <c r="E316" s="7">
        <f>TuitionRates[[#This Row],[2022-23
Cyber Charter School Expenditures]]/D316</f>
        <v>2.2521823864172948E-2</v>
      </c>
      <c r="F316"/>
    </row>
    <row r="317" spans="1:6" x14ac:dyDescent="0.2">
      <c r="A317" s="3" t="s">
        <v>25</v>
      </c>
      <c r="B317" s="3" t="s">
        <v>11</v>
      </c>
      <c r="C317" s="4">
        <v>1883002.33</v>
      </c>
      <c r="D317" s="6">
        <v>83707392.519999996</v>
      </c>
      <c r="E317" s="7">
        <f>TuitionRates[[#This Row],[2022-23
Cyber Charter School Expenditures]]/D317</f>
        <v>2.2495054179953091E-2</v>
      </c>
      <c r="F317"/>
    </row>
    <row r="318" spans="1:6" x14ac:dyDescent="0.2">
      <c r="A318" s="3" t="s">
        <v>208</v>
      </c>
      <c r="B318" s="3" t="s">
        <v>207</v>
      </c>
      <c r="C318" s="4">
        <v>620320.66</v>
      </c>
      <c r="D318" s="6">
        <v>27630183.539999999</v>
      </c>
      <c r="E318" s="7">
        <f>TuitionRates[[#This Row],[2022-23
Cyber Charter School Expenditures]]/D318</f>
        <v>2.2450833853563321E-2</v>
      </c>
      <c r="F318"/>
    </row>
    <row r="319" spans="1:6" x14ac:dyDescent="0.2">
      <c r="A319" s="3" t="s">
        <v>373</v>
      </c>
      <c r="B319" s="3" t="s">
        <v>371</v>
      </c>
      <c r="C319" s="4">
        <v>629256.95999999996</v>
      </c>
      <c r="D319" s="6">
        <v>28148832.510000002</v>
      </c>
      <c r="E319" s="7">
        <f>TuitionRates[[#This Row],[2022-23
Cyber Charter School Expenditures]]/D319</f>
        <v>2.2354637968606816E-2</v>
      </c>
      <c r="F319"/>
    </row>
    <row r="320" spans="1:6" x14ac:dyDescent="0.2">
      <c r="A320" s="3" t="s">
        <v>7</v>
      </c>
      <c r="B320" s="3" t="s">
        <v>4</v>
      </c>
      <c r="C320" s="4">
        <v>1602666.07</v>
      </c>
      <c r="D320" s="6">
        <v>72057280.760000005</v>
      </c>
      <c r="E320" s="7">
        <f>TuitionRates[[#This Row],[2022-23
Cyber Charter School Expenditures]]/D320</f>
        <v>2.2241556343736778E-2</v>
      </c>
      <c r="F320"/>
    </row>
    <row r="321" spans="1:6" x14ac:dyDescent="0.2">
      <c r="A321" s="3" t="s">
        <v>29</v>
      </c>
      <c r="B321" s="3" t="s">
        <v>11</v>
      </c>
      <c r="C321" s="4">
        <v>1724698</v>
      </c>
      <c r="D321" s="6">
        <v>77669099</v>
      </c>
      <c r="E321" s="7">
        <f>TuitionRates[[#This Row],[2022-23
Cyber Charter School Expenditures]]/D321</f>
        <v>2.2205716587493825E-2</v>
      </c>
      <c r="F321"/>
    </row>
    <row r="322" spans="1:6" x14ac:dyDescent="0.2">
      <c r="A322" s="3" t="s">
        <v>92</v>
      </c>
      <c r="B322" s="3" t="s">
        <v>81</v>
      </c>
      <c r="C322" s="4">
        <v>833617.44</v>
      </c>
      <c r="D322" s="6">
        <v>37583393.450000003</v>
      </c>
      <c r="E322" s="7">
        <f>TuitionRates[[#This Row],[2022-23
Cyber Charter School Expenditures]]/D322</f>
        <v>2.2180472902454205E-2</v>
      </c>
      <c r="F322"/>
    </row>
    <row r="323" spans="1:6" x14ac:dyDescent="0.2">
      <c r="A323" s="3" t="s">
        <v>506</v>
      </c>
      <c r="B323" s="3" t="s">
        <v>507</v>
      </c>
      <c r="C323" s="4">
        <v>565054.19999999995</v>
      </c>
      <c r="D323" s="6">
        <v>25808237.84</v>
      </c>
      <c r="E323" s="7">
        <f>TuitionRates[[#This Row],[2022-23
Cyber Charter School Expenditures]]/D323</f>
        <v>2.1894334805153823E-2</v>
      </c>
      <c r="F323"/>
    </row>
    <row r="324" spans="1:6" x14ac:dyDescent="0.2">
      <c r="A324" s="3" t="s">
        <v>16</v>
      </c>
      <c r="B324" s="3" t="s">
        <v>11</v>
      </c>
      <c r="C324" s="4">
        <v>761845.07</v>
      </c>
      <c r="D324" s="6">
        <v>34804610.520000003</v>
      </c>
      <c r="E324" s="7">
        <f>TuitionRates[[#This Row],[2022-23
Cyber Charter School Expenditures]]/D324</f>
        <v>2.1889199695604003E-2</v>
      </c>
      <c r="F324"/>
    </row>
    <row r="325" spans="1:6" x14ac:dyDescent="0.2">
      <c r="A325" s="3" t="s">
        <v>169</v>
      </c>
      <c r="B325" s="3" t="s">
        <v>164</v>
      </c>
      <c r="C325" s="4">
        <v>1281461.3400000001</v>
      </c>
      <c r="D325" s="6">
        <v>58621807.869999997</v>
      </c>
      <c r="E325" s="7">
        <f>TuitionRates[[#This Row],[2022-23
Cyber Charter School Expenditures]]/D325</f>
        <v>2.1859805873639636E-2</v>
      </c>
      <c r="F325"/>
    </row>
    <row r="326" spans="1:6" x14ac:dyDescent="0.2">
      <c r="A326" s="3" t="s">
        <v>105</v>
      </c>
      <c r="B326" s="3" t="s">
        <v>100</v>
      </c>
      <c r="C326" s="4">
        <v>639380.76</v>
      </c>
      <c r="D326" s="6">
        <v>29258845.440000001</v>
      </c>
      <c r="E326" s="7">
        <f>TuitionRates[[#This Row],[2022-23
Cyber Charter School Expenditures]]/D326</f>
        <v>2.185256288773095E-2</v>
      </c>
      <c r="F326"/>
    </row>
    <row r="327" spans="1:6" x14ac:dyDescent="0.2">
      <c r="A327" s="3" t="s">
        <v>112</v>
      </c>
      <c r="B327" s="3" t="s">
        <v>108</v>
      </c>
      <c r="C327" s="4">
        <v>658894.57999999996</v>
      </c>
      <c r="D327" s="6">
        <v>30207121.280000001</v>
      </c>
      <c r="E327" s="7">
        <f>TuitionRates[[#This Row],[2022-23
Cyber Charter School Expenditures]]/D327</f>
        <v>2.1812557836693003E-2</v>
      </c>
      <c r="F327"/>
    </row>
    <row r="328" spans="1:6" x14ac:dyDescent="0.2">
      <c r="A328" s="3" t="s">
        <v>435</v>
      </c>
      <c r="B328" s="3" t="s">
        <v>431</v>
      </c>
      <c r="C328" s="4">
        <v>2722982.43</v>
      </c>
      <c r="D328" s="6">
        <v>124842673.81</v>
      </c>
      <c r="E328" s="7">
        <f>TuitionRates[[#This Row],[2022-23
Cyber Charter School Expenditures]]/D328</f>
        <v>2.1811311364126576E-2</v>
      </c>
      <c r="F328"/>
    </row>
    <row r="329" spans="1:6" x14ac:dyDescent="0.2">
      <c r="A329" s="3" t="s">
        <v>358</v>
      </c>
      <c r="B329" s="3" t="s">
        <v>359</v>
      </c>
      <c r="C329" s="4">
        <v>1025968.15</v>
      </c>
      <c r="D329" s="6">
        <v>47178198.729999997</v>
      </c>
      <c r="E329" s="7">
        <f>TuitionRates[[#This Row],[2022-23
Cyber Charter School Expenditures]]/D329</f>
        <v>2.1746657939858995E-2</v>
      </c>
      <c r="F329"/>
    </row>
    <row r="330" spans="1:6" x14ac:dyDescent="0.2">
      <c r="A330" s="3" t="s">
        <v>146</v>
      </c>
      <c r="B330" s="3" t="s">
        <v>138</v>
      </c>
      <c r="C330" s="4">
        <v>581031.16</v>
      </c>
      <c r="D330" s="6">
        <v>26757914.190000001</v>
      </c>
      <c r="E330" s="7">
        <f>TuitionRates[[#This Row],[2022-23
Cyber Charter School Expenditures]]/D330</f>
        <v>2.1714366668278789E-2</v>
      </c>
      <c r="F330"/>
    </row>
    <row r="331" spans="1:6" x14ac:dyDescent="0.2">
      <c r="A331" s="3" t="s">
        <v>558</v>
      </c>
      <c r="B331" s="3" t="s">
        <v>554</v>
      </c>
      <c r="C331" s="4">
        <v>1006337</v>
      </c>
      <c r="D331" s="6">
        <v>46488302</v>
      </c>
      <c r="E331" s="7">
        <f>TuitionRates[[#This Row],[2022-23
Cyber Charter School Expenditures]]/D331</f>
        <v>2.1647101673018729E-2</v>
      </c>
      <c r="F331"/>
    </row>
    <row r="332" spans="1:6" x14ac:dyDescent="0.2">
      <c r="A332" s="3" t="s">
        <v>511</v>
      </c>
      <c r="B332" s="3" t="s">
        <v>507</v>
      </c>
      <c r="C332" s="4">
        <v>352597.73</v>
      </c>
      <c r="D332" s="6">
        <v>16345451.98</v>
      </c>
      <c r="E332" s="7">
        <f>TuitionRates[[#This Row],[2022-23
Cyber Charter School Expenditures]]/D332</f>
        <v>2.1571610894053721E-2</v>
      </c>
      <c r="F332"/>
    </row>
    <row r="333" spans="1:6" x14ac:dyDescent="0.2">
      <c r="A333" s="3" t="s">
        <v>374</v>
      </c>
      <c r="B333" s="3" t="s">
        <v>371</v>
      </c>
      <c r="C333" s="4">
        <v>432420.35</v>
      </c>
      <c r="D333" s="6">
        <v>20046164.84</v>
      </c>
      <c r="E333" s="7">
        <f>TuitionRates[[#This Row],[2022-23
Cyber Charter School Expenditures]]/D333</f>
        <v>2.1571225890408271E-2</v>
      </c>
      <c r="F333"/>
    </row>
    <row r="334" spans="1:6" x14ac:dyDescent="0.2">
      <c r="A334" s="3" t="s">
        <v>553</v>
      </c>
      <c r="B334" s="3" t="s">
        <v>554</v>
      </c>
      <c r="C334" s="4">
        <v>2255965.2599999998</v>
      </c>
      <c r="D334" s="6">
        <v>105202812.42</v>
      </c>
      <c r="E334" s="7">
        <f>TuitionRates[[#This Row],[2022-23
Cyber Charter School Expenditures]]/D334</f>
        <v>2.1443963408445156E-2</v>
      </c>
      <c r="F334"/>
    </row>
    <row r="335" spans="1:6" x14ac:dyDescent="0.2">
      <c r="A335" s="3" t="s">
        <v>345</v>
      </c>
      <c r="B335" s="3" t="s">
        <v>342</v>
      </c>
      <c r="C335" s="4">
        <v>2381688.7999999998</v>
      </c>
      <c r="D335" s="6">
        <v>112049712.94</v>
      </c>
      <c r="E335" s="7">
        <f>TuitionRates[[#This Row],[2022-23
Cyber Charter School Expenditures]]/D335</f>
        <v>2.1255643923651448E-2</v>
      </c>
      <c r="F335"/>
    </row>
    <row r="336" spans="1:6" x14ac:dyDescent="0.2">
      <c r="A336" s="3" t="s">
        <v>192</v>
      </c>
      <c r="B336" s="3" t="s">
        <v>185</v>
      </c>
      <c r="C336" s="4">
        <v>417512.37</v>
      </c>
      <c r="D336" s="6">
        <v>19881556.600000001</v>
      </c>
      <c r="E336" s="7">
        <f>TuitionRates[[#This Row],[2022-23
Cyber Charter School Expenditures]]/D336</f>
        <v>2.0999983975097804E-2</v>
      </c>
      <c r="F336"/>
    </row>
    <row r="337" spans="1:6" x14ac:dyDescent="0.2">
      <c r="A337" s="3" t="s">
        <v>453</v>
      </c>
      <c r="B337" s="3" t="s">
        <v>454</v>
      </c>
      <c r="C337" s="4">
        <v>2032880.63</v>
      </c>
      <c r="D337" s="6">
        <v>96805484.450000003</v>
      </c>
      <c r="E337" s="7">
        <f>TuitionRates[[#This Row],[2022-23
Cyber Charter School Expenditures]]/D337</f>
        <v>2.0999643166395E-2</v>
      </c>
      <c r="F337"/>
    </row>
    <row r="338" spans="1:6" x14ac:dyDescent="0.2">
      <c r="A338" s="3" t="s">
        <v>304</v>
      </c>
      <c r="B338" s="3" t="s">
        <v>305</v>
      </c>
      <c r="C338" s="4">
        <v>1168645.3</v>
      </c>
      <c r="D338" s="6">
        <v>55653850.659999996</v>
      </c>
      <c r="E338" s="7">
        <f>TuitionRates[[#This Row],[2022-23
Cyber Charter School Expenditures]]/D338</f>
        <v>2.0998462570711907E-2</v>
      </c>
      <c r="F338"/>
    </row>
    <row r="339" spans="1:6" x14ac:dyDescent="0.2">
      <c r="A339" s="3" t="s">
        <v>330</v>
      </c>
      <c r="B339" s="3" t="s">
        <v>316</v>
      </c>
      <c r="C339" s="4">
        <v>1562068.06</v>
      </c>
      <c r="D339" s="6">
        <v>74430676.609999999</v>
      </c>
      <c r="E339" s="7">
        <f>TuitionRates[[#This Row],[2022-23
Cyber Charter School Expenditures]]/D339</f>
        <v>2.0986885127820151E-2</v>
      </c>
      <c r="F339"/>
    </row>
    <row r="340" spans="1:6" x14ac:dyDescent="0.2">
      <c r="A340" s="3" t="s">
        <v>160</v>
      </c>
      <c r="B340" s="3" t="s">
        <v>159</v>
      </c>
      <c r="C340" s="4">
        <v>1207270.9099999999</v>
      </c>
      <c r="D340" s="6">
        <v>57567279.18</v>
      </c>
      <c r="E340" s="7">
        <f>TuitionRates[[#This Row],[2022-23
Cyber Charter School Expenditures]]/D340</f>
        <v>2.0971477672674679E-2</v>
      </c>
      <c r="F340"/>
    </row>
    <row r="341" spans="1:6" x14ac:dyDescent="0.2">
      <c r="A341" s="3" t="s">
        <v>357</v>
      </c>
      <c r="B341" s="3" t="s">
        <v>349</v>
      </c>
      <c r="C341" s="4">
        <v>1921168.63</v>
      </c>
      <c r="D341" s="6">
        <v>91775996.189999998</v>
      </c>
      <c r="E341" s="7">
        <f>TuitionRates[[#This Row],[2022-23
Cyber Charter School Expenditures]]/D341</f>
        <v>2.093323646438754E-2</v>
      </c>
      <c r="F341"/>
    </row>
    <row r="342" spans="1:6" x14ac:dyDescent="0.2">
      <c r="A342" s="3" t="s">
        <v>131</v>
      </c>
      <c r="B342" s="3" t="s">
        <v>130</v>
      </c>
      <c r="C342" s="4">
        <v>552726.99</v>
      </c>
      <c r="D342" s="6">
        <v>26489119.780000001</v>
      </c>
      <c r="E342" s="7">
        <f>TuitionRates[[#This Row],[2022-23
Cyber Charter School Expenditures]]/D342</f>
        <v>2.0866189386078572E-2</v>
      </c>
      <c r="F342"/>
    </row>
    <row r="343" spans="1:6" x14ac:dyDescent="0.2">
      <c r="A343" s="3" t="s">
        <v>201</v>
      </c>
      <c r="B343" s="3" t="s">
        <v>196</v>
      </c>
      <c r="C343" s="4">
        <v>501026.11</v>
      </c>
      <c r="D343" s="6">
        <v>24245194.359999999</v>
      </c>
      <c r="E343" s="7">
        <f>TuitionRates[[#This Row],[2022-23
Cyber Charter School Expenditures]]/D343</f>
        <v>2.0664965706630862E-2</v>
      </c>
      <c r="F343"/>
    </row>
    <row r="344" spans="1:6" x14ac:dyDescent="0.2">
      <c r="A344" s="3" t="s">
        <v>23</v>
      </c>
      <c r="B344" s="3" t="s">
        <v>11</v>
      </c>
      <c r="C344" s="4">
        <v>1070511.43</v>
      </c>
      <c r="D344" s="6">
        <v>51903373.439999998</v>
      </c>
      <c r="E344" s="7">
        <f>TuitionRates[[#This Row],[2022-23
Cyber Charter School Expenditures]]/D344</f>
        <v>2.0625083863527773E-2</v>
      </c>
      <c r="F344"/>
    </row>
    <row r="345" spans="1:6" x14ac:dyDescent="0.2">
      <c r="A345" s="3" t="s">
        <v>244</v>
      </c>
      <c r="B345" s="3" t="s">
        <v>243</v>
      </c>
      <c r="C345" s="4">
        <v>380533.82</v>
      </c>
      <c r="D345" s="6">
        <v>18497269.82</v>
      </c>
      <c r="E345" s="7">
        <f>TuitionRates[[#This Row],[2022-23
Cyber Charter School Expenditures]]/D345</f>
        <v>2.0572431699544726E-2</v>
      </c>
      <c r="F345"/>
    </row>
    <row r="346" spans="1:6" x14ac:dyDescent="0.2">
      <c r="A346" s="3" t="s">
        <v>259</v>
      </c>
      <c r="B346" s="3" t="s">
        <v>247</v>
      </c>
      <c r="C346" s="4">
        <v>610959.57999999996</v>
      </c>
      <c r="D346" s="6">
        <v>29715432.649999999</v>
      </c>
      <c r="E346" s="7">
        <f>TuitionRates[[#This Row],[2022-23
Cyber Charter School Expenditures]]/D346</f>
        <v>2.0560346106890691E-2</v>
      </c>
      <c r="F346"/>
    </row>
    <row r="347" spans="1:6" x14ac:dyDescent="0.2">
      <c r="A347" s="3" t="s">
        <v>290</v>
      </c>
      <c r="B347" s="3" t="s">
        <v>291</v>
      </c>
      <c r="C347" s="4">
        <v>370699.75</v>
      </c>
      <c r="D347" s="6">
        <v>18204096.93</v>
      </c>
      <c r="E347" s="7">
        <f>TuitionRates[[#This Row],[2022-23
Cyber Charter School Expenditures]]/D347</f>
        <v>2.0363534177248527E-2</v>
      </c>
      <c r="F347"/>
    </row>
    <row r="348" spans="1:6" x14ac:dyDescent="0.2">
      <c r="A348" s="3" t="s">
        <v>250</v>
      </c>
      <c r="B348" s="3" t="s">
        <v>247</v>
      </c>
      <c r="C348" s="4">
        <v>784463.58</v>
      </c>
      <c r="D348" s="6">
        <v>38581807.700000003</v>
      </c>
      <c r="E348" s="7">
        <f>TuitionRates[[#This Row],[2022-23
Cyber Charter School Expenditures]]/D348</f>
        <v>2.0332473431513162E-2</v>
      </c>
      <c r="F348"/>
    </row>
    <row r="349" spans="1:6" x14ac:dyDescent="0.2">
      <c r="A349" s="3" t="s">
        <v>87</v>
      </c>
      <c r="B349" s="3" t="s">
        <v>81</v>
      </c>
      <c r="C349" s="4">
        <v>1048008.31</v>
      </c>
      <c r="D349" s="6">
        <v>51717948.130000003</v>
      </c>
      <c r="E349" s="7">
        <f>TuitionRates[[#This Row],[2022-23
Cyber Charter School Expenditures]]/D349</f>
        <v>2.0263918966113865E-2</v>
      </c>
      <c r="F349"/>
    </row>
    <row r="350" spans="1:6" x14ac:dyDescent="0.2">
      <c r="A350" s="3" t="s">
        <v>20</v>
      </c>
      <c r="B350" s="3" t="s">
        <v>11</v>
      </c>
      <c r="C350" s="4">
        <v>843619.43</v>
      </c>
      <c r="D350" s="6">
        <v>41633976.770000003</v>
      </c>
      <c r="E350" s="7">
        <f>TuitionRates[[#This Row],[2022-23
Cyber Charter School Expenditures]]/D350</f>
        <v>2.026276362357686E-2</v>
      </c>
      <c r="F350"/>
    </row>
    <row r="351" spans="1:6" x14ac:dyDescent="0.2">
      <c r="A351" s="3" t="s">
        <v>487</v>
      </c>
      <c r="B351" s="3" t="s">
        <v>479</v>
      </c>
      <c r="C351" s="4">
        <v>884125</v>
      </c>
      <c r="D351" s="6">
        <v>43786572.390000001</v>
      </c>
      <c r="E351" s="7">
        <f>TuitionRates[[#This Row],[2022-23
Cyber Charter School Expenditures]]/D351</f>
        <v>2.0191692378321829E-2</v>
      </c>
      <c r="F351"/>
    </row>
    <row r="352" spans="1:6" x14ac:dyDescent="0.2">
      <c r="A352" s="3" t="s">
        <v>351</v>
      </c>
      <c r="B352" s="3" t="s">
        <v>349</v>
      </c>
      <c r="C352" s="4">
        <v>3431015.02</v>
      </c>
      <c r="D352" s="6">
        <v>170432309.33000001</v>
      </c>
      <c r="E352" s="7">
        <f>TuitionRates[[#This Row],[2022-23
Cyber Charter School Expenditures]]/D352</f>
        <v>2.013124761078422E-2</v>
      </c>
      <c r="F352"/>
    </row>
    <row r="353" spans="1:6" x14ac:dyDescent="0.2">
      <c r="A353" s="3" t="s">
        <v>363</v>
      </c>
      <c r="B353" s="3" t="s">
        <v>359</v>
      </c>
      <c r="C353" s="4">
        <v>4225170.68</v>
      </c>
      <c r="D353" s="6">
        <v>209932292.12</v>
      </c>
      <c r="E353" s="7">
        <f>TuitionRates[[#This Row],[2022-23
Cyber Charter School Expenditures]]/D353</f>
        <v>2.0126349487885539E-2</v>
      </c>
      <c r="F353"/>
    </row>
    <row r="354" spans="1:6" x14ac:dyDescent="0.2">
      <c r="A354" s="3" t="s">
        <v>445</v>
      </c>
      <c r="B354" s="3" t="s">
        <v>440</v>
      </c>
      <c r="C354" s="4">
        <v>632582.59</v>
      </c>
      <c r="D354" s="6">
        <v>31437790.789999999</v>
      </c>
      <c r="E354" s="7">
        <f>TuitionRates[[#This Row],[2022-23
Cyber Charter School Expenditures]]/D354</f>
        <v>2.0121725289972258E-2</v>
      </c>
      <c r="F354"/>
    </row>
    <row r="355" spans="1:6" x14ac:dyDescent="0.2">
      <c r="A355" s="3" t="s">
        <v>118</v>
      </c>
      <c r="B355" s="3" t="s">
        <v>116</v>
      </c>
      <c r="C355" s="4">
        <v>3934166.18</v>
      </c>
      <c r="D355" s="6">
        <v>196818303.88</v>
      </c>
      <c r="E355" s="7">
        <f>TuitionRates[[#This Row],[2022-23
Cyber Charter School Expenditures]]/D355</f>
        <v>1.9988822698109719E-2</v>
      </c>
      <c r="F355"/>
    </row>
    <row r="356" spans="1:6" x14ac:dyDescent="0.2">
      <c r="A356" s="3" t="s">
        <v>300</v>
      </c>
      <c r="B356" s="3" t="s">
        <v>299</v>
      </c>
      <c r="C356" s="4">
        <v>576156.73</v>
      </c>
      <c r="D356" s="6">
        <v>28874003.289999999</v>
      </c>
      <c r="E356" s="7">
        <f>TuitionRates[[#This Row],[2022-23
Cyber Charter School Expenditures]]/D356</f>
        <v>1.995416860673219E-2</v>
      </c>
      <c r="F356"/>
    </row>
    <row r="357" spans="1:6" x14ac:dyDescent="0.2">
      <c r="A357" s="3" t="s">
        <v>492</v>
      </c>
      <c r="B357" s="3" t="s">
        <v>493</v>
      </c>
      <c r="C357" s="4">
        <v>469193.06</v>
      </c>
      <c r="D357" s="6">
        <v>23561910.66</v>
      </c>
      <c r="E357" s="7">
        <f>TuitionRates[[#This Row],[2022-23
Cyber Charter School Expenditures]]/D357</f>
        <v>1.991320087621451E-2</v>
      </c>
      <c r="F357"/>
    </row>
    <row r="358" spans="1:6" x14ac:dyDescent="0.2">
      <c r="A358" s="3" t="s">
        <v>245</v>
      </c>
      <c r="B358" s="3" t="s">
        <v>243</v>
      </c>
      <c r="C358" s="4">
        <v>644481.5</v>
      </c>
      <c r="D358" s="6">
        <v>32427735.829999998</v>
      </c>
      <c r="E358" s="7">
        <f>TuitionRates[[#This Row],[2022-23
Cyber Charter School Expenditures]]/D358</f>
        <v>1.9874390965149293E-2</v>
      </c>
      <c r="F358"/>
    </row>
    <row r="359" spans="1:6" x14ac:dyDescent="0.2">
      <c r="A359" s="3" t="s">
        <v>106</v>
      </c>
      <c r="B359" s="3" t="s">
        <v>100</v>
      </c>
      <c r="C359" s="4">
        <v>169796.38</v>
      </c>
      <c r="D359" s="6">
        <v>8552048.6099999994</v>
      </c>
      <c r="E359" s="7">
        <f>TuitionRates[[#This Row],[2022-23
Cyber Charter School Expenditures]]/D359</f>
        <v>1.9854468530669404E-2</v>
      </c>
      <c r="F359"/>
    </row>
    <row r="360" spans="1:6" x14ac:dyDescent="0.2">
      <c r="A360" s="3" t="s">
        <v>396</v>
      </c>
      <c r="B360" s="3" t="s">
        <v>386</v>
      </c>
      <c r="C360" s="4">
        <v>376226.05</v>
      </c>
      <c r="D360" s="6">
        <v>18959270.59</v>
      </c>
      <c r="E360" s="7">
        <f>TuitionRates[[#This Row],[2022-23
Cyber Charter School Expenditures]]/D360</f>
        <v>1.9843909511921786E-2</v>
      </c>
      <c r="F360"/>
    </row>
    <row r="361" spans="1:6" x14ac:dyDescent="0.2">
      <c r="A361" s="3" t="s">
        <v>103</v>
      </c>
      <c r="B361" s="3" t="s">
        <v>100</v>
      </c>
      <c r="C361" s="4">
        <v>1052993.47</v>
      </c>
      <c r="D361" s="6">
        <v>53312634.609999999</v>
      </c>
      <c r="E361" s="7">
        <f>TuitionRates[[#This Row],[2022-23
Cyber Charter School Expenditures]]/D361</f>
        <v>1.9751293060322458E-2</v>
      </c>
      <c r="F361"/>
    </row>
    <row r="362" spans="1:6" x14ac:dyDescent="0.2">
      <c r="A362" s="3" t="s">
        <v>199</v>
      </c>
      <c r="B362" s="3" t="s">
        <v>196</v>
      </c>
      <c r="C362" s="4">
        <v>694016.21</v>
      </c>
      <c r="D362" s="6">
        <v>35182990.43</v>
      </c>
      <c r="E362" s="7">
        <f>TuitionRates[[#This Row],[2022-23
Cyber Charter School Expenditures]]/D362</f>
        <v>1.972590167913137E-2</v>
      </c>
      <c r="F362"/>
    </row>
    <row r="363" spans="1:6" x14ac:dyDescent="0.2">
      <c r="A363" s="3" t="s">
        <v>255</v>
      </c>
      <c r="B363" s="3" t="s">
        <v>247</v>
      </c>
      <c r="C363" s="4">
        <v>2298777.08</v>
      </c>
      <c r="D363" s="6">
        <v>117062497.34999999</v>
      </c>
      <c r="E363" s="7">
        <f>TuitionRates[[#This Row],[2022-23
Cyber Charter School Expenditures]]/D363</f>
        <v>1.963717784976847E-2</v>
      </c>
      <c r="F363"/>
    </row>
    <row r="364" spans="1:6" x14ac:dyDescent="0.2">
      <c r="A364" s="3" t="s">
        <v>335</v>
      </c>
      <c r="B364" s="3" t="s">
        <v>333</v>
      </c>
      <c r="C364" s="4">
        <v>576698.31000000006</v>
      </c>
      <c r="D364" s="6">
        <v>29471860.43</v>
      </c>
      <c r="E364" s="7">
        <f>TuitionRates[[#This Row],[2022-23
Cyber Charter School Expenditures]]/D364</f>
        <v>1.9567760622704607E-2</v>
      </c>
      <c r="F364"/>
    </row>
    <row r="365" spans="1:6" x14ac:dyDescent="0.2">
      <c r="A365" s="3" t="s">
        <v>328</v>
      </c>
      <c r="B365" s="3" t="s">
        <v>316</v>
      </c>
      <c r="C365" s="4">
        <v>2001036.08</v>
      </c>
      <c r="D365" s="6">
        <v>102344007.44</v>
      </c>
      <c r="E365" s="7">
        <f>TuitionRates[[#This Row],[2022-23
Cyber Charter School Expenditures]]/D365</f>
        <v>1.9552059080480345E-2</v>
      </c>
      <c r="F365"/>
    </row>
    <row r="366" spans="1:6" x14ac:dyDescent="0.2">
      <c r="A366" s="3" t="s">
        <v>94</v>
      </c>
      <c r="B366" s="3" t="s">
        <v>81</v>
      </c>
      <c r="C366" s="4">
        <v>899056.35</v>
      </c>
      <c r="D366" s="6">
        <v>46103669.649999999</v>
      </c>
      <c r="E366" s="7">
        <f>TuitionRates[[#This Row],[2022-23
Cyber Charter School Expenditures]]/D366</f>
        <v>1.9500754643291176E-2</v>
      </c>
      <c r="F366"/>
    </row>
    <row r="367" spans="1:6" x14ac:dyDescent="0.2">
      <c r="A367" s="3" t="s">
        <v>84</v>
      </c>
      <c r="B367" s="3" t="s">
        <v>81</v>
      </c>
      <c r="C367" s="4">
        <v>1224127.23</v>
      </c>
      <c r="D367" s="6">
        <v>62975396.25</v>
      </c>
      <c r="E367" s="7">
        <f>TuitionRates[[#This Row],[2022-23
Cyber Charter School Expenditures]]/D367</f>
        <v>1.9438182256773018E-2</v>
      </c>
      <c r="F367"/>
    </row>
    <row r="368" spans="1:6" x14ac:dyDescent="0.2">
      <c r="A368" s="3" t="s">
        <v>200</v>
      </c>
      <c r="B368" s="3" t="s">
        <v>196</v>
      </c>
      <c r="C368" s="4">
        <v>264427.65999999997</v>
      </c>
      <c r="D368" s="6">
        <v>13625599.84</v>
      </c>
      <c r="E368" s="7">
        <f>TuitionRates[[#This Row],[2022-23
Cyber Charter School Expenditures]]/D368</f>
        <v>1.9406680300689056E-2</v>
      </c>
      <c r="F368"/>
    </row>
    <row r="369" spans="1:6" x14ac:dyDescent="0.2">
      <c r="A369" s="3" t="s">
        <v>45</v>
      </c>
      <c r="B369" s="3" t="s">
        <v>11</v>
      </c>
      <c r="C369" s="4">
        <v>764554.3</v>
      </c>
      <c r="D369" s="6">
        <v>39521758.009999998</v>
      </c>
      <c r="E369" s="7">
        <f>TuitionRates[[#This Row],[2022-23
Cyber Charter School Expenditures]]/D369</f>
        <v>1.9345149064637981E-2</v>
      </c>
      <c r="F369"/>
    </row>
    <row r="370" spans="1:6" x14ac:dyDescent="0.2">
      <c r="A370" s="3" t="s">
        <v>186</v>
      </c>
      <c r="B370" s="3" t="s">
        <v>185</v>
      </c>
      <c r="C370" s="4">
        <v>389781.46</v>
      </c>
      <c r="D370" s="6">
        <v>20371595.600000001</v>
      </c>
      <c r="E370" s="7">
        <f>TuitionRates[[#This Row],[2022-23
Cyber Charter School Expenditures]]/D370</f>
        <v>1.9133575378847596E-2</v>
      </c>
      <c r="F370"/>
    </row>
    <row r="371" spans="1:6" x14ac:dyDescent="0.2">
      <c r="A371" s="3" t="s">
        <v>343</v>
      </c>
      <c r="B371" s="3" t="s">
        <v>342</v>
      </c>
      <c r="C371" s="4">
        <v>1885491.36</v>
      </c>
      <c r="D371" s="6">
        <v>98717622.340000004</v>
      </c>
      <c r="E371" s="7">
        <f>TuitionRates[[#This Row],[2022-23
Cyber Charter School Expenditures]]/D371</f>
        <v>1.9099845755057313E-2</v>
      </c>
      <c r="F371"/>
    </row>
    <row r="372" spans="1:6" x14ac:dyDescent="0.2">
      <c r="A372" s="3" t="s">
        <v>336</v>
      </c>
      <c r="B372" s="3" t="s">
        <v>333</v>
      </c>
      <c r="C372" s="4">
        <v>434571.14</v>
      </c>
      <c r="D372" s="6">
        <v>22820697.640000001</v>
      </c>
      <c r="E372" s="7">
        <f>TuitionRates[[#This Row],[2022-23
Cyber Charter School Expenditures]]/D372</f>
        <v>1.9042850786396906E-2</v>
      </c>
      <c r="F372"/>
    </row>
    <row r="373" spans="1:6" x14ac:dyDescent="0.2">
      <c r="A373" s="3" t="s">
        <v>86</v>
      </c>
      <c r="B373" s="3" t="s">
        <v>81</v>
      </c>
      <c r="C373" s="4">
        <v>1570588.78</v>
      </c>
      <c r="D373" s="6">
        <v>82798021.579999998</v>
      </c>
      <c r="E373" s="7">
        <f>TuitionRates[[#This Row],[2022-23
Cyber Charter School Expenditures]]/D373</f>
        <v>1.8968916769134231E-2</v>
      </c>
      <c r="F373"/>
    </row>
    <row r="374" spans="1:6" x14ac:dyDescent="0.2">
      <c r="A374" s="3" t="s">
        <v>486</v>
      </c>
      <c r="B374" s="3" t="s">
        <v>479</v>
      </c>
      <c r="C374" s="4">
        <v>151470.78</v>
      </c>
      <c r="D374" s="6">
        <v>8026969.4000000004</v>
      </c>
      <c r="E374" s="7">
        <f>TuitionRates[[#This Row],[2022-23
Cyber Charter School Expenditures]]/D374</f>
        <v>1.8870232643468154E-2</v>
      </c>
      <c r="F374"/>
    </row>
    <row r="375" spans="1:6" x14ac:dyDescent="0.2">
      <c r="A375" s="3" t="s">
        <v>195</v>
      </c>
      <c r="B375" s="3" t="s">
        <v>196</v>
      </c>
      <c r="C375" s="4">
        <v>284492.31</v>
      </c>
      <c r="D375" s="6">
        <v>15084424.960000001</v>
      </c>
      <c r="E375" s="7">
        <f>TuitionRates[[#This Row],[2022-23
Cyber Charter School Expenditures]]/D375</f>
        <v>1.8860003663010032E-2</v>
      </c>
      <c r="F375"/>
    </row>
    <row r="376" spans="1:6" x14ac:dyDescent="0.2">
      <c r="A376" s="3" t="s">
        <v>390</v>
      </c>
      <c r="B376" s="3" t="s">
        <v>386</v>
      </c>
      <c r="C376" s="4">
        <v>684070.8</v>
      </c>
      <c r="D376" s="6">
        <v>36304282.850000001</v>
      </c>
      <c r="E376" s="7">
        <f>TuitionRates[[#This Row],[2022-23
Cyber Charter School Expenditures]]/D376</f>
        <v>1.8842702466439164E-2</v>
      </c>
      <c r="F376"/>
    </row>
    <row r="377" spans="1:6" x14ac:dyDescent="0.2">
      <c r="A377" s="3" t="s">
        <v>322</v>
      </c>
      <c r="B377" s="3" t="s">
        <v>316</v>
      </c>
      <c r="C377" s="4">
        <v>1592862.45</v>
      </c>
      <c r="D377" s="6">
        <v>84761515.299999997</v>
      </c>
      <c r="E377" s="7">
        <f>TuitionRates[[#This Row],[2022-23
Cyber Charter School Expenditures]]/D377</f>
        <v>1.8792283790141254E-2</v>
      </c>
      <c r="F377"/>
    </row>
    <row r="378" spans="1:6" x14ac:dyDescent="0.2">
      <c r="A378" s="3" t="s">
        <v>355</v>
      </c>
      <c r="B378" s="3" t="s">
        <v>349</v>
      </c>
      <c r="C378" s="4">
        <v>747268.3</v>
      </c>
      <c r="D378" s="6">
        <v>40155849.259999998</v>
      </c>
      <c r="E378" s="7">
        <f>TuitionRates[[#This Row],[2022-23
Cyber Charter School Expenditures]]/D378</f>
        <v>1.8609201741983033E-2</v>
      </c>
      <c r="F378"/>
    </row>
    <row r="379" spans="1:6" x14ac:dyDescent="0.2">
      <c r="A379" s="3" t="s">
        <v>425</v>
      </c>
      <c r="B379" s="3" t="s">
        <v>406</v>
      </c>
      <c r="C379" s="4">
        <v>1294259.6599999999</v>
      </c>
      <c r="D379" s="6">
        <v>70719466.560000002</v>
      </c>
      <c r="E379" s="7">
        <f>TuitionRates[[#This Row],[2022-23
Cyber Charter School Expenditures]]/D379</f>
        <v>1.8301321021729152E-2</v>
      </c>
      <c r="F379"/>
    </row>
    <row r="380" spans="1:6" x14ac:dyDescent="0.2">
      <c r="A380" s="3" t="s">
        <v>123</v>
      </c>
      <c r="B380" s="3" t="s">
        <v>116</v>
      </c>
      <c r="C380" s="4">
        <v>3696536.62</v>
      </c>
      <c r="D380" s="6">
        <v>203296536.97999999</v>
      </c>
      <c r="E380" s="7">
        <f>TuitionRates[[#This Row],[2022-23
Cyber Charter School Expenditures]]/D380</f>
        <v>1.8182978790060058E-2</v>
      </c>
      <c r="F380"/>
    </row>
    <row r="381" spans="1:6" x14ac:dyDescent="0.2">
      <c r="A381" s="3" t="s">
        <v>31</v>
      </c>
      <c r="B381" s="3" t="s">
        <v>11</v>
      </c>
      <c r="C381" s="4">
        <v>1593219.93</v>
      </c>
      <c r="D381" s="6">
        <v>88029119.299999997</v>
      </c>
      <c r="E381" s="7">
        <f>TuitionRates[[#This Row],[2022-23
Cyber Charter School Expenditures]]/D381</f>
        <v>1.809878302394876E-2</v>
      </c>
      <c r="F381"/>
    </row>
    <row r="382" spans="1:6" x14ac:dyDescent="0.2">
      <c r="A382" s="3" t="s">
        <v>434</v>
      </c>
      <c r="B382" s="3" t="s">
        <v>431</v>
      </c>
      <c r="C382" s="4">
        <v>1830974.43</v>
      </c>
      <c r="D382" s="6">
        <v>102493017.34999999</v>
      </c>
      <c r="E382" s="7">
        <f>TuitionRates[[#This Row],[2022-23
Cyber Charter School Expenditures]]/D382</f>
        <v>1.7864382153444328E-2</v>
      </c>
      <c r="F382"/>
    </row>
    <row r="383" spans="1:6" x14ac:dyDescent="0.2">
      <c r="A383" s="3" t="s">
        <v>567</v>
      </c>
      <c r="B383" s="3" t="s">
        <v>554</v>
      </c>
      <c r="C383" s="4">
        <v>1220133.2</v>
      </c>
      <c r="D383" s="6">
        <v>68540219.530000001</v>
      </c>
      <c r="E383" s="7">
        <f>TuitionRates[[#This Row],[2022-23
Cyber Charter School Expenditures]]/D383</f>
        <v>1.7801711292534578E-2</v>
      </c>
      <c r="F383"/>
    </row>
    <row r="384" spans="1:6" x14ac:dyDescent="0.2">
      <c r="A384" s="3" t="s">
        <v>467</v>
      </c>
      <c r="B384" s="3" t="s">
        <v>463</v>
      </c>
      <c r="C384" s="4">
        <v>529747.72</v>
      </c>
      <c r="D384" s="6">
        <v>30007558.120000001</v>
      </c>
      <c r="E384" s="7">
        <f>TuitionRates[[#This Row],[2022-23
Cyber Charter School Expenditures]]/D384</f>
        <v>1.765380967959948E-2</v>
      </c>
      <c r="F384"/>
    </row>
    <row r="385" spans="1:6" x14ac:dyDescent="0.2">
      <c r="A385" s="3" t="s">
        <v>527</v>
      </c>
      <c r="B385" s="3" t="s">
        <v>515</v>
      </c>
      <c r="C385" s="4">
        <v>1253633.1100000001</v>
      </c>
      <c r="D385" s="6">
        <v>71218509.579999998</v>
      </c>
      <c r="E385" s="7">
        <f>TuitionRates[[#This Row],[2022-23
Cyber Charter School Expenditures]]/D385</f>
        <v>1.7602630515481228E-2</v>
      </c>
      <c r="F385"/>
    </row>
    <row r="386" spans="1:6" x14ac:dyDescent="0.2">
      <c r="A386" s="3" t="s">
        <v>91</v>
      </c>
      <c r="B386" s="3" t="s">
        <v>81</v>
      </c>
      <c r="C386" s="4">
        <v>1211685.6000000001</v>
      </c>
      <c r="D386" s="6">
        <v>69796946.329999998</v>
      </c>
      <c r="E386" s="7">
        <f>TuitionRates[[#This Row],[2022-23
Cyber Charter School Expenditures]]/D386</f>
        <v>1.736015203689786E-2</v>
      </c>
      <c r="F386"/>
    </row>
    <row r="387" spans="1:6" x14ac:dyDescent="0.2">
      <c r="A387" s="3" t="s">
        <v>338</v>
      </c>
      <c r="B387" s="3" t="s">
        <v>333</v>
      </c>
      <c r="C387" s="4">
        <v>374519.7</v>
      </c>
      <c r="D387" s="6">
        <v>21594171.989999998</v>
      </c>
      <c r="E387" s="7">
        <f>TuitionRates[[#This Row],[2022-23
Cyber Charter School Expenditures]]/D387</f>
        <v>1.7343554555990182E-2</v>
      </c>
      <c r="F387"/>
    </row>
    <row r="388" spans="1:6" x14ac:dyDescent="0.2">
      <c r="A388" s="3" t="s">
        <v>233</v>
      </c>
      <c r="B388" s="3" t="s">
        <v>227</v>
      </c>
      <c r="C388" s="4">
        <v>1222386.1000000001</v>
      </c>
      <c r="D388" s="6">
        <v>70585360.620000005</v>
      </c>
      <c r="E388" s="7">
        <f>TuitionRates[[#This Row],[2022-23
Cyber Charter School Expenditures]]/D388</f>
        <v>1.7317841677975974E-2</v>
      </c>
      <c r="F388"/>
    </row>
    <row r="389" spans="1:6" x14ac:dyDescent="0.2">
      <c r="A389" s="3" t="s">
        <v>331</v>
      </c>
      <c r="B389" s="3" t="s">
        <v>316</v>
      </c>
      <c r="C389" s="4">
        <v>1439901.2</v>
      </c>
      <c r="D389" s="6">
        <v>83768533.180000007</v>
      </c>
      <c r="E389" s="7">
        <f>TuitionRates[[#This Row],[2022-23
Cyber Charter School Expenditures]]/D389</f>
        <v>1.7189046355938591E-2</v>
      </c>
      <c r="F389"/>
    </row>
    <row r="390" spans="1:6" x14ac:dyDescent="0.2">
      <c r="A390" s="3" t="s">
        <v>323</v>
      </c>
      <c r="B390" s="3" t="s">
        <v>316</v>
      </c>
      <c r="C390" s="4">
        <v>2407921.58</v>
      </c>
      <c r="D390" s="6">
        <v>140792456.02000001</v>
      </c>
      <c r="E390" s="7">
        <f>TuitionRates[[#This Row],[2022-23
Cyber Charter School Expenditures]]/D390</f>
        <v>1.7102632115870948E-2</v>
      </c>
      <c r="F390"/>
    </row>
    <row r="391" spans="1:6" x14ac:dyDescent="0.2">
      <c r="A391" s="3" t="s">
        <v>258</v>
      </c>
      <c r="B391" s="3" t="s">
        <v>247</v>
      </c>
      <c r="C391" s="4">
        <v>449989.58</v>
      </c>
      <c r="D391" s="6">
        <v>26378507.109999999</v>
      </c>
      <c r="E391" s="7">
        <f>TuitionRates[[#This Row],[2022-23
Cyber Charter School Expenditures]]/D391</f>
        <v>1.7058947958029459E-2</v>
      </c>
      <c r="F391"/>
    </row>
    <row r="392" spans="1:6" x14ac:dyDescent="0.2">
      <c r="A392" s="3" t="s">
        <v>354</v>
      </c>
      <c r="B392" s="3" t="s">
        <v>349</v>
      </c>
      <c r="C392" s="4">
        <v>3675116.77</v>
      </c>
      <c r="D392" s="6">
        <v>217184920.52000001</v>
      </c>
      <c r="E392" s="7">
        <f>TuitionRates[[#This Row],[2022-23
Cyber Charter School Expenditures]]/D392</f>
        <v>1.6921601928903567E-2</v>
      </c>
      <c r="F392"/>
    </row>
    <row r="393" spans="1:6" x14ac:dyDescent="0.2">
      <c r="A393" s="3" t="s">
        <v>115</v>
      </c>
      <c r="B393" s="3" t="s">
        <v>116</v>
      </c>
      <c r="C393" s="4">
        <v>2810173.08</v>
      </c>
      <c r="D393" s="6">
        <v>167455443.27000001</v>
      </c>
      <c r="E393" s="7">
        <f>TuitionRates[[#This Row],[2022-23
Cyber Charter School Expenditures]]/D393</f>
        <v>1.6781616799813211E-2</v>
      </c>
      <c r="F393"/>
    </row>
    <row r="394" spans="1:6" x14ac:dyDescent="0.2">
      <c r="A394" s="3" t="s">
        <v>546</v>
      </c>
      <c r="B394" s="3" t="s">
        <v>533</v>
      </c>
      <c r="C394" s="4">
        <v>1389002.25</v>
      </c>
      <c r="D394" s="6">
        <v>84225431.459999993</v>
      </c>
      <c r="E394" s="7">
        <f>TuitionRates[[#This Row],[2022-23
Cyber Charter School Expenditures]]/D394</f>
        <v>1.6491482749597542E-2</v>
      </c>
      <c r="F394"/>
    </row>
    <row r="395" spans="1:6" x14ac:dyDescent="0.2">
      <c r="A395" s="3" t="s">
        <v>18</v>
      </c>
      <c r="B395" s="3" t="s">
        <v>11</v>
      </c>
      <c r="C395" s="4">
        <v>341719.65</v>
      </c>
      <c r="D395" s="6">
        <v>20841084.719999999</v>
      </c>
      <c r="E395" s="7">
        <f>TuitionRates[[#This Row],[2022-23
Cyber Charter School Expenditures]]/D395</f>
        <v>1.639644263199368E-2</v>
      </c>
      <c r="F395"/>
    </row>
    <row r="396" spans="1:6" x14ac:dyDescent="0.2">
      <c r="A396" s="3" t="s">
        <v>158</v>
      </c>
      <c r="B396" s="3" t="s">
        <v>159</v>
      </c>
      <c r="C396" s="4">
        <v>581798.69999999995</v>
      </c>
      <c r="D396" s="6">
        <v>35516206.369999997</v>
      </c>
      <c r="E396" s="7">
        <f>TuitionRates[[#This Row],[2022-23
Cyber Charter School Expenditures]]/D396</f>
        <v>1.6381217462781626E-2</v>
      </c>
      <c r="F396"/>
    </row>
    <row r="397" spans="1:6" x14ac:dyDescent="0.2">
      <c r="A397" s="3" t="s">
        <v>253</v>
      </c>
      <c r="B397" s="3" t="s">
        <v>247</v>
      </c>
      <c r="C397" s="4">
        <v>659569.65</v>
      </c>
      <c r="D397" s="6">
        <v>40676536.200000003</v>
      </c>
      <c r="E397" s="7">
        <f>TuitionRates[[#This Row],[2022-23
Cyber Charter School Expenditures]]/D397</f>
        <v>1.6214990547793989E-2</v>
      </c>
      <c r="F397"/>
    </row>
    <row r="398" spans="1:6" x14ac:dyDescent="0.2">
      <c r="A398" s="3" t="s">
        <v>98</v>
      </c>
      <c r="B398" s="3" t="s">
        <v>81</v>
      </c>
      <c r="C398" s="4">
        <v>668231.71</v>
      </c>
      <c r="D398" s="6">
        <v>41267011.399999999</v>
      </c>
      <c r="E398" s="7">
        <f>TuitionRates[[#This Row],[2022-23
Cyber Charter School Expenditures]]/D398</f>
        <v>1.6192878702139306E-2</v>
      </c>
      <c r="F398"/>
    </row>
    <row r="399" spans="1:6" x14ac:dyDescent="0.2">
      <c r="A399" s="3" t="s">
        <v>389</v>
      </c>
      <c r="B399" s="3" t="s">
        <v>386</v>
      </c>
      <c r="C399" s="4">
        <v>662869.35</v>
      </c>
      <c r="D399" s="6">
        <v>41808282.32</v>
      </c>
      <c r="E399" s="7">
        <f>TuitionRates[[#This Row],[2022-23
Cyber Charter School Expenditures]]/D399</f>
        <v>1.5854976890138834E-2</v>
      </c>
      <c r="F399"/>
    </row>
    <row r="400" spans="1:6" x14ac:dyDescent="0.2">
      <c r="A400" s="3" t="s">
        <v>78</v>
      </c>
      <c r="B400" s="3" t="s">
        <v>75</v>
      </c>
      <c r="C400" s="4">
        <v>275392.46000000002</v>
      </c>
      <c r="D400" s="6">
        <v>17402895.190000001</v>
      </c>
      <c r="E400" s="7">
        <f>TuitionRates[[#This Row],[2022-23
Cyber Charter School Expenditures]]/D400</f>
        <v>1.5824519828071204E-2</v>
      </c>
      <c r="F400"/>
    </row>
    <row r="401" spans="1:6" x14ac:dyDescent="0.2">
      <c r="A401" s="3" t="s">
        <v>536</v>
      </c>
      <c r="B401" s="3" t="s">
        <v>533</v>
      </c>
      <c r="C401" s="4">
        <v>1016531</v>
      </c>
      <c r="D401" s="6">
        <v>64421342.590000004</v>
      </c>
      <c r="E401" s="7">
        <f>TuitionRates[[#This Row],[2022-23
Cyber Charter School Expenditures]]/D401</f>
        <v>1.5779413454164708E-2</v>
      </c>
      <c r="F401"/>
    </row>
    <row r="402" spans="1:6" x14ac:dyDescent="0.2">
      <c r="A402" s="3" t="s">
        <v>324</v>
      </c>
      <c r="B402" s="3" t="s">
        <v>316</v>
      </c>
      <c r="C402" s="4">
        <v>926773.21</v>
      </c>
      <c r="D402" s="6">
        <v>58979453.710000001</v>
      </c>
      <c r="E402" s="7">
        <f>TuitionRates[[#This Row],[2022-23
Cyber Charter School Expenditures]]/D402</f>
        <v>1.571349260976395E-2</v>
      </c>
      <c r="F402"/>
    </row>
    <row r="403" spans="1:6" x14ac:dyDescent="0.2">
      <c r="A403" s="3" t="s">
        <v>284</v>
      </c>
      <c r="B403" s="3" t="s">
        <v>280</v>
      </c>
      <c r="C403" s="4">
        <v>247295.89</v>
      </c>
      <c r="D403" s="6">
        <v>15857542.300000001</v>
      </c>
      <c r="E403" s="7">
        <f>TuitionRates[[#This Row],[2022-23
Cyber Charter School Expenditures]]/D403</f>
        <v>1.5594843470794336E-2</v>
      </c>
      <c r="F403"/>
    </row>
    <row r="404" spans="1:6" x14ac:dyDescent="0.2">
      <c r="A404" s="3" t="s">
        <v>148</v>
      </c>
      <c r="B404" s="3" t="s">
        <v>138</v>
      </c>
      <c r="C404" s="4">
        <v>418256.66</v>
      </c>
      <c r="D404" s="6">
        <v>27179556</v>
      </c>
      <c r="E404" s="7">
        <f>TuitionRates[[#This Row],[2022-23
Cyber Charter School Expenditures]]/D404</f>
        <v>1.5388649468740401E-2</v>
      </c>
      <c r="F404"/>
    </row>
    <row r="405" spans="1:6" x14ac:dyDescent="0.2">
      <c r="A405" s="3" t="s">
        <v>170</v>
      </c>
      <c r="B405" s="3" t="s">
        <v>164</v>
      </c>
      <c r="C405" s="4">
        <v>1925857.19</v>
      </c>
      <c r="D405" s="6">
        <v>126476256.62</v>
      </c>
      <c r="E405" s="7">
        <f>TuitionRates[[#This Row],[2022-23
Cyber Charter School Expenditures]]/D405</f>
        <v>1.5227025541926573E-2</v>
      </c>
      <c r="F405"/>
    </row>
    <row r="406" spans="1:6" x14ac:dyDescent="0.2">
      <c r="A406" s="3" t="s">
        <v>70</v>
      </c>
      <c r="B406" s="3" t="s">
        <v>60</v>
      </c>
      <c r="C406" s="4">
        <v>405858.65</v>
      </c>
      <c r="D406" s="6">
        <v>26685406.73</v>
      </c>
      <c r="E406" s="7">
        <f>TuitionRates[[#This Row],[2022-23
Cyber Charter School Expenditures]]/D406</f>
        <v>1.5209011206253405E-2</v>
      </c>
      <c r="F406"/>
    </row>
    <row r="407" spans="1:6" x14ac:dyDescent="0.2">
      <c r="A407" s="3" t="s">
        <v>139</v>
      </c>
      <c r="B407" s="3" t="s">
        <v>138</v>
      </c>
      <c r="C407" s="4">
        <v>404516.6</v>
      </c>
      <c r="D407" s="6">
        <v>26638523.879999999</v>
      </c>
      <c r="E407" s="7">
        <f>TuitionRates[[#This Row],[2022-23
Cyber Charter School Expenditures]]/D407</f>
        <v>1.5185398478618703E-2</v>
      </c>
      <c r="F407"/>
    </row>
    <row r="408" spans="1:6" x14ac:dyDescent="0.2">
      <c r="A408" s="3" t="s">
        <v>424</v>
      </c>
      <c r="B408" s="3" t="s">
        <v>406</v>
      </c>
      <c r="C408" s="4">
        <v>1905795.63</v>
      </c>
      <c r="D408" s="6">
        <v>125996865.95</v>
      </c>
      <c r="E408" s="7">
        <f>TuitionRates[[#This Row],[2022-23
Cyber Charter School Expenditures]]/D408</f>
        <v>1.5125738371590026E-2</v>
      </c>
      <c r="F408"/>
    </row>
    <row r="409" spans="1:6" x14ac:dyDescent="0.2">
      <c r="A409" s="3" t="s">
        <v>42</v>
      </c>
      <c r="B409" s="3" t="s">
        <v>11</v>
      </c>
      <c r="C409" s="4">
        <v>1420693.51</v>
      </c>
      <c r="D409" s="6">
        <v>94071468.590000004</v>
      </c>
      <c r="E409" s="7">
        <f>TuitionRates[[#This Row],[2022-23
Cyber Charter School Expenditures]]/D409</f>
        <v>1.5102278419739932E-2</v>
      </c>
      <c r="F409"/>
    </row>
    <row r="410" spans="1:6" x14ac:dyDescent="0.2">
      <c r="A410" s="3" t="s">
        <v>83</v>
      </c>
      <c r="B410" s="3" t="s">
        <v>81</v>
      </c>
      <c r="C410" s="4">
        <v>523891.98</v>
      </c>
      <c r="D410" s="6">
        <v>35031788.619999997</v>
      </c>
      <c r="E410" s="7">
        <f>TuitionRates[[#This Row],[2022-23
Cyber Charter School Expenditures]]/D410</f>
        <v>1.4954759680780468E-2</v>
      </c>
      <c r="F410"/>
    </row>
    <row r="411" spans="1:6" x14ac:dyDescent="0.2">
      <c r="A411" s="3" t="s">
        <v>272</v>
      </c>
      <c r="B411" s="3" t="s">
        <v>270</v>
      </c>
      <c r="C411" s="4">
        <v>693863.31</v>
      </c>
      <c r="D411" s="6">
        <v>46556549.670000002</v>
      </c>
      <c r="E411" s="7">
        <f>TuitionRates[[#This Row],[2022-23
Cyber Charter School Expenditures]]/D411</f>
        <v>1.4903666936622454E-2</v>
      </c>
      <c r="F411"/>
    </row>
    <row r="412" spans="1:6" x14ac:dyDescent="0.2">
      <c r="A412" s="3" t="s">
        <v>327</v>
      </c>
      <c r="B412" s="3" t="s">
        <v>316</v>
      </c>
      <c r="C412" s="4">
        <v>1677054.69</v>
      </c>
      <c r="D412" s="6">
        <v>113740937.23</v>
      </c>
      <c r="E412" s="7">
        <f>TuitionRates[[#This Row],[2022-23
Cyber Charter School Expenditures]]/D412</f>
        <v>1.4744512669249085E-2</v>
      </c>
      <c r="F412"/>
    </row>
    <row r="413" spans="1:6" x14ac:dyDescent="0.2">
      <c r="A413" s="3" t="s">
        <v>325</v>
      </c>
      <c r="B413" s="3" t="s">
        <v>316</v>
      </c>
      <c r="C413" s="4">
        <v>4065474</v>
      </c>
      <c r="D413" s="6">
        <v>278289692</v>
      </c>
      <c r="E413" s="7">
        <f>TuitionRates[[#This Row],[2022-23
Cyber Charter School Expenditures]]/D413</f>
        <v>1.4608784000522736E-2</v>
      </c>
      <c r="F413"/>
    </row>
    <row r="414" spans="1:6" x14ac:dyDescent="0.2">
      <c r="A414" s="3" t="s">
        <v>88</v>
      </c>
      <c r="B414" s="3" t="s">
        <v>81</v>
      </c>
      <c r="C414" s="4">
        <v>1211740.19</v>
      </c>
      <c r="D414" s="6">
        <v>83411053.079999998</v>
      </c>
      <c r="E414" s="7">
        <f>TuitionRates[[#This Row],[2022-23
Cyber Charter School Expenditures]]/D414</f>
        <v>1.4527333551799344E-2</v>
      </c>
      <c r="F414"/>
    </row>
    <row r="415" spans="1:6" x14ac:dyDescent="0.2">
      <c r="A415" s="3" t="s">
        <v>126</v>
      </c>
      <c r="B415" s="3" t="s">
        <v>116</v>
      </c>
      <c r="C415" s="4">
        <v>2210112.46</v>
      </c>
      <c r="D415" s="6">
        <v>152461304.5</v>
      </c>
      <c r="E415" s="7">
        <f>TuitionRates[[#This Row],[2022-23
Cyber Charter School Expenditures]]/D415</f>
        <v>1.4496219006180679E-2</v>
      </c>
      <c r="F415"/>
    </row>
    <row r="416" spans="1:6" x14ac:dyDescent="0.2">
      <c r="A416" s="3" t="s">
        <v>235</v>
      </c>
      <c r="B416" s="3" t="s">
        <v>227</v>
      </c>
      <c r="C416" s="4">
        <v>1841565.85</v>
      </c>
      <c r="D416" s="6">
        <v>127516385.53</v>
      </c>
      <c r="E416" s="7">
        <f>TuitionRates[[#This Row],[2022-23
Cyber Charter School Expenditures]]/D416</f>
        <v>1.4441797752860131E-2</v>
      </c>
      <c r="F416"/>
    </row>
    <row r="417" spans="1:6" x14ac:dyDescent="0.2">
      <c r="A417" s="3" t="s">
        <v>181</v>
      </c>
      <c r="B417" s="3" t="s">
        <v>177</v>
      </c>
      <c r="C417" s="4">
        <v>159986.01</v>
      </c>
      <c r="D417" s="6">
        <v>11145224.99</v>
      </c>
      <c r="E417" s="7">
        <f>TuitionRates[[#This Row],[2022-23
Cyber Charter School Expenditures]]/D417</f>
        <v>1.4354668491981696E-2</v>
      </c>
      <c r="F417"/>
    </row>
    <row r="418" spans="1:6" x14ac:dyDescent="0.2">
      <c r="A418" s="3" t="s">
        <v>74</v>
      </c>
      <c r="B418" s="3" t="s">
        <v>75</v>
      </c>
      <c r="C418" s="4">
        <v>503880.94</v>
      </c>
      <c r="D418" s="6">
        <v>35201795.829999998</v>
      </c>
      <c r="E418" s="7">
        <f>TuitionRates[[#This Row],[2022-23
Cyber Charter School Expenditures]]/D418</f>
        <v>1.4314069158101813E-2</v>
      </c>
      <c r="F418"/>
    </row>
    <row r="419" spans="1:6" x14ac:dyDescent="0.2">
      <c r="A419" s="3" t="s">
        <v>334</v>
      </c>
      <c r="B419" s="3" t="s">
        <v>333</v>
      </c>
      <c r="C419" s="4">
        <v>284827.71999999997</v>
      </c>
      <c r="D419" s="6">
        <v>19944828.120000001</v>
      </c>
      <c r="E419" s="7">
        <f>TuitionRates[[#This Row],[2022-23
Cyber Charter School Expenditures]]/D419</f>
        <v>1.4280780876441064E-2</v>
      </c>
      <c r="F419"/>
    </row>
    <row r="420" spans="1:6" x14ac:dyDescent="0.2">
      <c r="A420" s="3" t="s">
        <v>416</v>
      </c>
      <c r="B420" s="3" t="s">
        <v>406</v>
      </c>
      <c r="C420" s="4">
        <v>4189995.52</v>
      </c>
      <c r="D420" s="6">
        <v>298599680.75999999</v>
      </c>
      <c r="E420" s="7">
        <f>TuitionRates[[#This Row],[2022-23
Cyber Charter School Expenditures]]/D420</f>
        <v>1.403215003222899E-2</v>
      </c>
      <c r="F420"/>
    </row>
    <row r="421" spans="1:6" x14ac:dyDescent="0.2">
      <c r="A421" s="3" t="s">
        <v>57</v>
      </c>
      <c r="B421" s="3" t="s">
        <v>55</v>
      </c>
      <c r="C421" s="4">
        <v>505190.65</v>
      </c>
      <c r="D421" s="6">
        <v>36865329.619999997</v>
      </c>
      <c r="E421" s="7">
        <f>TuitionRates[[#This Row],[2022-23
Cyber Charter School Expenditures]]/D421</f>
        <v>1.3703679180612195E-2</v>
      </c>
      <c r="F421"/>
    </row>
    <row r="422" spans="1:6" x14ac:dyDescent="0.2">
      <c r="A422" s="3" t="s">
        <v>329</v>
      </c>
      <c r="B422" s="3" t="s">
        <v>316</v>
      </c>
      <c r="C422" s="4">
        <v>582300.53</v>
      </c>
      <c r="D422" s="6">
        <v>42726325.140000001</v>
      </c>
      <c r="E422" s="7">
        <f>TuitionRates[[#This Row],[2022-23
Cyber Charter School Expenditures]]/D422</f>
        <v>1.3628612526164941E-2</v>
      </c>
      <c r="F422"/>
    </row>
    <row r="423" spans="1:6" x14ac:dyDescent="0.2">
      <c r="A423" s="3" t="s">
        <v>62</v>
      </c>
      <c r="B423" s="3" t="s">
        <v>60</v>
      </c>
      <c r="C423" s="4">
        <v>508520.28</v>
      </c>
      <c r="D423" s="6">
        <v>38003973.450000003</v>
      </c>
      <c r="E423" s="7">
        <f>TuitionRates[[#This Row],[2022-23
Cyber Charter School Expenditures]]/D423</f>
        <v>1.338071348431594E-2</v>
      </c>
      <c r="F423"/>
    </row>
    <row r="424" spans="1:6" x14ac:dyDescent="0.2">
      <c r="A424" s="3" t="s">
        <v>97</v>
      </c>
      <c r="B424" s="3" t="s">
        <v>81</v>
      </c>
      <c r="C424" s="4">
        <v>1632862.24</v>
      </c>
      <c r="D424" s="6">
        <v>125625146.63</v>
      </c>
      <c r="E424" s="7">
        <f>TuitionRates[[#This Row],[2022-23
Cyber Charter School Expenditures]]/D424</f>
        <v>1.2997893206916768E-2</v>
      </c>
      <c r="F424"/>
    </row>
    <row r="425" spans="1:6" x14ac:dyDescent="0.2">
      <c r="A425" s="3" t="s">
        <v>388</v>
      </c>
      <c r="B425" s="3" t="s">
        <v>386</v>
      </c>
      <c r="C425" s="4">
        <v>324179.78000000003</v>
      </c>
      <c r="D425" s="6">
        <v>24944487.940000001</v>
      </c>
      <c r="E425" s="7">
        <f>TuitionRates[[#This Row],[2022-23
Cyber Charter School Expenditures]]/D425</f>
        <v>1.2996048697402125E-2</v>
      </c>
      <c r="F425"/>
    </row>
    <row r="426" spans="1:6" x14ac:dyDescent="0.2">
      <c r="A426" s="3" t="s">
        <v>167</v>
      </c>
      <c r="B426" s="3" t="s">
        <v>164</v>
      </c>
      <c r="C426" s="4">
        <v>1512520.46</v>
      </c>
      <c r="D426" s="6">
        <v>116755373.05</v>
      </c>
      <c r="E426" s="7">
        <f>TuitionRates[[#This Row],[2022-23
Cyber Charter School Expenditures]]/D426</f>
        <v>1.2954611171104472E-2</v>
      </c>
      <c r="F426"/>
    </row>
    <row r="427" spans="1:6" x14ac:dyDescent="0.2">
      <c r="A427" s="3" t="s">
        <v>503</v>
      </c>
      <c r="B427" s="3" t="s">
        <v>504</v>
      </c>
      <c r="C427" s="4">
        <v>560625.02</v>
      </c>
      <c r="D427" s="6">
        <v>43376612.789999999</v>
      </c>
      <c r="E427" s="7">
        <f>TuitionRates[[#This Row],[2022-23
Cyber Charter School Expenditures]]/D427</f>
        <v>1.2924591938844196E-2</v>
      </c>
      <c r="F427"/>
    </row>
    <row r="428" spans="1:6" x14ac:dyDescent="0.2">
      <c r="A428" s="3" t="s">
        <v>534</v>
      </c>
      <c r="B428" s="3" t="s">
        <v>533</v>
      </c>
      <c r="C428" s="4">
        <v>441185.82</v>
      </c>
      <c r="D428" s="6">
        <v>34407882.890000001</v>
      </c>
      <c r="E428" s="7">
        <f>TuitionRates[[#This Row],[2022-23
Cyber Charter School Expenditures]]/D428</f>
        <v>1.2822230923374315E-2</v>
      </c>
      <c r="F428"/>
    </row>
    <row r="429" spans="1:6" x14ac:dyDescent="0.2">
      <c r="A429" s="3" t="s">
        <v>318</v>
      </c>
      <c r="B429" s="3" t="s">
        <v>316</v>
      </c>
      <c r="C429" s="4">
        <v>1149646.6499999999</v>
      </c>
      <c r="D429" s="6">
        <v>89787353.099999994</v>
      </c>
      <c r="E429" s="7">
        <f>TuitionRates[[#This Row],[2022-23
Cyber Charter School Expenditures]]/D429</f>
        <v>1.2804104479164115E-2</v>
      </c>
      <c r="F429"/>
    </row>
    <row r="430" spans="1:6" x14ac:dyDescent="0.2">
      <c r="A430" s="3" t="s">
        <v>353</v>
      </c>
      <c r="B430" s="3" t="s">
        <v>349</v>
      </c>
      <c r="C430" s="4">
        <v>631664.81000000006</v>
      </c>
      <c r="D430" s="6">
        <v>49453020.359999999</v>
      </c>
      <c r="E430" s="7">
        <f>TuitionRates[[#This Row],[2022-23
Cyber Charter School Expenditures]]/D430</f>
        <v>1.2773027924315037E-2</v>
      </c>
      <c r="F430"/>
    </row>
    <row r="431" spans="1:6" x14ac:dyDescent="0.2">
      <c r="A431" s="3" t="s">
        <v>422</v>
      </c>
      <c r="B431" s="3" t="s">
        <v>406</v>
      </c>
      <c r="C431" s="4">
        <v>2416753.9700000002</v>
      </c>
      <c r="D431" s="6">
        <v>191524107.36000001</v>
      </c>
      <c r="E431" s="7">
        <f>TuitionRates[[#This Row],[2022-23
Cyber Charter School Expenditures]]/D431</f>
        <v>1.261853666002122E-2</v>
      </c>
      <c r="F431"/>
    </row>
    <row r="432" spans="1:6" x14ac:dyDescent="0.2">
      <c r="A432" s="3" t="s">
        <v>163</v>
      </c>
      <c r="B432" s="3" t="s">
        <v>164</v>
      </c>
      <c r="C432" s="4">
        <v>1287518.1399999999</v>
      </c>
      <c r="D432" s="6">
        <v>103075877.05</v>
      </c>
      <c r="E432" s="7">
        <f>TuitionRates[[#This Row],[2022-23
Cyber Charter School Expenditures]]/D432</f>
        <v>1.2490974385553385E-2</v>
      </c>
      <c r="F432"/>
    </row>
    <row r="433" spans="1:6" x14ac:dyDescent="0.2">
      <c r="A433" s="3" t="s">
        <v>510</v>
      </c>
      <c r="B433" s="3" t="s">
        <v>507</v>
      </c>
      <c r="C433" s="4">
        <v>493422.26</v>
      </c>
      <c r="D433" s="6">
        <v>39978354.57</v>
      </c>
      <c r="E433" s="7">
        <f>TuitionRates[[#This Row],[2022-23
Cyber Charter School Expenditures]]/D433</f>
        <v>1.2342235324769146E-2</v>
      </c>
      <c r="F433"/>
    </row>
    <row r="434" spans="1:6" x14ac:dyDescent="0.2">
      <c r="A434" s="3" t="s">
        <v>525</v>
      </c>
      <c r="B434" s="3" t="s">
        <v>515</v>
      </c>
      <c r="C434" s="4">
        <v>978420.31</v>
      </c>
      <c r="D434" s="6">
        <v>79485094.370000005</v>
      </c>
      <c r="E434" s="7">
        <f>TuitionRates[[#This Row],[2022-23
Cyber Charter School Expenditures]]/D434</f>
        <v>1.230948164250132E-2</v>
      </c>
      <c r="F434"/>
    </row>
    <row r="435" spans="1:6" x14ac:dyDescent="0.2">
      <c r="A435" s="3" t="s">
        <v>102</v>
      </c>
      <c r="B435" s="3" t="s">
        <v>100</v>
      </c>
      <c r="C435" s="4">
        <v>178621.32</v>
      </c>
      <c r="D435" s="6">
        <v>14784841.210000001</v>
      </c>
      <c r="E435" s="7">
        <f>TuitionRates[[#This Row],[2022-23
Cyber Charter School Expenditures]]/D435</f>
        <v>1.2081382374210836E-2</v>
      </c>
      <c r="F435"/>
    </row>
    <row r="436" spans="1:6" x14ac:dyDescent="0.2">
      <c r="A436" s="3" t="s">
        <v>17</v>
      </c>
      <c r="B436" s="3" t="s">
        <v>11</v>
      </c>
      <c r="C436" s="4">
        <v>931672.93</v>
      </c>
      <c r="D436" s="6">
        <v>77271189.849999994</v>
      </c>
      <c r="E436" s="7">
        <f>TuitionRates[[#This Row],[2022-23
Cyber Charter School Expenditures]]/D436</f>
        <v>1.2057183690435952E-2</v>
      </c>
      <c r="F436"/>
    </row>
    <row r="437" spans="1:6" x14ac:dyDescent="0.2">
      <c r="A437" s="3" t="s">
        <v>119</v>
      </c>
      <c r="B437" s="3" t="s">
        <v>116</v>
      </c>
      <c r="C437" s="4">
        <v>1679683.12</v>
      </c>
      <c r="D437" s="6">
        <v>140275014.53999999</v>
      </c>
      <c r="E437" s="7">
        <f>TuitionRates[[#This Row],[2022-23
Cyber Charter School Expenditures]]/D437</f>
        <v>1.1974214549241994E-2</v>
      </c>
      <c r="F437"/>
    </row>
    <row r="438" spans="1:6" x14ac:dyDescent="0.2">
      <c r="A438" s="3" t="s">
        <v>478</v>
      </c>
      <c r="B438" s="3" t="s">
        <v>479</v>
      </c>
      <c r="C438" s="4">
        <v>167268.42000000001</v>
      </c>
      <c r="D438" s="6">
        <v>14428165.66</v>
      </c>
      <c r="E438" s="7">
        <f>TuitionRates[[#This Row],[2022-23
Cyber Charter School Expenditures]]/D438</f>
        <v>1.1593186822336499E-2</v>
      </c>
      <c r="F438"/>
    </row>
    <row r="439" spans="1:6" x14ac:dyDescent="0.2">
      <c r="A439" s="3" t="s">
        <v>28</v>
      </c>
      <c r="B439" s="3" t="s">
        <v>11</v>
      </c>
      <c r="C439" s="4">
        <v>533154</v>
      </c>
      <c r="D439" s="6">
        <v>46029737</v>
      </c>
      <c r="E439" s="7">
        <f>TuitionRates[[#This Row],[2022-23
Cyber Charter School Expenditures]]/D439</f>
        <v>1.158281656052043E-2</v>
      </c>
      <c r="F439"/>
    </row>
    <row r="440" spans="1:6" x14ac:dyDescent="0.2">
      <c r="A440" s="3" t="s">
        <v>428</v>
      </c>
      <c r="B440" s="3" t="s">
        <v>429</v>
      </c>
      <c r="C440" s="4">
        <v>526351.93999999994</v>
      </c>
      <c r="D440" s="6">
        <v>45479088.270000003</v>
      </c>
      <c r="E440" s="7">
        <f>TuitionRates[[#This Row],[2022-23
Cyber Charter School Expenditures]]/D440</f>
        <v>1.1573493665377736E-2</v>
      </c>
      <c r="F440"/>
    </row>
    <row r="441" spans="1:6" x14ac:dyDescent="0.2">
      <c r="A441" s="3" t="s">
        <v>231</v>
      </c>
      <c r="B441" s="3" t="s">
        <v>227</v>
      </c>
      <c r="C441" s="4">
        <v>856383.12</v>
      </c>
      <c r="D441" s="6">
        <v>75488403.540000007</v>
      </c>
      <c r="E441" s="7">
        <f>TuitionRates[[#This Row],[2022-23
Cyber Charter School Expenditures]]/D441</f>
        <v>1.1344565255592104E-2</v>
      </c>
      <c r="F441"/>
    </row>
    <row r="442" spans="1:6" x14ac:dyDescent="0.2">
      <c r="A442" s="3" t="s">
        <v>39</v>
      </c>
      <c r="B442" s="3" t="s">
        <v>11</v>
      </c>
      <c r="C442" s="4">
        <v>775395.32</v>
      </c>
      <c r="D442" s="6">
        <v>68582576.840000004</v>
      </c>
      <c r="E442" s="7">
        <f>TuitionRates[[#This Row],[2022-23
Cyber Charter School Expenditures]]/D442</f>
        <v>1.1306010297760634E-2</v>
      </c>
      <c r="F442"/>
    </row>
    <row r="443" spans="1:6" x14ac:dyDescent="0.2">
      <c r="A443" s="3" t="s">
        <v>236</v>
      </c>
      <c r="B443" s="3" t="s">
        <v>227</v>
      </c>
      <c r="C443" s="4">
        <v>1270108.3999999999</v>
      </c>
      <c r="D443" s="6">
        <v>113194498.48999999</v>
      </c>
      <c r="E443" s="7">
        <f>TuitionRates[[#This Row],[2022-23
Cyber Charter School Expenditures]]/D443</f>
        <v>1.1220584188658301E-2</v>
      </c>
      <c r="F443"/>
    </row>
    <row r="444" spans="1:6" x14ac:dyDescent="0.2">
      <c r="A444" s="3" t="s">
        <v>175</v>
      </c>
      <c r="B444" s="3" t="s">
        <v>164</v>
      </c>
      <c r="C444" s="4">
        <v>3192607.32</v>
      </c>
      <c r="D444" s="6">
        <v>284856033.23000002</v>
      </c>
      <c r="E444" s="7">
        <f>TuitionRates[[#This Row],[2022-23
Cyber Charter School Expenditures]]/D444</f>
        <v>1.120779252522346E-2</v>
      </c>
      <c r="F444"/>
    </row>
    <row r="445" spans="1:6" x14ac:dyDescent="0.2">
      <c r="A445" s="3" t="s">
        <v>10</v>
      </c>
      <c r="B445" s="3" t="s">
        <v>11</v>
      </c>
      <c r="C445" s="4">
        <v>281280.24</v>
      </c>
      <c r="D445" s="6">
        <v>25464295</v>
      </c>
      <c r="E445" s="7">
        <f>TuitionRates[[#This Row],[2022-23
Cyber Charter School Expenditures]]/D445</f>
        <v>1.1046064302977953E-2</v>
      </c>
      <c r="F445"/>
    </row>
    <row r="446" spans="1:6" x14ac:dyDescent="0.2">
      <c r="A446" s="3" t="s">
        <v>405</v>
      </c>
      <c r="B446" s="3" t="s">
        <v>406</v>
      </c>
      <c r="C446" s="4">
        <v>1965495.11</v>
      </c>
      <c r="D446" s="6">
        <v>178063678.88999999</v>
      </c>
      <c r="E446" s="7">
        <f>TuitionRates[[#This Row],[2022-23
Cyber Charter School Expenditures]]/D446</f>
        <v>1.1038158496175954E-2</v>
      </c>
      <c r="F446"/>
    </row>
    <row r="447" spans="1:6" x14ac:dyDescent="0.2">
      <c r="A447" s="3" t="s">
        <v>41</v>
      </c>
      <c r="B447" s="3" t="s">
        <v>11</v>
      </c>
      <c r="C447" s="4">
        <v>296694.28999999998</v>
      </c>
      <c r="D447" s="6">
        <v>26934325.920000002</v>
      </c>
      <c r="E447" s="7">
        <f>TuitionRates[[#This Row],[2022-23
Cyber Charter School Expenditures]]/D447</f>
        <v>1.1015471145676251E-2</v>
      </c>
      <c r="F447"/>
    </row>
    <row r="448" spans="1:6" x14ac:dyDescent="0.2">
      <c r="A448" s="3" t="s">
        <v>409</v>
      </c>
      <c r="B448" s="3" t="s">
        <v>406</v>
      </c>
      <c r="C448" s="4">
        <v>1648911.91</v>
      </c>
      <c r="D448" s="6">
        <v>151368160.77000001</v>
      </c>
      <c r="E448" s="7">
        <f>TuitionRates[[#This Row],[2022-23
Cyber Charter School Expenditures]]/D448</f>
        <v>1.0893386704390752E-2</v>
      </c>
      <c r="F448"/>
    </row>
    <row r="449" spans="1:6" x14ac:dyDescent="0.2">
      <c r="A449" s="3" t="s">
        <v>421</v>
      </c>
      <c r="B449" s="3" t="s">
        <v>406</v>
      </c>
      <c r="C449" s="4">
        <v>750781.94</v>
      </c>
      <c r="D449" s="6">
        <v>69492398.370000005</v>
      </c>
      <c r="E449" s="7">
        <f>TuitionRates[[#This Row],[2022-23
Cyber Charter School Expenditures]]/D449</f>
        <v>1.0803799517791774E-2</v>
      </c>
      <c r="F449"/>
    </row>
    <row r="450" spans="1:6" x14ac:dyDescent="0.2">
      <c r="A450" s="3" t="s">
        <v>13</v>
      </c>
      <c r="B450" s="3" t="s">
        <v>11</v>
      </c>
      <c r="C450" s="4">
        <v>865072.89</v>
      </c>
      <c r="D450" s="6">
        <v>81006904.780000001</v>
      </c>
      <c r="E450" s="7">
        <f>TuitionRates[[#This Row],[2022-23
Cyber Charter School Expenditures]]/D450</f>
        <v>1.0679001899274888E-2</v>
      </c>
      <c r="F450"/>
    </row>
    <row r="451" spans="1:6" x14ac:dyDescent="0.2">
      <c r="A451" s="3" t="s">
        <v>127</v>
      </c>
      <c r="B451" s="3" t="s">
        <v>116</v>
      </c>
      <c r="C451" s="4">
        <v>2518870.7200000002</v>
      </c>
      <c r="D451" s="6">
        <v>236566924.18000001</v>
      </c>
      <c r="E451" s="7">
        <f>TuitionRates[[#This Row],[2022-23
Cyber Charter School Expenditures]]/D451</f>
        <v>1.0647603120051693E-2</v>
      </c>
      <c r="F451"/>
    </row>
    <row r="452" spans="1:6" x14ac:dyDescent="0.2">
      <c r="A452" s="3" t="s">
        <v>120</v>
      </c>
      <c r="B452" s="3" t="s">
        <v>116</v>
      </c>
      <c r="C452" s="4">
        <v>3733135.5</v>
      </c>
      <c r="D452" s="6">
        <v>361464286.26999998</v>
      </c>
      <c r="E452" s="7">
        <f>TuitionRates[[#This Row],[2022-23
Cyber Charter School Expenditures]]/D452</f>
        <v>1.0327812848463515E-2</v>
      </c>
      <c r="F452"/>
    </row>
    <row r="453" spans="1:6" x14ac:dyDescent="0.2">
      <c r="A453" s="3" t="s">
        <v>252</v>
      </c>
      <c r="B453" s="3" t="s">
        <v>247</v>
      </c>
      <c r="C453" s="4">
        <v>417999.21</v>
      </c>
      <c r="D453" s="6">
        <v>42461978.280000001</v>
      </c>
      <c r="E453" s="7">
        <f>TuitionRates[[#This Row],[2022-23
Cyber Charter School Expenditures]]/D453</f>
        <v>9.8440823280455027E-3</v>
      </c>
      <c r="F453"/>
    </row>
    <row r="454" spans="1:6" x14ac:dyDescent="0.2">
      <c r="A454" s="3" t="s">
        <v>12</v>
      </c>
      <c r="B454" s="3" t="s">
        <v>11</v>
      </c>
      <c r="C454" s="4">
        <v>371897.21</v>
      </c>
      <c r="D454" s="6">
        <v>37959146.640000001</v>
      </c>
      <c r="E454" s="7">
        <f>TuitionRates[[#This Row],[2022-23
Cyber Charter School Expenditures]]/D454</f>
        <v>9.7973016497717568E-3</v>
      </c>
      <c r="F454"/>
    </row>
    <row r="455" spans="1:6" x14ac:dyDescent="0.2">
      <c r="A455" s="3" t="s">
        <v>172</v>
      </c>
      <c r="B455" s="3" t="s">
        <v>164</v>
      </c>
      <c r="C455" s="4">
        <v>1019834.11</v>
      </c>
      <c r="D455" s="6">
        <v>104480902.90000001</v>
      </c>
      <c r="E455" s="7">
        <f>TuitionRates[[#This Row],[2022-23
Cyber Charter School Expenditures]]/D455</f>
        <v>9.7609618762205391E-3</v>
      </c>
      <c r="F455"/>
    </row>
    <row r="456" spans="1:6" x14ac:dyDescent="0.2">
      <c r="A456" s="3" t="s">
        <v>135</v>
      </c>
      <c r="B456" s="3" t="s">
        <v>130</v>
      </c>
      <c r="C456" s="4">
        <v>1581953.77</v>
      </c>
      <c r="D456" s="6">
        <v>163061974.28</v>
      </c>
      <c r="E456" s="7">
        <f>TuitionRates[[#This Row],[2022-23
Cyber Charter School Expenditures]]/D456</f>
        <v>9.7015492237544371E-3</v>
      </c>
      <c r="F456"/>
    </row>
    <row r="457" spans="1:6" x14ac:dyDescent="0.2">
      <c r="A457" s="3" t="s">
        <v>30</v>
      </c>
      <c r="B457" s="3" t="s">
        <v>11</v>
      </c>
      <c r="C457" s="4">
        <v>777542.5</v>
      </c>
      <c r="D457" s="6">
        <v>80463481.799999997</v>
      </c>
      <c r="E457" s="7">
        <f>TuitionRates[[#This Row],[2022-23
Cyber Charter School Expenditures]]/D457</f>
        <v>9.663296723011059E-3</v>
      </c>
      <c r="F457"/>
    </row>
    <row r="458" spans="1:6" x14ac:dyDescent="0.2">
      <c r="A458" s="3" t="s">
        <v>26</v>
      </c>
      <c r="B458" s="3" t="s">
        <v>11</v>
      </c>
      <c r="C458" s="4">
        <v>578050.15</v>
      </c>
      <c r="D458" s="6">
        <v>60587653.770000003</v>
      </c>
      <c r="E458" s="7">
        <f>TuitionRates[[#This Row],[2022-23
Cyber Charter School Expenditures]]/D458</f>
        <v>9.5407251152910908E-3</v>
      </c>
      <c r="F458"/>
    </row>
    <row r="459" spans="1:6" x14ac:dyDescent="0.2">
      <c r="A459" s="3" t="s">
        <v>417</v>
      </c>
      <c r="B459" s="3" t="s">
        <v>406</v>
      </c>
      <c r="C459" s="4">
        <v>1151300.3700000001</v>
      </c>
      <c r="D459" s="6">
        <v>121620117.78</v>
      </c>
      <c r="E459" s="7">
        <f>TuitionRates[[#This Row],[2022-23
Cyber Charter School Expenditures]]/D459</f>
        <v>9.4663645375068651E-3</v>
      </c>
      <c r="F459"/>
    </row>
    <row r="460" spans="1:6" x14ac:dyDescent="0.2">
      <c r="A460" s="3" t="s">
        <v>121</v>
      </c>
      <c r="B460" s="3" t="s">
        <v>116</v>
      </c>
      <c r="C460" s="4">
        <v>2441468.44</v>
      </c>
      <c r="D460" s="6">
        <v>258798294.34999999</v>
      </c>
      <c r="E460" s="7">
        <f>TuitionRates[[#This Row],[2022-23
Cyber Charter School Expenditures]]/D460</f>
        <v>9.4338660389243021E-3</v>
      </c>
      <c r="F460"/>
    </row>
    <row r="461" spans="1:6" x14ac:dyDescent="0.2">
      <c r="A461" s="3" t="s">
        <v>34</v>
      </c>
      <c r="B461" s="3" t="s">
        <v>11</v>
      </c>
      <c r="C461" s="4">
        <v>911629.23</v>
      </c>
      <c r="D461" s="6">
        <v>97134603.150000006</v>
      </c>
      <c r="E461" s="7">
        <f>TuitionRates[[#This Row],[2022-23
Cyber Charter School Expenditures]]/D461</f>
        <v>9.3852159831467833E-3</v>
      </c>
      <c r="F461"/>
    </row>
    <row r="462" spans="1:6" x14ac:dyDescent="0.2">
      <c r="A462" s="3" t="s">
        <v>414</v>
      </c>
      <c r="B462" s="3" t="s">
        <v>406</v>
      </c>
      <c r="C462" s="4">
        <v>1221755.8700000001</v>
      </c>
      <c r="D462" s="6">
        <v>130299075.37</v>
      </c>
      <c r="E462" s="7">
        <f>TuitionRates[[#This Row],[2022-23
Cyber Charter School Expenditures]]/D462</f>
        <v>9.3765505743665205E-3</v>
      </c>
      <c r="F462"/>
    </row>
    <row r="463" spans="1:6" x14ac:dyDescent="0.2">
      <c r="A463" s="3" t="s">
        <v>356</v>
      </c>
      <c r="B463" s="3" t="s">
        <v>349</v>
      </c>
      <c r="C463" s="4">
        <v>646045.92000000004</v>
      </c>
      <c r="D463" s="6">
        <v>69788964.829999998</v>
      </c>
      <c r="E463" s="7">
        <f>TuitionRates[[#This Row],[2022-23
Cyber Charter School Expenditures]]/D463</f>
        <v>9.2571357316119113E-3</v>
      </c>
      <c r="F463"/>
    </row>
    <row r="464" spans="1:6" x14ac:dyDescent="0.2">
      <c r="A464" s="3" t="s">
        <v>49</v>
      </c>
      <c r="B464" s="3" t="s">
        <v>11</v>
      </c>
      <c r="C464" s="4">
        <v>669955.38</v>
      </c>
      <c r="D464" s="6">
        <v>72660908.930000007</v>
      </c>
      <c r="E464" s="7">
        <f>TuitionRates[[#This Row],[2022-23
Cyber Charter School Expenditures]]/D464</f>
        <v>9.2203000191674028E-3</v>
      </c>
      <c r="F464"/>
    </row>
    <row r="465" spans="1:6" x14ac:dyDescent="0.2">
      <c r="A465" s="3" t="s">
        <v>287</v>
      </c>
      <c r="B465" s="3" t="s">
        <v>286</v>
      </c>
      <c r="C465" s="4">
        <v>129339.7</v>
      </c>
      <c r="D465" s="6">
        <v>14373136.65</v>
      </c>
      <c r="E465" s="7">
        <f>TuitionRates[[#This Row],[2022-23
Cyber Charter School Expenditures]]/D465</f>
        <v>8.9987107998447911E-3</v>
      </c>
      <c r="F465"/>
    </row>
    <row r="466" spans="1:6" x14ac:dyDescent="0.2">
      <c r="A466" s="3" t="s">
        <v>24</v>
      </c>
      <c r="B466" s="3" t="s">
        <v>11</v>
      </c>
      <c r="C466" s="4">
        <v>1014918.44</v>
      </c>
      <c r="D466" s="6">
        <v>112829817.31999999</v>
      </c>
      <c r="E466" s="7">
        <f>TuitionRates[[#This Row],[2022-23
Cyber Charter School Expenditures]]/D466</f>
        <v>8.9951261475639862E-3</v>
      </c>
      <c r="F466"/>
    </row>
    <row r="467" spans="1:6" x14ac:dyDescent="0.2">
      <c r="A467" s="3" t="s">
        <v>420</v>
      </c>
      <c r="B467" s="3" t="s">
        <v>406</v>
      </c>
      <c r="C467" s="4">
        <v>1301622.3500000001</v>
      </c>
      <c r="D467" s="6">
        <v>146206156.84</v>
      </c>
      <c r="E467" s="7">
        <f>TuitionRates[[#This Row],[2022-23
Cyber Charter School Expenditures]]/D467</f>
        <v>8.9026507373723262E-3</v>
      </c>
      <c r="F467"/>
    </row>
    <row r="468" spans="1:6" x14ac:dyDescent="0.2">
      <c r="A468" s="3" t="s">
        <v>143</v>
      </c>
      <c r="B468" s="3" t="s">
        <v>138</v>
      </c>
      <c r="C468" s="4">
        <v>267452.46000000002</v>
      </c>
      <c r="D468" s="6">
        <v>31067197.350000001</v>
      </c>
      <c r="E468" s="7">
        <f>TuitionRates[[#This Row],[2022-23
Cyber Charter School Expenditures]]/D468</f>
        <v>8.608837707080777E-3</v>
      </c>
      <c r="F468"/>
    </row>
    <row r="469" spans="1:6" x14ac:dyDescent="0.2">
      <c r="A469" s="3" t="s">
        <v>44</v>
      </c>
      <c r="B469" s="3" t="s">
        <v>11</v>
      </c>
      <c r="C469" s="4">
        <v>589949.64</v>
      </c>
      <c r="D469" s="6">
        <v>69587244.219999999</v>
      </c>
      <c r="E469" s="7">
        <f>TuitionRates[[#This Row],[2022-23
Cyber Charter School Expenditures]]/D469</f>
        <v>8.4778416879805561E-3</v>
      </c>
      <c r="F469"/>
    </row>
    <row r="470" spans="1:6" x14ac:dyDescent="0.2">
      <c r="A470" s="3" t="s">
        <v>33</v>
      </c>
      <c r="B470" s="3" t="s">
        <v>11</v>
      </c>
      <c r="C470" s="4">
        <v>1598632.23</v>
      </c>
      <c r="D470" s="6">
        <v>193101431.49000001</v>
      </c>
      <c r="E470" s="7">
        <f>TuitionRates[[#This Row],[2022-23
Cyber Charter School Expenditures]]/D470</f>
        <v>8.2787176545751663E-3</v>
      </c>
      <c r="F470"/>
    </row>
    <row r="471" spans="1:6" x14ac:dyDescent="0.2">
      <c r="A471" s="3" t="s">
        <v>249</v>
      </c>
      <c r="B471" s="3" t="s">
        <v>247</v>
      </c>
      <c r="C471" s="4">
        <v>273369</v>
      </c>
      <c r="D471" s="6">
        <v>33188316</v>
      </c>
      <c r="E471" s="7">
        <f>TuitionRates[[#This Row],[2022-23
Cyber Charter School Expenditures]]/D471</f>
        <v>8.2369048191538244E-3</v>
      </c>
      <c r="F471"/>
    </row>
    <row r="472" spans="1:6" x14ac:dyDescent="0.2">
      <c r="A472" s="3" t="s">
        <v>298</v>
      </c>
      <c r="B472" s="3" t="s">
        <v>299</v>
      </c>
      <c r="C472" s="4">
        <v>153225.78</v>
      </c>
      <c r="D472" s="6">
        <v>18612539.84</v>
      </c>
      <c r="E472" s="7">
        <f>TuitionRates[[#This Row],[2022-23
Cyber Charter School Expenditures]]/D472</f>
        <v>8.2323950045068116E-3</v>
      </c>
      <c r="F472"/>
    </row>
    <row r="473" spans="1:6" x14ac:dyDescent="0.2">
      <c r="A473" s="3" t="s">
        <v>232</v>
      </c>
      <c r="B473" s="3" t="s">
        <v>227</v>
      </c>
      <c r="C473" s="4">
        <v>860411.2</v>
      </c>
      <c r="D473" s="6">
        <v>105382030.70999999</v>
      </c>
      <c r="E473" s="7">
        <f>TuitionRates[[#This Row],[2022-23
Cyber Charter School Expenditures]]/D473</f>
        <v>8.1646860874009814E-3</v>
      </c>
      <c r="F473"/>
    </row>
    <row r="474" spans="1:6" x14ac:dyDescent="0.2">
      <c r="A474" s="3" t="s">
        <v>174</v>
      </c>
      <c r="B474" s="3" t="s">
        <v>164</v>
      </c>
      <c r="C474" s="4">
        <v>747583.58</v>
      </c>
      <c r="D474" s="6">
        <v>98697940.469999999</v>
      </c>
      <c r="E474" s="7">
        <f>TuitionRates[[#This Row],[2022-23
Cyber Charter School Expenditures]]/D474</f>
        <v>7.5744597753509739E-3</v>
      </c>
      <c r="F474"/>
    </row>
    <row r="475" spans="1:6" x14ac:dyDescent="0.2">
      <c r="A475" s="3" t="s">
        <v>189</v>
      </c>
      <c r="B475" s="3" t="s">
        <v>185</v>
      </c>
      <c r="C475" s="4">
        <v>50920.59</v>
      </c>
      <c r="D475" s="6">
        <v>6728938.8099999996</v>
      </c>
      <c r="E475" s="7">
        <f>TuitionRates[[#This Row],[2022-23
Cyber Charter School Expenditures]]/D475</f>
        <v>7.5674027417705113E-3</v>
      </c>
      <c r="F475"/>
    </row>
    <row r="476" spans="1:6" x14ac:dyDescent="0.2">
      <c r="A476" s="3" t="s">
        <v>166</v>
      </c>
      <c r="B476" s="3" t="s">
        <v>164</v>
      </c>
      <c r="C476" s="4">
        <v>1880814.34</v>
      </c>
      <c r="D476" s="6">
        <v>264050749.59</v>
      </c>
      <c r="E476" s="7">
        <f>TuitionRates[[#This Row],[2022-23
Cyber Charter School Expenditures]]/D476</f>
        <v>7.122927478601747E-3</v>
      </c>
      <c r="F476"/>
    </row>
    <row r="477" spans="1:6" x14ac:dyDescent="0.2">
      <c r="A477" s="3" t="s">
        <v>14</v>
      </c>
      <c r="B477" s="3" t="s">
        <v>11</v>
      </c>
      <c r="C477" s="4">
        <v>700030.75</v>
      </c>
      <c r="D477" s="6">
        <v>98528960.090000004</v>
      </c>
      <c r="E477" s="7">
        <f>TuitionRates[[#This Row],[2022-23
Cyber Charter School Expenditures]]/D477</f>
        <v>7.104822271143083E-3</v>
      </c>
      <c r="F477"/>
    </row>
    <row r="478" spans="1:6" x14ac:dyDescent="0.2">
      <c r="A478" s="3" t="s">
        <v>162</v>
      </c>
      <c r="B478" s="3" t="s">
        <v>159</v>
      </c>
      <c r="C478" s="4">
        <v>1281436.07</v>
      </c>
      <c r="D478" s="6">
        <v>183445058.19</v>
      </c>
      <c r="E478" s="7">
        <f>TuitionRates[[#This Row],[2022-23
Cyber Charter School Expenditures]]/D478</f>
        <v>6.9853943335599434E-3</v>
      </c>
      <c r="F478"/>
    </row>
    <row r="479" spans="1:6" x14ac:dyDescent="0.2">
      <c r="A479" s="3" t="s">
        <v>410</v>
      </c>
      <c r="B479" s="3" t="s">
        <v>406</v>
      </c>
      <c r="C479" s="4">
        <v>864976.53</v>
      </c>
      <c r="D479" s="6">
        <v>123839783.34999999</v>
      </c>
      <c r="E479" s="7">
        <f>TuitionRates[[#This Row],[2022-23
Cyber Charter School Expenditures]]/D479</f>
        <v>6.9846418218883297E-3</v>
      </c>
      <c r="F479"/>
    </row>
    <row r="480" spans="1:6" x14ac:dyDescent="0.2">
      <c r="A480" s="3" t="s">
        <v>423</v>
      </c>
      <c r="B480" s="3" t="s">
        <v>406</v>
      </c>
      <c r="C480" s="4">
        <v>837498.86</v>
      </c>
      <c r="D480" s="6">
        <v>125356249.66</v>
      </c>
      <c r="E480" s="7">
        <f>TuitionRates[[#This Row],[2022-23
Cyber Charter School Expenditures]]/D480</f>
        <v>6.6809501901303131E-3</v>
      </c>
      <c r="F480"/>
    </row>
    <row r="481" spans="1:6" x14ac:dyDescent="0.2">
      <c r="A481" s="3" t="s">
        <v>37</v>
      </c>
      <c r="B481" s="3" t="s">
        <v>11</v>
      </c>
      <c r="C481" s="4">
        <v>656962</v>
      </c>
      <c r="D481" s="6">
        <v>102613438</v>
      </c>
      <c r="E481" s="7">
        <f>TuitionRates[[#This Row],[2022-23
Cyber Charter School Expenditures]]/D481</f>
        <v>6.4022998625189809E-3</v>
      </c>
      <c r="F481"/>
    </row>
    <row r="482" spans="1:6" x14ac:dyDescent="0.2">
      <c r="A482" s="3" t="s">
        <v>240</v>
      </c>
      <c r="B482" s="3" t="s">
        <v>227</v>
      </c>
      <c r="C482" s="4">
        <v>566131.54</v>
      </c>
      <c r="D482" s="6">
        <v>90850477.849999994</v>
      </c>
      <c r="E482" s="7">
        <f>TuitionRates[[#This Row],[2022-23
Cyber Charter School Expenditures]]/D482</f>
        <v>6.2314646372550707E-3</v>
      </c>
      <c r="F482"/>
    </row>
    <row r="483" spans="1:6" x14ac:dyDescent="0.2">
      <c r="A483" s="3" t="s">
        <v>555</v>
      </c>
      <c r="B483" s="3" t="s">
        <v>554</v>
      </c>
      <c r="C483" s="4">
        <v>784362.95</v>
      </c>
      <c r="D483" s="6">
        <v>126856703.48</v>
      </c>
      <c r="E483" s="7">
        <f>TuitionRates[[#This Row],[2022-23
Cyber Charter School Expenditures]]/D483</f>
        <v>6.1830626879222127E-3</v>
      </c>
      <c r="F483"/>
    </row>
    <row r="484" spans="1:6" x14ac:dyDescent="0.2">
      <c r="A484" s="3" t="s">
        <v>427</v>
      </c>
      <c r="B484" s="3" t="s">
        <v>406</v>
      </c>
      <c r="C484" s="4">
        <v>735393.67</v>
      </c>
      <c r="D484" s="6">
        <v>120090195.23</v>
      </c>
      <c r="E484" s="7">
        <f>TuitionRates[[#This Row],[2022-23
Cyber Charter School Expenditures]]/D484</f>
        <v>6.1236778622230908E-3</v>
      </c>
      <c r="F484"/>
    </row>
    <row r="485" spans="1:6" x14ac:dyDescent="0.2">
      <c r="A485" s="3" t="s">
        <v>40</v>
      </c>
      <c r="B485" s="3" t="s">
        <v>11</v>
      </c>
      <c r="C485" s="4">
        <v>350962.56</v>
      </c>
      <c r="D485" s="6">
        <v>57564725.57</v>
      </c>
      <c r="E485" s="7">
        <f>TuitionRates[[#This Row],[2022-23
Cyber Charter School Expenditures]]/D485</f>
        <v>6.0968337210818742E-3</v>
      </c>
      <c r="F485"/>
    </row>
    <row r="486" spans="1:6" x14ac:dyDescent="0.2">
      <c r="A486" s="3" t="s">
        <v>50</v>
      </c>
      <c r="B486" s="3" t="s">
        <v>11</v>
      </c>
      <c r="C486" s="4">
        <v>378143.7</v>
      </c>
      <c r="D486" s="6">
        <v>62097678.409999996</v>
      </c>
      <c r="E486" s="7">
        <f>TuitionRates[[#This Row],[2022-23
Cyber Charter School Expenditures]]/D486</f>
        <v>6.0894981854765287E-3</v>
      </c>
      <c r="F486"/>
    </row>
    <row r="487" spans="1:6" x14ac:dyDescent="0.2">
      <c r="A487" s="3" t="s">
        <v>168</v>
      </c>
      <c r="B487" s="3" t="s">
        <v>164</v>
      </c>
      <c r="C487" s="4">
        <v>567523.56000000006</v>
      </c>
      <c r="D487" s="6">
        <v>99749620.629999995</v>
      </c>
      <c r="E487" s="7">
        <f>TuitionRates[[#This Row],[2022-23
Cyber Charter School Expenditures]]/D487</f>
        <v>5.6894808863996388E-3</v>
      </c>
      <c r="F487"/>
    </row>
    <row r="488" spans="1:6" x14ac:dyDescent="0.2">
      <c r="A488" s="3" t="s">
        <v>238</v>
      </c>
      <c r="B488" s="3" t="s">
        <v>227</v>
      </c>
      <c r="C488" s="4">
        <v>428503.93</v>
      </c>
      <c r="D488" s="6">
        <v>81454703.689999998</v>
      </c>
      <c r="E488" s="7">
        <f>TuitionRates[[#This Row],[2022-23
Cyber Charter School Expenditures]]/D488</f>
        <v>5.260640706898875E-3</v>
      </c>
      <c r="F488"/>
    </row>
    <row r="489" spans="1:6" x14ac:dyDescent="0.2">
      <c r="A489" s="3" t="s">
        <v>72</v>
      </c>
      <c r="B489" s="3" t="s">
        <v>60</v>
      </c>
      <c r="C489" s="4">
        <v>134307.69</v>
      </c>
      <c r="D489" s="6">
        <v>25561780.91</v>
      </c>
      <c r="E489" s="7">
        <f>TuitionRates[[#This Row],[2022-23
Cyber Charter School Expenditures]]/D489</f>
        <v>5.2542383675410354E-3</v>
      </c>
      <c r="F489"/>
    </row>
    <row r="490" spans="1:6" x14ac:dyDescent="0.2">
      <c r="A490" s="3" t="s">
        <v>413</v>
      </c>
      <c r="B490" s="3" t="s">
        <v>406</v>
      </c>
      <c r="C490" s="4">
        <v>284752.75</v>
      </c>
      <c r="D490" s="6">
        <v>58580584.670000002</v>
      </c>
      <c r="E490" s="7">
        <f>TuitionRates[[#This Row],[2022-23
Cyber Charter School Expenditures]]/D490</f>
        <v>4.8608724478270042E-3</v>
      </c>
      <c r="F490"/>
    </row>
    <row r="491" spans="1:6" x14ac:dyDescent="0.2">
      <c r="A491" s="3" t="s">
        <v>124</v>
      </c>
      <c r="B491" s="3" t="s">
        <v>116</v>
      </c>
      <c r="C491" s="4">
        <v>209642.62</v>
      </c>
      <c r="D491" s="6">
        <v>45687288.020000003</v>
      </c>
      <c r="E491" s="7">
        <f>TuitionRates[[#This Row],[2022-23
Cyber Charter School Expenditures]]/D491</f>
        <v>4.5886422478880152E-3</v>
      </c>
      <c r="F491"/>
    </row>
    <row r="492" spans="1:6" x14ac:dyDescent="0.2">
      <c r="A492" s="3" t="s">
        <v>32</v>
      </c>
      <c r="B492" s="3" t="s">
        <v>11</v>
      </c>
      <c r="C492" s="4">
        <v>513928.12</v>
      </c>
      <c r="D492" s="6">
        <v>113249281.87</v>
      </c>
      <c r="E492" s="7">
        <f>TuitionRates[[#This Row],[2022-23
Cyber Charter School Expenditures]]/D492</f>
        <v>4.5380254206816364E-3</v>
      </c>
      <c r="F492"/>
    </row>
    <row r="493" spans="1:6" x14ac:dyDescent="0.2">
      <c r="A493" s="3" t="s">
        <v>412</v>
      </c>
      <c r="B493" s="3" t="s">
        <v>406</v>
      </c>
      <c r="C493" s="4">
        <v>1321158.69</v>
      </c>
      <c r="D493" s="6">
        <v>307088072.85000002</v>
      </c>
      <c r="E493" s="7">
        <f>TuitionRates[[#This Row],[2022-23
Cyber Charter School Expenditures]]/D493</f>
        <v>4.3022142727286317E-3</v>
      </c>
      <c r="F493"/>
    </row>
    <row r="494" spans="1:6" x14ac:dyDescent="0.2">
      <c r="A494" s="3" t="s">
        <v>229</v>
      </c>
      <c r="B494" s="3" t="s">
        <v>227</v>
      </c>
      <c r="C494" s="4">
        <v>484125.52</v>
      </c>
      <c r="D494" s="6">
        <v>120922411</v>
      </c>
      <c r="E494" s="7">
        <f>TuitionRates[[#This Row],[2022-23
Cyber Charter School Expenditures]]/D494</f>
        <v>4.0036045923695649E-3</v>
      </c>
      <c r="F494"/>
    </row>
    <row r="495" spans="1:6" x14ac:dyDescent="0.2">
      <c r="A495" s="3" t="s">
        <v>230</v>
      </c>
      <c r="B495" s="3" t="s">
        <v>227</v>
      </c>
      <c r="C495" s="4">
        <v>565828.93999999994</v>
      </c>
      <c r="D495" s="6">
        <v>141575880.88</v>
      </c>
      <c r="E495" s="7">
        <f>TuitionRates[[#This Row],[2022-23
Cyber Charter School Expenditures]]/D495</f>
        <v>3.9966478504880202E-3</v>
      </c>
      <c r="F495"/>
    </row>
    <row r="496" spans="1:6" x14ac:dyDescent="0.2">
      <c r="A496" s="3" t="s">
        <v>411</v>
      </c>
      <c r="B496" s="3" t="s">
        <v>406</v>
      </c>
      <c r="C496" s="4">
        <v>72437.84</v>
      </c>
      <c r="D496" s="6">
        <v>18610179.07</v>
      </c>
      <c r="E496" s="7">
        <f>TuitionRates[[#This Row],[2022-23
Cyber Charter School Expenditures]]/D496</f>
        <v>3.8923773773231079E-3</v>
      </c>
      <c r="F496"/>
    </row>
    <row r="497" spans="1:6" x14ac:dyDescent="0.2">
      <c r="A497" s="3" t="s">
        <v>173</v>
      </c>
      <c r="B497" s="3" t="s">
        <v>164</v>
      </c>
      <c r="C497" s="4">
        <v>591948.66</v>
      </c>
      <c r="D497" s="6">
        <v>166384702.27000001</v>
      </c>
      <c r="E497" s="7">
        <f>TuitionRates[[#This Row],[2022-23
Cyber Charter School Expenditures]]/D497</f>
        <v>3.5577108467545176E-3</v>
      </c>
      <c r="F497"/>
    </row>
    <row r="498" spans="1:6" x14ac:dyDescent="0.2">
      <c r="A498" s="3" t="s">
        <v>48</v>
      </c>
      <c r="B498" s="3" t="s">
        <v>11</v>
      </c>
      <c r="C498" s="4">
        <v>338621.22</v>
      </c>
      <c r="D498" s="6">
        <v>99431026.939999998</v>
      </c>
      <c r="E498" s="7">
        <f>TuitionRates[[#This Row],[2022-23
Cyber Charter School Expenditures]]/D498</f>
        <v>3.405589084424677E-3</v>
      </c>
      <c r="F498"/>
    </row>
    <row r="499" spans="1:6" x14ac:dyDescent="0.2">
      <c r="A499" s="3" t="s">
        <v>234</v>
      </c>
      <c r="B499" s="3" t="s">
        <v>227</v>
      </c>
      <c r="C499" s="4">
        <v>264335.84000000003</v>
      </c>
      <c r="D499" s="6">
        <v>111752256.37</v>
      </c>
      <c r="E499" s="7">
        <f>TuitionRates[[#This Row],[2022-23
Cyber Charter School Expenditures]]/D499</f>
        <v>2.36537362722066E-3</v>
      </c>
      <c r="F499"/>
    </row>
    <row r="500" spans="1:6" x14ac:dyDescent="0.2">
      <c r="A500" s="3" t="s">
        <v>64</v>
      </c>
      <c r="B500" s="3" t="s">
        <v>60</v>
      </c>
      <c r="C500" s="4">
        <v>41793</v>
      </c>
      <c r="D500" s="6">
        <v>41586942.869999997</v>
      </c>
      <c r="E500" s="7">
        <f>TuitionRates[[#This Row],[2022-23
Cyber Charter School Expenditures]]/D500</f>
        <v>1.0049548515899361E-3</v>
      </c>
      <c r="F500"/>
    </row>
    <row r="501" spans="1:6" x14ac:dyDescent="0.2">
      <c r="A501" s="3" t="s">
        <v>456</v>
      </c>
      <c r="B501" s="3" t="s">
        <v>457</v>
      </c>
      <c r="C501" s="4">
        <v>0</v>
      </c>
      <c r="D501" s="6">
        <v>4519886.0199999996</v>
      </c>
      <c r="E501" s="7">
        <f>TuitionRates[[#This Row],[2022-23
Cyber Charter School Expenditures]]/D501</f>
        <v>0</v>
      </c>
      <c r="F50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</vt:lpstr>
      <vt:lpstr>pivot 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kelsi page</dc:creator>
  <cp:lastModifiedBy>kelsi page</cp:lastModifiedBy>
  <dcterms:created xsi:type="dcterms:W3CDTF">2025-09-18T17:16:23Z</dcterms:created>
  <dcterms:modified xsi:type="dcterms:W3CDTF">2025-10-09T14:41:31Z</dcterms:modified>
</cp:coreProperties>
</file>